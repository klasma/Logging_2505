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46304</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46304</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46304</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46304</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46304</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46304</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46304</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46304</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46304</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46304</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46304</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46304</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46304</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46304</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46304</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46304</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46304</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46304</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46304</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46304</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10555-2026</t>
        </is>
      </c>
      <c r="B22" t="inlineStr">
        <is>
          <t>avverkningsanmälan</t>
        </is>
      </c>
      <c r="C22" t="inlineStr">
        <is>
          <t>Avverkning för annat ändamål</t>
        </is>
      </c>
      <c r="D22" s="1" t="n">
        <v>46077</v>
      </c>
      <c r="E22" s="1" t="n">
        <v>46304</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24438-2026</t>
        </is>
      </c>
      <c r="B23" t="inlineStr">
        <is>
          <t>avverkningsanmälan</t>
        </is>
      </c>
      <c r="C23" t="inlineStr">
        <is>
          <t>Föryngringsavverkning</t>
        </is>
      </c>
      <c r="D23" s="1" t="n">
        <v>46170</v>
      </c>
      <c r="E23" s="1" t="n">
        <v>46304</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46304</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46304</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46304</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46304</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46304</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36451-2024</t>
        </is>
      </c>
      <c r="B29" t="inlineStr">
        <is>
          <t>avverkningsanmälan</t>
        </is>
      </c>
      <c r="C29" t="inlineStr">
        <is>
          <t>Föryngringsavverkning</t>
        </is>
      </c>
      <c r="D29" s="1" t="n">
        <v>45537</v>
      </c>
      <c r="E29" s="1" t="n">
        <v>46304</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11630-2025</t>
        </is>
      </c>
      <c r="B30" t="inlineStr">
        <is>
          <t>avverkningsanmälan</t>
        </is>
      </c>
      <c r="C30" t="inlineStr">
        <is>
          <t>Föryngringsavverkning</t>
        </is>
      </c>
      <c r="D30" s="1" t="n">
        <v>45726</v>
      </c>
      <c r="E30" s="1" t="n">
        <v>46304</v>
      </c>
      <c r="F30" t="inlineStr">
        <is>
          <t>NORRBOTTENS LÄN</t>
        </is>
      </c>
      <c r="G30" t="inlineStr">
        <is>
          <t>ARVIDSJAUR</t>
        </is>
      </c>
      <c r="H30" t="inlineStr">
        <is>
          <t>Allmännings- och besparingsskogar</t>
        </is>
      </c>
      <c r="I30" t="n">
        <v>7.7</v>
      </c>
      <c r="J30" t="n">
        <v>0</v>
      </c>
      <c r="K30" t="n">
        <v>0</v>
      </c>
      <c r="L30" t="n">
        <v>2</v>
      </c>
      <c r="M30" t="n">
        <v>1</v>
      </c>
      <c r="N30" t="n">
        <v>0</v>
      </c>
      <c r="O30" t="n">
        <v>0</v>
      </c>
      <c r="P30" t="n">
        <v>0</v>
      </c>
      <c r="Q30" t="n">
        <v>3</v>
      </c>
      <c r="R30" t="n">
        <v>1</v>
      </c>
      <c r="S30" t="n">
        <v>3</v>
      </c>
      <c r="T30" t="n">
        <v>7</v>
      </c>
      <c r="U30" t="n">
        <v>0</v>
      </c>
      <c r="V30" s="2" t="inlineStr">
        <is>
          <t>Smalfotad taggsvamp
Blanksvart spiklav
Dropptaggsvamp</t>
        </is>
      </c>
      <c r="W30">
        <f>HYPERLINK("https://klasma.github.io/Logging_2505/artfynd/A 11630-2025 artfynd.xlsx", "A 11630-2025")</f>
        <v/>
      </c>
      <c r="X30">
        <f>HYPERLINK("https://klasma.github.io/Logging_2505/kartor/A 11630-2025 karta.png", "A 11630-2025")</f>
        <v/>
      </c>
      <c r="Y30">
        <f>HYPERLINK("https://klasma.github.io/Logging_2505/kartor_geotiff/A 11630-2025 georefererad karta.tif", "A 11630-2025")</f>
        <v/>
      </c>
      <c r="AA30">
        <f>HYPERLINK("https://klasma.github.io/Logging_2505/klagomål/A 11630-2025 FSC-klagomål.docx", "A 11630-2025")</f>
        <v/>
      </c>
      <c r="AB30">
        <f>HYPERLINK("https://klasma.github.io/Logging_2505/klagomålsmail/A 11630-2025 FSC-klagomål mail.docx", "A 11630-2025")</f>
        <v/>
      </c>
      <c r="AC30">
        <f>HYPERLINK("https://klasma.github.io/Logging_2505/tillsyn/A 11630-2025 tillsynsbegäran.docx", "A 11630-2025")</f>
        <v/>
      </c>
      <c r="AD30">
        <f>HYPERLINK("https://klasma.github.io/Logging_2505/tillsynsmail/A 11630-2025 tillsynsbegäran mail.docx", "A 11630-2025")</f>
        <v/>
      </c>
    </row>
    <row r="31" ht="15" customHeight="1">
      <c r="A31" t="inlineStr">
        <is>
          <t>A 25929-2026</t>
        </is>
      </c>
      <c r="B31" t="inlineStr">
        <is>
          <t>avverkningsanmälan</t>
        </is>
      </c>
      <c r="C31" t="inlineStr">
        <is>
          <t>Föryngringsavverkning</t>
        </is>
      </c>
      <c r="D31" s="1" t="n">
        <v>46179</v>
      </c>
      <c r="E31" s="1" t="n">
        <v>46304</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47954-2022</t>
        </is>
      </c>
      <c r="B32" t="inlineStr">
        <is>
          <t>avverkningsanmälan</t>
        </is>
      </c>
      <c r="C32" t="inlineStr">
        <is>
          <t>Föryngringsavverkning</t>
        </is>
      </c>
      <c r="D32" s="1" t="n">
        <v>44855</v>
      </c>
      <c r="E32" s="1" t="n">
        <v>46304</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32812-2025</t>
        </is>
      </c>
      <c r="B33" t="inlineStr">
        <is>
          <t>avverkningsanmälan</t>
        </is>
      </c>
      <c r="C33" t="inlineStr">
        <is>
          <t>Föryngringsavverkning</t>
        </is>
      </c>
      <c r="D33" s="1" t="n">
        <v>45839</v>
      </c>
      <c r="E33" s="1" t="n">
        <v>46304</v>
      </c>
      <c r="F33" t="inlineStr">
        <is>
          <t>NORRBOTTENS LÄN</t>
        </is>
      </c>
      <c r="G33" t="inlineStr">
        <is>
          <t>ARVIDSJAUR</t>
        </is>
      </c>
      <c r="H33" t="inlineStr">
        <is>
          <t>Sveaskog</t>
        </is>
      </c>
      <c r="I33" t="n">
        <v>29.7</v>
      </c>
      <c r="J33" t="n">
        <v>1</v>
      </c>
      <c r="K33" t="n">
        <v>0</v>
      </c>
      <c r="L33" t="n">
        <v>1</v>
      </c>
      <c r="M33" t="n">
        <v>1</v>
      </c>
      <c r="N33" t="n">
        <v>0</v>
      </c>
      <c r="O33" t="n">
        <v>0</v>
      </c>
      <c r="P33" t="n">
        <v>0</v>
      </c>
      <c r="Q33" t="n">
        <v>2</v>
      </c>
      <c r="R33" t="n">
        <v>1</v>
      </c>
      <c r="S33" t="n">
        <v>2</v>
      </c>
      <c r="T33" t="n">
        <v>3</v>
      </c>
      <c r="U33" t="n">
        <v>3</v>
      </c>
      <c r="V33" s="2" t="inlineStr">
        <is>
          <t>Doftticka
Lunglav</t>
        </is>
      </c>
      <c r="W33">
        <f>HYPERLINK("https://klasma.github.io/Logging_2505/artfynd/A 32812-2025 artfynd.xlsx", "A 32812-2025")</f>
        <v/>
      </c>
      <c r="X33">
        <f>HYPERLINK("https://klasma.github.io/Logging_2505/kartor/A 32812-2025 karta.png", "A 32812-2025")</f>
        <v/>
      </c>
      <c r="Y33">
        <f>HYPERLINK("https://klasma.github.io/Logging_2505/kartor_geotiff/A 32812-2025 georefererad karta.tif", "A 32812-2025")</f>
        <v/>
      </c>
      <c r="AA33">
        <f>HYPERLINK("https://klasma.github.io/Logging_2505/klagomål/A 32812-2025 FSC-klagomål.docx", "A 32812-2025")</f>
        <v/>
      </c>
      <c r="AB33">
        <f>HYPERLINK("https://klasma.github.io/Logging_2505/klagomålsmail/A 32812-2025 FSC-klagomål mail.docx", "A 32812-2025")</f>
        <v/>
      </c>
      <c r="AC33">
        <f>HYPERLINK("https://klasma.github.io/Logging_2505/tillsyn/A 32812-2025 tillsynsbegäran.docx", "A 32812-2025")</f>
        <v/>
      </c>
      <c r="AD33">
        <f>HYPERLINK("https://klasma.github.io/Logging_2505/tillsynsmail/A 32812-2025 tillsynsbegäran mail.docx", "A 32812-2025")</f>
        <v/>
      </c>
    </row>
    <row r="34" ht="15" customHeight="1">
      <c r="A34" t="inlineStr">
        <is>
          <t>A 55653-2025</t>
        </is>
      </c>
      <c r="B34" t="inlineStr">
        <is>
          <t>avverkningsanmälan</t>
        </is>
      </c>
      <c r="C34" t="inlineStr">
        <is>
          <t>Föryngringsavverkning</t>
        </is>
      </c>
      <c r="D34" s="1" t="n">
        <v>45972</v>
      </c>
      <c r="E34" s="1" t="n">
        <v>46304</v>
      </c>
      <c r="F34" t="inlineStr">
        <is>
          <t>NORRBOTTENS LÄN</t>
        </is>
      </c>
      <c r="G34" t="inlineStr">
        <is>
          <t>ARVIDSJAUR</t>
        </is>
      </c>
      <c r="H34" t="inlineStr">
        <is>
          <t>Sveaskog</t>
        </is>
      </c>
      <c r="I34" t="n">
        <v>18.7</v>
      </c>
      <c r="J34" t="n">
        <v>0</v>
      </c>
      <c r="K34" t="n">
        <v>1</v>
      </c>
      <c r="L34" t="n">
        <v>1</v>
      </c>
      <c r="M34" t="n">
        <v>0</v>
      </c>
      <c r="N34" t="n">
        <v>0</v>
      </c>
      <c r="O34" t="n">
        <v>0</v>
      </c>
      <c r="P34" t="n">
        <v>0</v>
      </c>
      <c r="Q34" t="n">
        <v>1</v>
      </c>
      <c r="R34" t="n">
        <v>0</v>
      </c>
      <c r="S34" t="n">
        <v>2</v>
      </c>
      <c r="T34" t="n">
        <v>7</v>
      </c>
      <c r="U34" t="n">
        <v>0</v>
      </c>
      <c r="V34" s="2" t="inlineStr">
        <is>
          <t>Lunglav
Trådticka</t>
        </is>
      </c>
      <c r="W34">
        <f>HYPERLINK("https://klasma.github.io/Logging_2505/artfynd/A 55653-2025 artfynd.xlsx", "A 55653-2025")</f>
        <v/>
      </c>
      <c r="X34">
        <f>HYPERLINK("https://klasma.github.io/Logging_2505/kartor/A 55653-2025 karta.png", "A 55653-2025")</f>
        <v/>
      </c>
      <c r="Y34">
        <f>HYPERLINK("https://klasma.github.io/Logging_2505/kartor_geotiff/A 55653-2025 georefererad karta.tif", "A 55653-2025")</f>
        <v/>
      </c>
      <c r="AA34">
        <f>HYPERLINK("https://klasma.github.io/Logging_2505/klagomål/A 55653-2025 FSC-klagomål.docx", "A 55653-2025")</f>
        <v/>
      </c>
      <c r="AB34">
        <f>HYPERLINK("https://klasma.github.io/Logging_2505/klagomålsmail/A 55653-2025 FSC-klagomål mail.docx", "A 55653-2025")</f>
        <v/>
      </c>
      <c r="AC34">
        <f>HYPERLINK("https://klasma.github.io/Logging_2505/tillsyn/A 55653-2025 tillsynsbegäran.docx", "A 55653-2025")</f>
        <v/>
      </c>
      <c r="AD34">
        <f>HYPERLINK("https://klasma.github.io/Logging_2505/tillsynsmail/A 55653-2025 tillsynsbegäran mail.docx", "A 55653-2025")</f>
        <v/>
      </c>
    </row>
    <row r="35" ht="15" customHeight="1">
      <c r="A35" t="inlineStr">
        <is>
          <t>A 56489-2025</t>
        </is>
      </c>
      <c r="B35" t="inlineStr">
        <is>
          <t>avverkningsanmälan</t>
        </is>
      </c>
      <c r="C35" t="inlineStr">
        <is>
          <t>Föryngringsavverkning</t>
        </is>
      </c>
      <c r="D35" s="1" t="n">
        <v>45975</v>
      </c>
      <c r="E35" s="1" t="n">
        <v>46304</v>
      </c>
      <c r="F35" t="inlineStr">
        <is>
          <t>NORRBOTTENS LÄN</t>
        </is>
      </c>
      <c r="G35" t="inlineStr">
        <is>
          <t>ARVIDSJAUR</t>
        </is>
      </c>
      <c r="H35" t="inlineStr">
        <is>
          <t>Sveaskog</t>
        </is>
      </c>
      <c r="I35" t="n">
        <v>13.5</v>
      </c>
      <c r="J35" t="n">
        <v>0</v>
      </c>
      <c r="K35" t="n">
        <v>0</v>
      </c>
      <c r="L35" t="n">
        <v>2</v>
      </c>
      <c r="M35" t="n">
        <v>0</v>
      </c>
      <c r="N35" t="n">
        <v>0</v>
      </c>
      <c r="O35" t="n">
        <v>0</v>
      </c>
      <c r="P35" t="n">
        <v>0</v>
      </c>
      <c r="Q35" t="n">
        <v>2</v>
      </c>
      <c r="R35" t="n">
        <v>0</v>
      </c>
      <c r="S35" t="n">
        <v>2</v>
      </c>
      <c r="T35" t="n">
        <v>2</v>
      </c>
      <c r="U35" t="n">
        <v>0</v>
      </c>
      <c r="V35" s="2" t="inlineStr">
        <is>
          <t>Blå taggsvamp
Dropptaggsvamp</t>
        </is>
      </c>
      <c r="W35">
        <f>HYPERLINK("https://klasma.github.io/Logging_2505/artfynd/A 56489-2025 artfynd.xlsx", "A 56489-2025")</f>
        <v/>
      </c>
      <c r="X35">
        <f>HYPERLINK("https://klasma.github.io/Logging_2505/kartor/A 56489-2025 karta.png", "A 56489-2025")</f>
        <v/>
      </c>
      <c r="Y35">
        <f>HYPERLINK("https://klasma.github.io/Logging_2505/kartor_geotiff/A 56489-2025 georefererad karta.tif", "A 56489-2025")</f>
        <v/>
      </c>
      <c r="AA35">
        <f>HYPERLINK("https://klasma.github.io/Logging_2505/klagomål/A 56489-2025 FSC-klagomål.docx", "A 56489-2025")</f>
        <v/>
      </c>
      <c r="AB35">
        <f>HYPERLINK("https://klasma.github.io/Logging_2505/klagomålsmail/A 56489-2025 FSC-klagomål mail.docx", "A 56489-2025")</f>
        <v/>
      </c>
      <c r="AC35">
        <f>HYPERLINK("https://klasma.github.io/Logging_2505/tillsyn/A 56489-2025 tillsynsbegäran.docx", "A 56489-2025")</f>
        <v/>
      </c>
      <c r="AD35">
        <f>HYPERLINK("https://klasma.github.io/Logging_2505/tillsynsmail/A 56489-2025 tillsynsbegäran mail.docx", "A 56489-2025")</f>
        <v/>
      </c>
    </row>
    <row r="36" ht="15" customHeight="1">
      <c r="A36" t="inlineStr">
        <is>
          <t>A 61172-2025</t>
        </is>
      </c>
      <c r="B36" t="inlineStr">
        <is>
          <t>avverkningsanmälan</t>
        </is>
      </c>
      <c r="C36" t="inlineStr">
        <is>
          <t>Föryngringsavverkning</t>
        </is>
      </c>
      <c r="D36" s="1" t="n">
        <v>45999</v>
      </c>
      <c r="E36" s="1" t="n">
        <v>46304</v>
      </c>
      <c r="F36" t="inlineStr">
        <is>
          <t>NORRBOTTENS LÄN</t>
        </is>
      </c>
      <c r="G36" t="inlineStr">
        <is>
          <t>ARVIDSJAUR</t>
        </is>
      </c>
      <c r="I36" t="n">
        <v>15.5</v>
      </c>
      <c r="J36" t="n">
        <v>0</v>
      </c>
      <c r="K36" t="n">
        <v>0</v>
      </c>
      <c r="L36" t="n">
        <v>1</v>
      </c>
      <c r="M36" t="n">
        <v>1</v>
      </c>
      <c r="N36" t="n">
        <v>0</v>
      </c>
      <c r="O36" t="n">
        <v>0</v>
      </c>
      <c r="P36" t="n">
        <v>0</v>
      </c>
      <c r="Q36" t="n">
        <v>2</v>
      </c>
      <c r="R36" t="n">
        <v>1</v>
      </c>
      <c r="S36" t="n">
        <v>2</v>
      </c>
      <c r="T36" t="n">
        <v>2</v>
      </c>
      <c r="U36" t="n">
        <v>0</v>
      </c>
      <c r="V36" s="2" t="inlineStr">
        <is>
          <t>Garnlav
Knottrig blåslav</t>
        </is>
      </c>
      <c r="W36">
        <f>HYPERLINK("https://klasma.github.io/Logging_2505/artfynd/A 61172-2025 artfynd.xlsx", "A 61172-2025")</f>
        <v/>
      </c>
      <c r="X36">
        <f>HYPERLINK("https://klasma.github.io/Logging_2505/kartor/A 61172-2025 karta.png", "A 61172-2025")</f>
        <v/>
      </c>
      <c r="Y36">
        <f>HYPERLINK("https://klasma.github.io/Logging_2505/kartor_geotiff/A 61172-2025 georefererad karta.tif", "A 61172-2025")</f>
        <v/>
      </c>
      <c r="AA36">
        <f>HYPERLINK("https://klasma.github.io/Logging_2505/klagomål/A 61172-2025 FSC-klagomål.docx", "A 61172-2025")</f>
        <v/>
      </c>
      <c r="AB36">
        <f>HYPERLINK("https://klasma.github.io/Logging_2505/klagomålsmail/A 61172-2025 FSC-klagomål mail.docx", "A 61172-2025")</f>
        <v/>
      </c>
      <c r="AC36">
        <f>HYPERLINK("https://klasma.github.io/Logging_2505/tillsyn/A 61172-2025 tillsynsbegäran.docx", "A 61172-2025")</f>
        <v/>
      </c>
      <c r="AD36">
        <f>HYPERLINK("https://klasma.github.io/Logging_2505/tillsynsmail/A 61172-2025 tillsynsbegäran mail.docx", "A 61172-2025")</f>
        <v/>
      </c>
    </row>
    <row r="37" ht="15" customHeight="1">
      <c r="A37" t="inlineStr">
        <is>
          <t>A 1728-2026</t>
        </is>
      </c>
      <c r="B37" t="inlineStr">
        <is>
          <t>avverkningsanmälan</t>
        </is>
      </c>
      <c r="C37" t="inlineStr">
        <is>
          <t>Föryngringsavverkning</t>
        </is>
      </c>
      <c r="D37" s="1" t="n">
        <v>46034</v>
      </c>
      <c r="E37" s="1" t="n">
        <v>46304</v>
      </c>
      <c r="F37" t="inlineStr">
        <is>
          <t>NORRBOTTENS LÄN</t>
        </is>
      </c>
      <c r="G37" t="inlineStr">
        <is>
          <t>ARVIDSJAUR</t>
        </is>
      </c>
      <c r="H37" t="inlineStr">
        <is>
          <t>Allmännings- och besparingsskogar</t>
        </is>
      </c>
      <c r="I37" t="n">
        <v>17.9</v>
      </c>
      <c r="J37" t="n">
        <v>2</v>
      </c>
      <c r="K37" t="n">
        <v>1</v>
      </c>
      <c r="L37" t="n">
        <v>0</v>
      </c>
      <c r="M37" t="n">
        <v>0</v>
      </c>
      <c r="N37" t="n">
        <v>0</v>
      </c>
      <c r="O37" t="n">
        <v>0</v>
      </c>
      <c r="P37" t="n">
        <v>0</v>
      </c>
      <c r="Q37" t="n">
        <v>0</v>
      </c>
      <c r="R37" t="n">
        <v>0</v>
      </c>
      <c r="S37" t="n">
        <v>2</v>
      </c>
      <c r="T37" t="n">
        <v>2</v>
      </c>
      <c r="U37" t="n">
        <v>0</v>
      </c>
      <c r="V37" s="2" t="inlineStr">
        <is>
          <t>Plattlummer
Gul groddlummer</t>
        </is>
      </c>
      <c r="W37">
        <f>HYPERLINK("https://klasma.github.io/Logging_2505/artfynd/A 1728-2026 artfynd.xlsx", "A 1728-2026")</f>
        <v/>
      </c>
      <c r="X37">
        <f>HYPERLINK("https://klasma.github.io/Logging_2505/kartor/A 1728-2026 karta.png", "A 1728-2026")</f>
        <v/>
      </c>
      <c r="Y37">
        <f>HYPERLINK("https://klasma.github.io/Logging_2505/kartor_geotiff/A 1728-2026 georefererad karta.tif", "A 1728-2026")</f>
        <v/>
      </c>
      <c r="AA37">
        <f>HYPERLINK("https://klasma.github.io/Logging_2505/klagomål/A 1728-2026 FSC-klagomål.docx", "A 1728-2026")</f>
        <v/>
      </c>
      <c r="AB37">
        <f>HYPERLINK("https://klasma.github.io/Logging_2505/klagomålsmail/A 1728-2026 FSC-klagomål mail.docx", "A 1728-2026")</f>
        <v/>
      </c>
      <c r="AC37">
        <f>HYPERLINK("https://klasma.github.io/Logging_2505/tillsyn/A 1728-2026 tillsynsbegäran.docx", "A 1728-2026")</f>
        <v/>
      </c>
      <c r="AD37">
        <f>HYPERLINK("https://klasma.github.io/Logging_2505/tillsynsmail/A 1728-2026 tillsynsbegäran mail.docx", "A 1728-2026")</f>
        <v/>
      </c>
    </row>
    <row r="38" ht="15" customHeight="1">
      <c r="A38" t="inlineStr">
        <is>
          <t>A 11634-2025</t>
        </is>
      </c>
      <c r="B38" t="inlineStr">
        <is>
          <t>avverkningsanmälan</t>
        </is>
      </c>
      <c r="C38" t="inlineStr">
        <is>
          <t>Föryngringsavverkning</t>
        </is>
      </c>
      <c r="D38" s="1" t="n">
        <v>45726</v>
      </c>
      <c r="E38" s="1" t="n">
        <v>46304</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53163-2024</t>
        </is>
      </c>
      <c r="B39" t="inlineStr">
        <is>
          <t>avverkningsanmälan</t>
        </is>
      </c>
      <c r="C39" t="inlineStr">
        <is>
          <t>Föryngringsavverkning</t>
        </is>
      </c>
      <c r="D39" s="1" t="n">
        <v>45611</v>
      </c>
      <c r="E39" s="1" t="n">
        <v>46304</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30048-2026</t>
        </is>
      </c>
      <c r="B40" t="inlineStr">
        <is>
          <t>avverkningsanmälan</t>
        </is>
      </c>
      <c r="C40" t="inlineStr">
        <is>
          <t>Föryngringsavverkning</t>
        </is>
      </c>
      <c r="D40" s="1" t="n">
        <v>46206</v>
      </c>
      <c r="E40" s="1" t="n">
        <v>46304</v>
      </c>
      <c r="F40" t="inlineStr">
        <is>
          <t>NORRBOTTENS LÄN</t>
        </is>
      </c>
      <c r="G40" t="inlineStr">
        <is>
          <t>ARVIDSJAUR</t>
        </is>
      </c>
      <c r="H40" t="inlineStr">
        <is>
          <t>Sveaskog</t>
        </is>
      </c>
      <c r="I40" t="n">
        <v>4.4</v>
      </c>
      <c r="J40" t="n">
        <v>2</v>
      </c>
      <c r="K40" t="n">
        <v>0</v>
      </c>
      <c r="L40" t="n">
        <v>2</v>
      </c>
      <c r="M40" t="n">
        <v>0</v>
      </c>
      <c r="N40" t="n">
        <v>0</v>
      </c>
      <c r="O40" t="n">
        <v>0</v>
      </c>
      <c r="P40" t="n">
        <v>0</v>
      </c>
      <c r="Q40" t="n">
        <v>2</v>
      </c>
      <c r="R40" t="n">
        <v>0</v>
      </c>
      <c r="S40" t="n">
        <v>2</v>
      </c>
      <c r="T40" t="n">
        <v>2</v>
      </c>
      <c r="U40" t="n">
        <v>0</v>
      </c>
      <c r="V40" s="2" t="inlineStr">
        <is>
          <t>Lappmes
Lavskrika</t>
        </is>
      </c>
      <c r="W40">
        <f>HYPERLINK("https://klasma.github.io/Logging_2505/artfynd/A 30048-2026 artfynd.xlsx", "A 30048-2026")</f>
        <v/>
      </c>
      <c r="X40">
        <f>HYPERLINK("https://klasma.github.io/Logging_2505/kartor/A 30048-2026 karta.png", "A 30048-2026")</f>
        <v/>
      </c>
      <c r="Y40">
        <f>HYPERLINK("https://klasma.github.io/Logging_2505/kartor_geotiff/A 30048-2026 georefererad karta.tif", "A 30048-2026")</f>
        <v/>
      </c>
      <c r="AA40">
        <f>HYPERLINK("https://klasma.github.io/Logging_2505/klagomål/A 30048-2026 FSC-klagomål.docx", "A 30048-2026")</f>
        <v/>
      </c>
      <c r="AB40">
        <f>HYPERLINK("https://klasma.github.io/Logging_2505/klagomålsmail/A 30048-2026 FSC-klagomål mail.docx", "A 30048-2026")</f>
        <v/>
      </c>
      <c r="AC40">
        <f>HYPERLINK("https://klasma.github.io/Logging_2505/tillsyn/A 30048-2026 tillsynsbegäran.docx", "A 30048-2026")</f>
        <v/>
      </c>
      <c r="AD40">
        <f>HYPERLINK("https://klasma.github.io/Logging_2505/tillsynsmail/A 30048-2026 tillsynsbegäran mail.docx", "A 30048-2026")</f>
        <v/>
      </c>
      <c r="AE40">
        <f>HYPERLINK("https://klasma.github.io/Logging_2505/fåglar/A 30048-2026 prioriterade fågelarter.docx", "A 30048-2026")</f>
        <v/>
      </c>
    </row>
    <row r="41" ht="15" customHeight="1">
      <c r="A41" t="inlineStr">
        <is>
          <t>A 26560-2025</t>
        </is>
      </c>
      <c r="B41" t="inlineStr">
        <is>
          <t>avverkningsanmälan</t>
        </is>
      </c>
      <c r="C41" t="inlineStr">
        <is>
          <t>Föryngringsavverkning</t>
        </is>
      </c>
      <c r="D41" s="1" t="n">
        <v>45807</v>
      </c>
      <c r="E41" s="1" t="n">
        <v>46304</v>
      </c>
      <c r="F41" t="inlineStr">
        <is>
          <t>NORRBOTTENS LÄN</t>
        </is>
      </c>
      <c r="G41" t="inlineStr">
        <is>
          <t>ARVIDSJAUR</t>
        </is>
      </c>
      <c r="H41" t="inlineStr">
        <is>
          <t>Sveaskog</t>
        </is>
      </c>
      <c r="I41" t="n">
        <v>21</v>
      </c>
      <c r="J41" t="n">
        <v>0</v>
      </c>
      <c r="K41" t="n">
        <v>0</v>
      </c>
      <c r="L41" t="n">
        <v>2</v>
      </c>
      <c r="M41" t="n">
        <v>0</v>
      </c>
      <c r="N41" t="n">
        <v>0</v>
      </c>
      <c r="O41" t="n">
        <v>0</v>
      </c>
      <c r="P41" t="n">
        <v>0</v>
      </c>
      <c r="Q41" t="n">
        <v>2</v>
      </c>
      <c r="R41" t="n">
        <v>0</v>
      </c>
      <c r="S41" t="n">
        <v>2</v>
      </c>
      <c r="T41" t="n">
        <v>2</v>
      </c>
      <c r="U41" t="n">
        <v>0</v>
      </c>
      <c r="V41" s="2" t="inlineStr">
        <is>
          <t>Blå taggsvamp
Orange taggsvamp</t>
        </is>
      </c>
      <c r="W41">
        <f>HYPERLINK("https://klasma.github.io/Logging_2505/artfynd/A 26560-2025 artfynd.xlsx", "A 26560-2025")</f>
        <v/>
      </c>
      <c r="X41">
        <f>HYPERLINK("https://klasma.github.io/Logging_2505/kartor/A 26560-2025 karta.png", "A 26560-2025")</f>
        <v/>
      </c>
      <c r="Y41">
        <f>HYPERLINK("https://klasma.github.io/Logging_2505/kartor_geotiff/A 26560-2025 georefererad karta.tif", "A 26560-2025")</f>
        <v/>
      </c>
      <c r="AA41">
        <f>HYPERLINK("https://klasma.github.io/Logging_2505/klagomål/A 26560-2025 FSC-klagomål.docx", "A 26560-2025")</f>
        <v/>
      </c>
      <c r="AB41">
        <f>HYPERLINK("https://klasma.github.io/Logging_2505/klagomålsmail/A 26560-2025 FSC-klagomål mail.docx", "A 26560-2025")</f>
        <v/>
      </c>
      <c r="AC41">
        <f>HYPERLINK("https://klasma.github.io/Logging_2505/tillsyn/A 26560-2025 tillsynsbegäran.docx", "A 26560-2025")</f>
        <v/>
      </c>
      <c r="AD41">
        <f>HYPERLINK("https://klasma.github.io/Logging_2505/tillsynsmail/A 26560-2025 tillsynsbegäran mail.docx", "A 26560-2025")</f>
        <v/>
      </c>
    </row>
    <row r="42" ht="15" customHeight="1">
      <c r="A42" t="inlineStr">
        <is>
          <t>A 73782-2021</t>
        </is>
      </c>
      <c r="B42" t="inlineStr">
        <is>
          <t>avverkningsanmälan</t>
        </is>
      </c>
      <c r="C42" t="inlineStr">
        <is>
          <t>Föryngringsavverkning</t>
        </is>
      </c>
      <c r="D42" s="1" t="n">
        <v>44552</v>
      </c>
      <c r="E42" s="1" t="n">
        <v>46304</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14054-2026</t>
        </is>
      </c>
      <c r="B43" t="inlineStr">
        <is>
          <t>avverkningsanmälan</t>
        </is>
      </c>
      <c r="C43" t="inlineStr">
        <is>
          <t>Avverkning för annat ändamål</t>
        </is>
      </c>
      <c r="D43" s="1" t="n">
        <v>46099</v>
      </c>
      <c r="E43" s="1" t="n">
        <v>46304</v>
      </c>
      <c r="F43" t="inlineStr">
        <is>
          <t>NORRBOTTENS LÄN</t>
        </is>
      </c>
      <c r="G43" t="inlineStr">
        <is>
          <t>ARVIDSJAUR</t>
        </is>
      </c>
      <c r="H43" t="inlineStr">
        <is>
          <t>Sveaskog</t>
        </is>
      </c>
      <c r="I43" t="n">
        <v>4.7</v>
      </c>
      <c r="J43" t="n">
        <v>0</v>
      </c>
      <c r="K43" t="n">
        <v>0</v>
      </c>
      <c r="L43" t="n">
        <v>1</v>
      </c>
      <c r="M43" t="n">
        <v>0</v>
      </c>
      <c r="N43" t="n">
        <v>0</v>
      </c>
      <c r="O43" t="n">
        <v>0</v>
      </c>
      <c r="P43" t="n">
        <v>0</v>
      </c>
      <c r="Q43" t="n">
        <v>1</v>
      </c>
      <c r="R43" t="n">
        <v>0</v>
      </c>
      <c r="S43" t="n">
        <v>1</v>
      </c>
      <c r="T43" t="n">
        <v>1</v>
      </c>
      <c r="U43" t="n">
        <v>0</v>
      </c>
      <c r="V43" s="2" t="inlineStr">
        <is>
          <t>Lunglav</t>
        </is>
      </c>
      <c r="W43">
        <f>HYPERLINK("https://klasma.github.io/Logging_2505/artfynd/A 14054-2026 artfynd.xlsx", "A 14054-2026")</f>
        <v/>
      </c>
      <c r="X43">
        <f>HYPERLINK("https://klasma.github.io/Logging_2505/kartor/A 14054-2026 karta.png", "A 14054-2026")</f>
        <v/>
      </c>
      <c r="Y43">
        <f>HYPERLINK("https://klasma.github.io/Logging_2505/kartor_geotiff/A 14054-2026 georefererad karta.tif", "A 14054-2026")</f>
        <v/>
      </c>
      <c r="AA43">
        <f>HYPERLINK("https://klasma.github.io/Logging_2505/klagomål/A 14054-2026 FSC-klagomål.docx", "A 14054-2026")</f>
        <v/>
      </c>
      <c r="AB43">
        <f>HYPERLINK("https://klasma.github.io/Logging_2505/klagomålsmail/A 14054-2026 FSC-klagomål mail.docx", "A 14054-2026")</f>
        <v/>
      </c>
      <c r="AC43">
        <f>HYPERLINK("https://klasma.github.io/Logging_2505/tillsyn/A 14054-2026 tillsynsbegäran.docx", "A 14054-2026")</f>
        <v/>
      </c>
      <c r="AD43">
        <f>HYPERLINK("https://klasma.github.io/Logging_2505/tillsynsmail/A 14054-2026 tillsynsbegäran mail.docx", "A 14054-2026")</f>
        <v/>
      </c>
    </row>
    <row r="44" ht="15" customHeight="1">
      <c r="A44" t="inlineStr">
        <is>
          <t>A 50826-2025</t>
        </is>
      </c>
      <c r="B44" t="inlineStr">
        <is>
          <t>avverkningsanmälan</t>
        </is>
      </c>
      <c r="C44" t="inlineStr">
        <is>
          <t>Föryngringsavverkning</t>
        </is>
      </c>
      <c r="D44" s="1" t="n">
        <v>45946</v>
      </c>
      <c r="E44" s="1" t="n">
        <v>46304</v>
      </c>
      <c r="F44" t="inlineStr">
        <is>
          <t>NORRBOTTENS LÄN</t>
        </is>
      </c>
      <c r="G44" t="inlineStr">
        <is>
          <t>ARVIDSJAUR</t>
        </is>
      </c>
      <c r="H44" t="inlineStr">
        <is>
          <t>Sveaskog</t>
        </is>
      </c>
      <c r="I44" t="n">
        <v>31.8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HYPERLINK("https://klasma.github.io/Logging_2505/artfynd/A 50826-2025 artfynd.xlsx", "A 50826-2025")</f>
        <v/>
      </c>
      <c r="X44">
        <f>HYPERLINK("https://klasma.github.io/Logging_2505/kartor/A 50826-2025 karta.png", "A 50826-2025")</f>
        <v/>
      </c>
      <c r="Y44">
        <f>HYPERLINK("https://klasma.github.io/Logging_2505/kartor_geotiff/A 50826-2025 georefererad karta.tif", "A 50826-2025")</f>
        <v/>
      </c>
      <c r="AA44">
        <f>HYPERLINK("https://klasma.github.io/Logging_2505/klagomål/A 50826-2025 FSC-klagomål.docx", "A 50826-2025")</f>
        <v/>
      </c>
      <c r="AB44">
        <f>HYPERLINK("https://klasma.github.io/Logging_2505/klagomålsmail/A 50826-2025 FSC-klagomål mail.docx", "A 50826-2025")</f>
        <v/>
      </c>
      <c r="AC44">
        <f>HYPERLINK("https://klasma.github.io/Logging_2505/tillsyn/A 50826-2025 tillsynsbegäran.docx", "A 50826-2025")</f>
        <v/>
      </c>
      <c r="AD44">
        <f>HYPERLINK("https://klasma.github.io/Logging_2505/tillsynsmail/A 50826-2025 tillsynsbegäran mail.docx", "A 50826-2025")</f>
        <v/>
      </c>
    </row>
    <row r="45" ht="15" customHeight="1">
      <c r="A45" t="inlineStr">
        <is>
          <t>A 52444-2025</t>
        </is>
      </c>
      <c r="B45" t="inlineStr">
        <is>
          <t>avverkningsanmälan</t>
        </is>
      </c>
      <c r="C45" t="inlineStr">
        <is>
          <t>Föryngringsavverkning</t>
        </is>
      </c>
      <c r="D45" s="1" t="n">
        <v>45954</v>
      </c>
      <c r="E45" s="1" t="n">
        <v>46304</v>
      </c>
      <c r="F45" t="inlineStr">
        <is>
          <t>NORRBOTTENS LÄN</t>
        </is>
      </c>
      <c r="G45" t="inlineStr">
        <is>
          <t>ARVIDSJAUR</t>
        </is>
      </c>
      <c r="H45" t="inlineStr">
        <is>
          <t>Sveaskog</t>
        </is>
      </c>
      <c r="I45" t="n">
        <v>11.1</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HYPERLINK("https://klasma.github.io/Logging_2505/artfynd/A 52444-2025 artfynd.xlsx", "A 52444-2025")</f>
        <v/>
      </c>
      <c r="X45">
        <f>HYPERLINK("https://klasma.github.io/Logging_2505/kartor/A 52444-2025 karta.png", "A 52444-2025")</f>
        <v/>
      </c>
      <c r="Y45">
        <f>HYPERLINK("https://klasma.github.io/Logging_2505/kartor_geotiff/A 52444-2025 georefererad karta.tif", "A 52444-2025")</f>
        <v/>
      </c>
      <c r="AA45">
        <f>HYPERLINK("https://klasma.github.io/Logging_2505/klagomål/A 52444-2025 FSC-klagomål.docx", "A 52444-2025")</f>
        <v/>
      </c>
      <c r="AB45">
        <f>HYPERLINK("https://klasma.github.io/Logging_2505/klagomålsmail/A 52444-2025 FSC-klagomål mail.docx", "A 52444-2025")</f>
        <v/>
      </c>
      <c r="AC45">
        <f>HYPERLINK("https://klasma.github.io/Logging_2505/tillsyn/A 52444-2025 tillsynsbegäran.docx", "A 52444-2025")</f>
        <v/>
      </c>
      <c r="AD45">
        <f>HYPERLINK("https://klasma.github.io/Logging_2505/tillsynsmail/A 52444-2025 tillsynsbegäran mail.docx", "A 52444-2025")</f>
        <v/>
      </c>
    </row>
    <row r="46" ht="15" customHeight="1">
      <c r="A46" t="inlineStr">
        <is>
          <t>A 53978-2025</t>
        </is>
      </c>
      <c r="B46" t="inlineStr">
        <is>
          <t>avverkningsanmälan</t>
        </is>
      </c>
      <c r="C46" t="inlineStr">
        <is>
          <t>Föryngringsavverkning</t>
        </is>
      </c>
      <c r="D46" s="1" t="n">
        <v>45961</v>
      </c>
      <c r="E46" s="1" t="n">
        <v>46304</v>
      </c>
      <c r="F46" t="inlineStr">
        <is>
          <t>NORRBOTTENS LÄN</t>
        </is>
      </c>
      <c r="G46" t="inlineStr">
        <is>
          <t>ARVIDSJAUR</t>
        </is>
      </c>
      <c r="H46" t="inlineStr">
        <is>
          <t>Sveaskog</t>
        </is>
      </c>
      <c r="I46" t="n">
        <v>2.5</v>
      </c>
      <c r="J46" t="n">
        <v>1</v>
      </c>
      <c r="K46" t="n">
        <v>0</v>
      </c>
      <c r="L46" t="n">
        <v>0</v>
      </c>
      <c r="M46" t="n">
        <v>0</v>
      </c>
      <c r="N46" t="n">
        <v>0</v>
      </c>
      <c r="O46" t="n">
        <v>0</v>
      </c>
      <c r="P46" t="n">
        <v>0</v>
      </c>
      <c r="Q46" t="n">
        <v>0</v>
      </c>
      <c r="R46" t="n">
        <v>0</v>
      </c>
      <c r="S46" t="n">
        <v>1</v>
      </c>
      <c r="T46" t="n">
        <v>1</v>
      </c>
      <c r="U46" t="n">
        <v>0</v>
      </c>
      <c r="V46" s="2" t="inlineStr">
        <is>
          <t>Tjäder</t>
        </is>
      </c>
      <c r="W46">
        <f>HYPERLINK("https://klasma.github.io/Logging_2505/artfynd/A 53978-2025 artfynd.xlsx", "A 53978-2025")</f>
        <v/>
      </c>
      <c r="X46">
        <f>HYPERLINK("https://klasma.github.io/Logging_2505/kartor/A 53978-2025 karta.png", "A 53978-2025")</f>
        <v/>
      </c>
      <c r="Y46">
        <f>HYPERLINK("https://klasma.github.io/Logging_2505/kartor_geotiff/A 53978-2025 georefererad karta.tif", "A 53978-2025")</f>
        <v/>
      </c>
      <c r="AA46">
        <f>HYPERLINK("https://klasma.github.io/Logging_2505/klagomål/A 53978-2025 FSC-klagomål.docx", "A 53978-2025")</f>
        <v/>
      </c>
      <c r="AB46">
        <f>HYPERLINK("https://klasma.github.io/Logging_2505/klagomålsmail/A 53978-2025 FSC-klagomål mail.docx", "A 53978-2025")</f>
        <v/>
      </c>
      <c r="AC46">
        <f>HYPERLINK("https://klasma.github.io/Logging_2505/tillsyn/A 53978-2025 tillsynsbegäran.docx", "A 53978-2025")</f>
        <v/>
      </c>
      <c r="AD46">
        <f>HYPERLINK("https://klasma.github.io/Logging_2505/tillsynsmail/A 53978-2025 tillsynsbegäran mail.docx", "A 53978-2025")</f>
        <v/>
      </c>
      <c r="AE46">
        <f>HYPERLINK("https://klasma.github.io/Logging_2505/fåglar/A 53978-2025 prioriterade fågelarter.docx", "A 53978-2025")</f>
        <v/>
      </c>
    </row>
    <row r="47" ht="15" customHeight="1">
      <c r="A47" t="inlineStr">
        <is>
          <t>A 56168-2025</t>
        </is>
      </c>
      <c r="B47" t="inlineStr">
        <is>
          <t>avverkningsanmälan</t>
        </is>
      </c>
      <c r="C47" t="inlineStr">
        <is>
          <t>Föryngringsavverkning</t>
        </is>
      </c>
      <c r="D47" s="1" t="n">
        <v>45974</v>
      </c>
      <c r="E47" s="1" t="n">
        <v>46304</v>
      </c>
      <c r="F47" t="inlineStr">
        <is>
          <t>NORRBOTTENS LÄN</t>
        </is>
      </c>
      <c r="G47" t="inlineStr">
        <is>
          <t>ARVIDSJAUR</t>
        </is>
      </c>
      <c r="H47" t="inlineStr">
        <is>
          <t>Sveaskog</t>
        </is>
      </c>
      <c r="I47" t="n">
        <v>14.4</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HYPERLINK("https://klasma.github.io/Logging_2505/artfynd/A 56168-2025 artfynd.xlsx", "A 56168-2025")</f>
        <v/>
      </c>
      <c r="X47">
        <f>HYPERLINK("https://klasma.github.io/Logging_2505/kartor/A 56168-2025 karta.png", "A 56168-2025")</f>
        <v/>
      </c>
      <c r="Y47">
        <f>HYPERLINK("https://klasma.github.io/Logging_2505/kartor_geotiff/A 56168-2025 georefererad karta.tif", "A 56168-2025")</f>
        <v/>
      </c>
      <c r="AA47">
        <f>HYPERLINK("https://klasma.github.io/Logging_2505/klagomål/A 56168-2025 FSC-klagomål.docx", "A 56168-2025")</f>
        <v/>
      </c>
      <c r="AB47">
        <f>HYPERLINK("https://klasma.github.io/Logging_2505/klagomålsmail/A 56168-2025 FSC-klagomål mail.docx", "A 56168-2025")</f>
        <v/>
      </c>
      <c r="AC47">
        <f>HYPERLINK("https://klasma.github.io/Logging_2505/tillsyn/A 56168-2025 tillsynsbegäran.docx", "A 56168-2025")</f>
        <v/>
      </c>
      <c r="AD47">
        <f>HYPERLINK("https://klasma.github.io/Logging_2505/tillsynsmail/A 56168-2025 tillsynsbegäran mail.docx", "A 56168-2025")</f>
        <v/>
      </c>
      <c r="AE47">
        <f>HYPERLINK("https://klasma.github.io/Logging_2505/fåglar/A 56168-2025 prioriterade fågelarter.docx", "A 56168-2025")</f>
        <v/>
      </c>
    </row>
    <row r="48" ht="15" customHeight="1">
      <c r="A48" t="inlineStr">
        <is>
          <t>A 60560-2025</t>
        </is>
      </c>
      <c r="B48" t="inlineStr">
        <is>
          <t>avverkningsanmälan</t>
        </is>
      </c>
      <c r="C48" t="inlineStr">
        <is>
          <t>Föryngringsavverkning</t>
        </is>
      </c>
      <c r="D48" s="1" t="n">
        <v>45994</v>
      </c>
      <c r="E48" s="1" t="n">
        <v>46304</v>
      </c>
      <c r="F48" t="inlineStr">
        <is>
          <t>NORRBOTTENS LÄN</t>
        </is>
      </c>
      <c r="G48" t="inlineStr">
        <is>
          <t>ARVIDSJAUR</t>
        </is>
      </c>
      <c r="I48" t="n">
        <v>6.6</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HYPERLINK("https://klasma.github.io/Logging_2505/artfynd/A 60560-2025 artfynd.xlsx", "A 60560-2025")</f>
        <v/>
      </c>
      <c r="X48">
        <f>HYPERLINK("https://klasma.github.io/Logging_2505/kartor/A 60560-2025 karta.png", "A 60560-2025")</f>
        <v/>
      </c>
      <c r="Y48">
        <f>HYPERLINK("https://klasma.github.io/Logging_2505/kartor_geotiff/A 60560-2025 georefererad karta.tif", "A 60560-2025")</f>
        <v/>
      </c>
      <c r="AA48">
        <f>HYPERLINK("https://klasma.github.io/Logging_2505/klagomål/A 60560-2025 FSC-klagomål.docx", "A 60560-2025")</f>
        <v/>
      </c>
      <c r="AB48">
        <f>HYPERLINK("https://klasma.github.io/Logging_2505/klagomålsmail/A 60560-2025 FSC-klagomål mail.docx", "A 60560-2025")</f>
        <v/>
      </c>
      <c r="AC48">
        <f>HYPERLINK("https://klasma.github.io/Logging_2505/tillsyn/A 60560-2025 tillsynsbegäran.docx", "A 60560-2025")</f>
        <v/>
      </c>
      <c r="AD48">
        <f>HYPERLINK("https://klasma.github.io/Logging_2505/tillsynsmail/A 60560-2025 tillsynsbegäran mail.docx", "A 60560-2025")</f>
        <v/>
      </c>
    </row>
    <row r="49" ht="15" customHeight="1">
      <c r="A49" t="inlineStr">
        <is>
          <t>A 60460-2025</t>
        </is>
      </c>
      <c r="B49" t="inlineStr">
        <is>
          <t>avverkningsanmälan</t>
        </is>
      </c>
      <c r="C49" t="inlineStr">
        <is>
          <t>Föryngringsavverkning</t>
        </is>
      </c>
      <c r="D49" s="1" t="n">
        <v>45995</v>
      </c>
      <c r="E49" s="1" t="n">
        <v>46304</v>
      </c>
      <c r="F49" t="inlineStr">
        <is>
          <t>NORRBOTTENS LÄN</t>
        </is>
      </c>
      <c r="G49" t="inlineStr">
        <is>
          <t>ARVIDSJAUR</t>
        </is>
      </c>
      <c r="H49" t="inlineStr">
        <is>
          <t>Sveaskog</t>
        </is>
      </c>
      <c r="I49" t="n">
        <v>1.7</v>
      </c>
      <c r="J49" t="n">
        <v>0</v>
      </c>
      <c r="K49" t="n">
        <v>0</v>
      </c>
      <c r="L49" t="n">
        <v>1</v>
      </c>
      <c r="M49" t="n">
        <v>0</v>
      </c>
      <c r="N49" t="n">
        <v>0</v>
      </c>
      <c r="O49" t="n">
        <v>0</v>
      </c>
      <c r="P49" t="n">
        <v>0</v>
      </c>
      <c r="Q49" t="n">
        <v>1</v>
      </c>
      <c r="R49" t="n">
        <v>0</v>
      </c>
      <c r="S49" t="n">
        <v>1</v>
      </c>
      <c r="T49" t="n">
        <v>1</v>
      </c>
      <c r="U49" t="n">
        <v>0</v>
      </c>
      <c r="V49" s="2" t="inlineStr">
        <is>
          <t>Ullticka</t>
        </is>
      </c>
      <c r="W49">
        <f>HYPERLINK("https://klasma.github.io/Logging_2505/artfynd/A 60460-2025 artfynd.xlsx", "A 60460-2025")</f>
        <v/>
      </c>
      <c r="X49">
        <f>HYPERLINK("https://klasma.github.io/Logging_2505/kartor/A 60460-2025 karta.png", "A 60460-2025")</f>
        <v/>
      </c>
      <c r="Y49">
        <f>HYPERLINK("https://klasma.github.io/Logging_2505/kartor_geotiff/A 60460-2025 georefererad karta.tif", "A 60460-2025")</f>
        <v/>
      </c>
      <c r="AA49">
        <f>HYPERLINK("https://klasma.github.io/Logging_2505/klagomål/A 60460-2025 FSC-klagomål.docx", "A 60460-2025")</f>
        <v/>
      </c>
      <c r="AB49">
        <f>HYPERLINK("https://klasma.github.io/Logging_2505/klagomålsmail/A 60460-2025 FSC-klagomål mail.docx", "A 60460-2025")</f>
        <v/>
      </c>
      <c r="AC49">
        <f>HYPERLINK("https://klasma.github.io/Logging_2505/tillsyn/A 60460-2025 tillsynsbegäran.docx", "A 60460-2025")</f>
        <v/>
      </c>
      <c r="AD49">
        <f>HYPERLINK("https://klasma.github.io/Logging_2505/tillsynsmail/A 60460-2025 tillsynsbegäran mail.docx", "A 60460-2025")</f>
        <v/>
      </c>
    </row>
    <row r="50" ht="15" customHeight="1">
      <c r="A50" t="inlineStr">
        <is>
          <t>A 48368-2024</t>
        </is>
      </c>
      <c r="B50" t="inlineStr">
        <is>
          <t>avverkningsanmälan</t>
        </is>
      </c>
      <c r="C50" t="inlineStr">
        <is>
          <t>Föryngringsavverkning</t>
        </is>
      </c>
      <c r="D50" s="1" t="n">
        <v>45590</v>
      </c>
      <c r="E50" s="1" t="n">
        <v>46304</v>
      </c>
      <c r="F50" t="inlineStr">
        <is>
          <t>NORRBOTTENS LÄN</t>
        </is>
      </c>
      <c r="G50" t="inlineStr">
        <is>
          <t>ARVIDSJAUR</t>
        </is>
      </c>
      <c r="H50" t="inlineStr">
        <is>
          <t>Sveaskog</t>
        </is>
      </c>
      <c r="I50" t="n">
        <v>7.2</v>
      </c>
      <c r="J50" t="n">
        <v>0</v>
      </c>
      <c r="K50" t="n">
        <v>0</v>
      </c>
      <c r="L50" t="n">
        <v>1</v>
      </c>
      <c r="M50" t="n">
        <v>0</v>
      </c>
      <c r="N50" t="n">
        <v>0</v>
      </c>
      <c r="O50" t="n">
        <v>0</v>
      </c>
      <c r="P50" t="n">
        <v>0</v>
      </c>
      <c r="Q50" t="n">
        <v>1</v>
      </c>
      <c r="R50" t="n">
        <v>0</v>
      </c>
      <c r="S50" t="n">
        <v>1</v>
      </c>
      <c r="T50" t="n">
        <v>1</v>
      </c>
      <c r="U50" t="n">
        <v>1</v>
      </c>
      <c r="V50" s="2" t="inlineStr">
        <is>
          <t>Orange taggsvamp</t>
        </is>
      </c>
      <c r="W50">
        <f>HYPERLINK("https://klasma.github.io/Logging_2505/artfynd/A 48368-2024 artfynd.xlsx", "A 48368-2024")</f>
        <v/>
      </c>
      <c r="X50">
        <f>HYPERLINK("https://klasma.github.io/Logging_2505/kartor/A 48368-2024 karta.png", "A 48368-2024")</f>
        <v/>
      </c>
      <c r="Y50">
        <f>HYPERLINK("https://klasma.github.io/Logging_2505/kartor_geotiff/A 48368-2024 georefererad karta.tif", "A 48368-2024")</f>
        <v/>
      </c>
      <c r="AA50">
        <f>HYPERLINK("https://klasma.github.io/Logging_2505/klagomål/A 48368-2024 FSC-klagomål.docx", "A 48368-2024")</f>
        <v/>
      </c>
      <c r="AB50">
        <f>HYPERLINK("https://klasma.github.io/Logging_2505/klagomålsmail/A 48368-2024 FSC-klagomål mail.docx", "A 48368-2024")</f>
        <v/>
      </c>
      <c r="AC50">
        <f>HYPERLINK("https://klasma.github.io/Logging_2505/tillsyn/A 48368-2024 tillsynsbegäran.docx", "A 48368-2024")</f>
        <v/>
      </c>
      <c r="AD50">
        <f>HYPERLINK("https://klasma.github.io/Logging_2505/tillsynsmail/A 48368-2024 tillsynsbegäran mail.docx", "A 48368-2024")</f>
        <v/>
      </c>
    </row>
    <row r="51" ht="15" customHeight="1">
      <c r="A51" t="inlineStr">
        <is>
          <t>A 45386-2024</t>
        </is>
      </c>
      <c r="B51" t="inlineStr">
        <is>
          <t>avverkningsanmälan</t>
        </is>
      </c>
      <c r="C51" t="inlineStr">
        <is>
          <t>Föryngringsavverkning</t>
        </is>
      </c>
      <c r="D51" s="1" t="n">
        <v>45576</v>
      </c>
      <c r="E51" s="1" t="n">
        <v>46304</v>
      </c>
      <c r="F51" t="inlineStr">
        <is>
          <t>NORRBOTTENS LÄN</t>
        </is>
      </c>
      <c r="G51" t="inlineStr">
        <is>
          <t>ARVIDSJAUR</t>
        </is>
      </c>
      <c r="H51" t="inlineStr">
        <is>
          <t>Sveaskog</t>
        </is>
      </c>
      <c r="I51" t="n">
        <v>11.9</v>
      </c>
      <c r="J51" t="n">
        <v>0</v>
      </c>
      <c r="K51" t="n">
        <v>0</v>
      </c>
      <c r="L51" t="n">
        <v>1</v>
      </c>
      <c r="M51" t="n">
        <v>0</v>
      </c>
      <c r="N51" t="n">
        <v>0</v>
      </c>
      <c r="O51" t="n">
        <v>0</v>
      </c>
      <c r="P51" t="n">
        <v>0</v>
      </c>
      <c r="Q51" t="n">
        <v>1</v>
      </c>
      <c r="R51" t="n">
        <v>0</v>
      </c>
      <c r="S51" t="n">
        <v>1</v>
      </c>
      <c r="T51" t="n">
        <v>1</v>
      </c>
      <c r="U51" t="n">
        <v>1</v>
      </c>
      <c r="V51" s="2" t="inlineStr">
        <is>
          <t>Dropptaggsvamp</t>
        </is>
      </c>
      <c r="W51">
        <f>HYPERLINK("https://klasma.github.io/Logging_2505/artfynd/A 45386-2024 artfynd.xlsx", "A 45386-2024")</f>
        <v/>
      </c>
      <c r="X51">
        <f>HYPERLINK("https://klasma.github.io/Logging_2505/kartor/A 45386-2024 karta.png", "A 45386-2024")</f>
        <v/>
      </c>
      <c r="Y51">
        <f>HYPERLINK("https://klasma.github.io/Logging_2505/kartor_geotiff/A 45386-2024 georefererad karta.tif", "A 45386-2024")</f>
        <v/>
      </c>
      <c r="AA51">
        <f>HYPERLINK("https://klasma.github.io/Logging_2505/klagomål/A 45386-2024 FSC-klagomål.docx", "A 45386-2024")</f>
        <v/>
      </c>
      <c r="AB51">
        <f>HYPERLINK("https://klasma.github.io/Logging_2505/klagomålsmail/A 45386-2024 FSC-klagomål mail.docx", "A 45386-2024")</f>
        <v/>
      </c>
      <c r="AC51">
        <f>HYPERLINK("https://klasma.github.io/Logging_2505/tillsyn/A 45386-2024 tillsynsbegäran.docx", "A 45386-2024")</f>
        <v/>
      </c>
      <c r="AD51">
        <f>HYPERLINK("https://klasma.github.io/Logging_2505/tillsynsmail/A 45386-2024 tillsynsbegäran mail.docx", "A 45386-2024")</f>
        <v/>
      </c>
    </row>
    <row r="52" ht="15" customHeight="1">
      <c r="A52" t="inlineStr">
        <is>
          <t>A 25738-2026</t>
        </is>
      </c>
      <c r="B52" t="inlineStr">
        <is>
          <t>avverkningsanmälan</t>
        </is>
      </c>
      <c r="C52" t="inlineStr">
        <is>
          <t>Föryngringsavverkning</t>
        </is>
      </c>
      <c r="D52" s="1" t="n">
        <v>46178</v>
      </c>
      <c r="E52" s="1" t="n">
        <v>46304</v>
      </c>
      <c r="F52" t="inlineStr">
        <is>
          <t>NORRBOTTENS LÄN</t>
        </is>
      </c>
      <c r="G52" t="inlineStr">
        <is>
          <t>ARVIDSJAUR</t>
        </is>
      </c>
      <c r="H52" t="inlineStr">
        <is>
          <t>Sveaskog</t>
        </is>
      </c>
      <c r="I52" t="n">
        <v>13.3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HYPERLINK("https://klasma.github.io/Logging_2505/artfynd/A 25738-2026 artfynd.xlsx", "A 25738-2026")</f>
        <v/>
      </c>
      <c r="X52">
        <f>HYPERLINK("https://klasma.github.io/Logging_2505/kartor/A 25738-2026 karta.png", "A 25738-2026")</f>
        <v/>
      </c>
      <c r="Y52">
        <f>HYPERLINK("https://klasma.github.io/Logging_2505/kartor_geotiff/A 25738-2026 georefererad karta.tif", "A 25738-2026")</f>
        <v/>
      </c>
      <c r="AA52">
        <f>HYPERLINK("https://klasma.github.io/Logging_2505/klagomål/A 25738-2026 FSC-klagomål.docx", "A 25738-2026")</f>
        <v/>
      </c>
      <c r="AB52">
        <f>HYPERLINK("https://klasma.github.io/Logging_2505/klagomålsmail/A 25738-2026 FSC-klagomål mail.docx", "A 25738-2026")</f>
        <v/>
      </c>
      <c r="AC52">
        <f>HYPERLINK("https://klasma.github.io/Logging_2505/tillsyn/A 25738-2026 tillsynsbegäran.docx", "A 25738-2026")</f>
        <v/>
      </c>
      <c r="AD52">
        <f>HYPERLINK("https://klasma.github.io/Logging_2505/tillsynsmail/A 25738-2026 tillsynsbegäran mail.docx", "A 25738-2026")</f>
        <v/>
      </c>
    </row>
    <row r="53" ht="15" customHeight="1">
      <c r="A53" t="inlineStr">
        <is>
          <t>A 54539-2024</t>
        </is>
      </c>
      <c r="B53" t="inlineStr">
        <is>
          <t>avverkningsanmälan</t>
        </is>
      </c>
      <c r="C53" t="inlineStr">
        <is>
          <t>Föryngringsavverkning</t>
        </is>
      </c>
      <c r="D53" s="1" t="n">
        <v>45617</v>
      </c>
      <c r="E53" s="1" t="n">
        <v>46304</v>
      </c>
      <c r="F53" t="inlineStr">
        <is>
          <t>NORRBOTTENS LÄN</t>
        </is>
      </c>
      <c r="G53" t="inlineStr">
        <is>
          <t>ARVIDSJAUR</t>
        </is>
      </c>
      <c r="H53" t="inlineStr">
        <is>
          <t>Sveaskog</t>
        </is>
      </c>
      <c r="I53" t="n">
        <v>22.1</v>
      </c>
      <c r="J53" t="n">
        <v>0</v>
      </c>
      <c r="K53" t="n">
        <v>0</v>
      </c>
      <c r="L53" t="n">
        <v>1</v>
      </c>
      <c r="M53" t="n">
        <v>0</v>
      </c>
      <c r="N53" t="n">
        <v>0</v>
      </c>
      <c r="O53" t="n">
        <v>0</v>
      </c>
      <c r="P53" t="n">
        <v>0</v>
      </c>
      <c r="Q53" t="n">
        <v>1</v>
      </c>
      <c r="R53" t="n">
        <v>0</v>
      </c>
      <c r="S53" t="n">
        <v>1</v>
      </c>
      <c r="T53" t="n">
        <v>1</v>
      </c>
      <c r="U53" t="n">
        <v>1</v>
      </c>
      <c r="V53" s="2" t="inlineStr">
        <is>
          <t>Vaddporing</t>
        </is>
      </c>
      <c r="W53">
        <f>HYPERLINK("https://klasma.github.io/Logging_2505/artfynd/A 54539-2024 artfynd.xlsx", "A 54539-2024")</f>
        <v/>
      </c>
      <c r="X53">
        <f>HYPERLINK("https://klasma.github.io/Logging_2505/kartor/A 54539-2024 karta.png", "A 54539-2024")</f>
        <v/>
      </c>
      <c r="Y53">
        <f>HYPERLINK("https://klasma.github.io/Logging_2505/kartor_geotiff/A 54539-2024 georefererad karta.tif", "A 54539-2024")</f>
        <v/>
      </c>
      <c r="AA53">
        <f>HYPERLINK("https://klasma.github.io/Logging_2505/klagomål/A 54539-2024 FSC-klagomål.docx", "A 54539-2024")</f>
        <v/>
      </c>
      <c r="AB53">
        <f>HYPERLINK("https://klasma.github.io/Logging_2505/klagomålsmail/A 54539-2024 FSC-klagomål mail.docx", "A 54539-2024")</f>
        <v/>
      </c>
      <c r="AC53">
        <f>HYPERLINK("https://klasma.github.io/Logging_2505/tillsyn/A 54539-2024 tillsynsbegäran.docx", "A 54539-2024")</f>
        <v/>
      </c>
      <c r="AD53">
        <f>HYPERLINK("https://klasma.github.io/Logging_2505/tillsynsmail/A 54539-2024 tillsynsbegäran mail.docx", "A 54539-2024")</f>
        <v/>
      </c>
    </row>
    <row r="54" ht="15" customHeight="1">
      <c r="A54" t="inlineStr">
        <is>
          <t>A 27539-2026</t>
        </is>
      </c>
      <c r="B54" t="inlineStr">
        <is>
          <t>avverkningsanmälan</t>
        </is>
      </c>
      <c r="C54" t="inlineStr">
        <is>
          <t>Föryngringsavverkning</t>
        </is>
      </c>
      <c r="D54" s="1" t="n">
        <v>46190</v>
      </c>
      <c r="E54" s="1" t="n">
        <v>46304</v>
      </c>
      <c r="F54" t="inlineStr">
        <is>
          <t>NORRBOTTENS LÄN</t>
        </is>
      </c>
      <c r="G54" t="inlineStr">
        <is>
          <t>ARVIDSJAUR</t>
        </is>
      </c>
      <c r="H54" t="inlineStr">
        <is>
          <t>Sveaskog</t>
        </is>
      </c>
      <c r="I54" t="n">
        <v>13.5</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27539-2026 artfynd.xlsx", "A 27539-2026")</f>
        <v/>
      </c>
      <c r="X54">
        <f>HYPERLINK("https://klasma.github.io/Logging_2505/kartor/A 27539-2026 karta.png", "A 27539-2026")</f>
        <v/>
      </c>
      <c r="Y54">
        <f>HYPERLINK("https://klasma.github.io/Logging_2505/kartor_geotiff/A 27539-2026 georefererad karta.tif", "A 27539-2026")</f>
        <v/>
      </c>
      <c r="AA54">
        <f>HYPERLINK("https://klasma.github.io/Logging_2505/klagomål/A 27539-2026 FSC-klagomål.docx", "A 27539-2026")</f>
        <v/>
      </c>
      <c r="AB54">
        <f>HYPERLINK("https://klasma.github.io/Logging_2505/klagomålsmail/A 27539-2026 FSC-klagomål mail.docx", "A 27539-2026")</f>
        <v/>
      </c>
      <c r="AC54">
        <f>HYPERLINK("https://klasma.github.io/Logging_2505/tillsyn/A 27539-2026 tillsynsbegäran.docx", "A 27539-2026")</f>
        <v/>
      </c>
      <c r="AD54">
        <f>HYPERLINK("https://klasma.github.io/Logging_2505/tillsynsmail/A 27539-2026 tillsynsbegäran mail.docx", "A 27539-2026")</f>
        <v/>
      </c>
    </row>
    <row r="55" ht="15" customHeight="1">
      <c r="A55" t="inlineStr">
        <is>
          <t>A 31666-2023</t>
        </is>
      </c>
      <c r="B55" t="inlineStr">
        <is>
          <t>avverkningsanmälan</t>
        </is>
      </c>
      <c r="C55" t="inlineStr">
        <is>
          <t>Föryngringsavverkning</t>
        </is>
      </c>
      <c r="D55" s="1" t="n">
        <v>45105</v>
      </c>
      <c r="E55" s="1" t="n">
        <v>46304</v>
      </c>
      <c r="F55" t="inlineStr">
        <is>
          <t>NORRBOTTENS LÄN</t>
        </is>
      </c>
      <c r="G55" t="inlineStr">
        <is>
          <t>ARVIDSJAUR</t>
        </is>
      </c>
      <c r="I55" t="n">
        <v>6.5</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HYPERLINK("https://klasma.github.io/Logging_2505/artfynd/A 31666-2023 artfynd.xlsx", "A 31666-2023")</f>
        <v/>
      </c>
      <c r="X55">
        <f>HYPERLINK("https://klasma.github.io/Logging_2505/kartor/A 31666-2023 karta.png", "A 31666-2023")</f>
        <v/>
      </c>
      <c r="Y55">
        <f>HYPERLINK("https://klasma.github.io/Logging_2505/kartor_geotiff/A 31666-2023 georefererad karta.tif", "A 31666-2023")</f>
        <v/>
      </c>
      <c r="AA55">
        <f>HYPERLINK("https://klasma.github.io/Logging_2505/klagomål/A 31666-2023 FSC-klagomål.docx", "A 31666-2023")</f>
        <v/>
      </c>
      <c r="AB55">
        <f>HYPERLINK("https://klasma.github.io/Logging_2505/klagomålsmail/A 31666-2023 FSC-klagomål mail.docx", "A 31666-2023")</f>
        <v/>
      </c>
      <c r="AC55">
        <f>HYPERLINK("https://klasma.github.io/Logging_2505/tillsyn/A 31666-2023 tillsynsbegäran.docx", "A 31666-2023")</f>
        <v/>
      </c>
      <c r="AD55">
        <f>HYPERLINK("https://klasma.github.io/Logging_2505/tillsynsmail/A 31666-2023 tillsynsbegäran mail.docx", "A 31666-2023")</f>
        <v/>
      </c>
    </row>
    <row r="56" ht="15" customHeight="1">
      <c r="A56" t="inlineStr">
        <is>
          <t>A 30825-2026</t>
        </is>
      </c>
      <c r="B56" t="inlineStr">
        <is>
          <t>avverkningsanmälan</t>
        </is>
      </c>
      <c r="C56" t="inlineStr">
        <is>
          <t>Föryngringsavverkning</t>
        </is>
      </c>
      <c r="D56" s="1" t="n">
        <v>46212</v>
      </c>
      <c r="E56" s="1" t="n">
        <v>46304</v>
      </c>
      <c r="F56" t="inlineStr">
        <is>
          <t>NORRBOTTENS LÄN</t>
        </is>
      </c>
      <c r="G56" t="inlineStr">
        <is>
          <t>ARVIDSJAUR</t>
        </is>
      </c>
      <c r="H56" t="inlineStr">
        <is>
          <t>Sveaskog</t>
        </is>
      </c>
      <c r="I56" t="n">
        <v>4.4</v>
      </c>
      <c r="J56" t="n">
        <v>1</v>
      </c>
      <c r="K56" t="n">
        <v>0</v>
      </c>
      <c r="L56" t="n">
        <v>1</v>
      </c>
      <c r="M56" t="n">
        <v>0</v>
      </c>
      <c r="N56" t="n">
        <v>0</v>
      </c>
      <c r="O56" t="n">
        <v>0</v>
      </c>
      <c r="P56" t="n">
        <v>0</v>
      </c>
      <c r="Q56" t="n">
        <v>1</v>
      </c>
      <c r="R56" t="n">
        <v>0</v>
      </c>
      <c r="S56" t="n">
        <v>1</v>
      </c>
      <c r="T56" t="n">
        <v>1</v>
      </c>
      <c r="U56" t="n">
        <v>0</v>
      </c>
      <c r="V56" s="2" t="inlineStr">
        <is>
          <t>Talltita</t>
        </is>
      </c>
      <c r="W56">
        <f>HYPERLINK("https://klasma.github.io/Logging_2505/artfynd/A 30825-2026 artfynd.xlsx", "A 30825-2026")</f>
        <v/>
      </c>
      <c r="X56">
        <f>HYPERLINK("https://klasma.github.io/Logging_2505/kartor/A 30825-2026 karta.png", "A 30825-2026")</f>
        <v/>
      </c>
      <c r="Y56">
        <f>HYPERLINK("https://klasma.github.io/Logging_2505/kartor_geotiff/A 30825-2026 georefererad karta.tif", "A 30825-2026")</f>
        <v/>
      </c>
      <c r="AA56">
        <f>HYPERLINK("https://klasma.github.io/Logging_2505/klagomål/A 30825-2026 FSC-klagomål.docx", "A 30825-2026")</f>
        <v/>
      </c>
      <c r="AB56">
        <f>HYPERLINK("https://klasma.github.io/Logging_2505/klagomålsmail/A 30825-2026 FSC-klagomål mail.docx", "A 30825-2026")</f>
        <v/>
      </c>
      <c r="AC56">
        <f>HYPERLINK("https://klasma.github.io/Logging_2505/tillsyn/A 30825-2026 tillsynsbegäran.docx", "A 30825-2026")</f>
        <v/>
      </c>
      <c r="AD56">
        <f>HYPERLINK("https://klasma.github.io/Logging_2505/tillsynsmail/A 30825-2026 tillsynsbegäran mail.docx", "A 30825-2026")</f>
        <v/>
      </c>
      <c r="AE56">
        <f>HYPERLINK("https://klasma.github.io/Logging_2505/fåglar/A 30825-2026 prioriterade fågelarter.docx", "A 30825-2026")</f>
        <v/>
      </c>
    </row>
    <row r="57" ht="15" customHeight="1">
      <c r="A57" t="inlineStr">
        <is>
          <t>A 36843-2026</t>
        </is>
      </c>
      <c r="B57" t="inlineStr">
        <is>
          <t>avverkningsanmälan</t>
        </is>
      </c>
      <c r="C57" t="inlineStr">
        <is>
          <t>Föryngringsavverkning</t>
        </is>
      </c>
      <c r="D57" s="1" t="n">
        <v>46272</v>
      </c>
      <c r="E57" s="1" t="n">
        <v>46304</v>
      </c>
      <c r="F57" t="inlineStr">
        <is>
          <t>NORRBOTTENS LÄN</t>
        </is>
      </c>
      <c r="G57" t="inlineStr">
        <is>
          <t>ARVIDSJAUR</t>
        </is>
      </c>
      <c r="H57" t="inlineStr">
        <is>
          <t>Sveaskog</t>
        </is>
      </c>
      <c r="I57" t="n">
        <v>6.1</v>
      </c>
      <c r="J57" t="n">
        <v>0</v>
      </c>
      <c r="K57" t="n">
        <v>0</v>
      </c>
      <c r="L57" t="n">
        <v>0</v>
      </c>
      <c r="M57" t="n">
        <v>1</v>
      </c>
      <c r="N57" t="n">
        <v>0</v>
      </c>
      <c r="O57" t="n">
        <v>0</v>
      </c>
      <c r="P57" t="n">
        <v>0</v>
      </c>
      <c r="Q57" t="n">
        <v>1</v>
      </c>
      <c r="R57" t="n">
        <v>1</v>
      </c>
      <c r="S57" t="n">
        <v>1</v>
      </c>
      <c r="T57" t="n">
        <v>1</v>
      </c>
      <c r="U57" t="n">
        <v>0</v>
      </c>
      <c r="V57" s="2" t="inlineStr">
        <is>
          <t>Gräddticka</t>
        </is>
      </c>
      <c r="W57">
        <f>HYPERLINK("https://klasma.github.io/Logging_2505/artfynd/A 36843-2026 artfynd.xlsx", "A 36843-2026")</f>
        <v/>
      </c>
      <c r="X57">
        <f>HYPERLINK("https://klasma.github.io/Logging_2505/kartor/A 36843-2026 karta.png", "A 36843-2026")</f>
        <v/>
      </c>
      <c r="Y57">
        <f>HYPERLINK("https://klasma.github.io/Logging_2505/kartor_geotiff/A 36843-2026 georefererad karta.tif", "A 36843-2026")</f>
        <v/>
      </c>
      <c r="AA57">
        <f>HYPERLINK("https://klasma.github.io/Logging_2505/klagomål/A 36843-2026 FSC-klagomål.docx", "A 36843-2026")</f>
        <v/>
      </c>
      <c r="AB57">
        <f>HYPERLINK("https://klasma.github.io/Logging_2505/klagomålsmail/A 36843-2026 FSC-klagomål mail.docx", "A 36843-2026")</f>
        <v/>
      </c>
      <c r="AC57">
        <f>HYPERLINK("https://klasma.github.io/Logging_2505/tillsyn/A 36843-2026 tillsynsbegäran.docx", "A 36843-2026")</f>
        <v/>
      </c>
      <c r="AD57">
        <f>HYPERLINK("https://klasma.github.io/Logging_2505/tillsynsmail/A 36843-2026 tillsynsbegäran mail.docx", "A 36843-2026")</f>
        <v/>
      </c>
    </row>
    <row r="58" ht="15" customHeight="1">
      <c r="A58" t="inlineStr">
        <is>
          <t>A 36877-2026</t>
        </is>
      </c>
      <c r="B58" t="inlineStr">
        <is>
          <t>avverkningsanmälan</t>
        </is>
      </c>
      <c r="C58" t="inlineStr">
        <is>
          <t>Föryngringsavverkning</t>
        </is>
      </c>
      <c r="D58" s="1" t="n">
        <v>46273</v>
      </c>
      <c r="E58" s="1" t="n">
        <v>46304</v>
      </c>
      <c r="F58" t="inlineStr">
        <is>
          <t>NORRBOTTENS LÄN</t>
        </is>
      </c>
      <c r="G58" t="inlineStr">
        <is>
          <t>ARVIDSJAUR</t>
        </is>
      </c>
      <c r="H58" t="inlineStr">
        <is>
          <t>Sveaskog</t>
        </is>
      </c>
      <c r="I58" t="n">
        <v>2.2</v>
      </c>
      <c r="J58" t="n">
        <v>0</v>
      </c>
      <c r="K58" t="n">
        <v>0</v>
      </c>
      <c r="L58" t="n">
        <v>0</v>
      </c>
      <c r="M58" t="n">
        <v>1</v>
      </c>
      <c r="N58" t="n">
        <v>0</v>
      </c>
      <c r="O58" t="n">
        <v>0</v>
      </c>
      <c r="P58" t="n">
        <v>0</v>
      </c>
      <c r="Q58" t="n">
        <v>1</v>
      </c>
      <c r="R58" t="n">
        <v>1</v>
      </c>
      <c r="S58" t="n">
        <v>1</v>
      </c>
      <c r="T58" t="n">
        <v>1</v>
      </c>
      <c r="U58" t="n">
        <v>0</v>
      </c>
      <c r="V58" s="2" t="inlineStr">
        <is>
          <t>Gräddticka</t>
        </is>
      </c>
      <c r="W58">
        <f>HYPERLINK("https://klasma.github.io/Logging_2505/artfynd/A 36877-2026 artfynd.xlsx", "A 36877-2026")</f>
        <v/>
      </c>
      <c r="X58">
        <f>HYPERLINK("https://klasma.github.io/Logging_2505/kartor/A 36877-2026 karta.png", "A 36877-2026")</f>
        <v/>
      </c>
      <c r="Y58">
        <f>HYPERLINK("https://klasma.github.io/Logging_2505/kartor_geotiff/A 36877-2026 georefererad karta.tif", "A 36877-2026")</f>
        <v/>
      </c>
      <c r="AA58">
        <f>HYPERLINK("https://klasma.github.io/Logging_2505/klagomål/A 36877-2026 FSC-klagomål.docx", "A 36877-2026")</f>
        <v/>
      </c>
      <c r="AB58">
        <f>HYPERLINK("https://klasma.github.io/Logging_2505/klagomålsmail/A 36877-2026 FSC-klagomål mail.docx", "A 36877-2026")</f>
        <v/>
      </c>
      <c r="AC58">
        <f>HYPERLINK("https://klasma.github.io/Logging_2505/tillsyn/A 36877-2026 tillsynsbegäran.docx", "A 36877-2026")</f>
        <v/>
      </c>
      <c r="AD58">
        <f>HYPERLINK("https://klasma.github.io/Logging_2505/tillsynsmail/A 36877-2026 tillsynsbegäran mail.docx", "A 36877-2026")</f>
        <v/>
      </c>
    </row>
    <row r="59" ht="15" customHeight="1">
      <c r="A59" t="inlineStr">
        <is>
          <t>A 57795-2025</t>
        </is>
      </c>
      <c r="B59" t="inlineStr">
        <is>
          <t>avverkningsanmälan</t>
        </is>
      </c>
      <c r="C59" t="inlineStr">
        <is>
          <t>Föryngringsavverkning</t>
        </is>
      </c>
      <c r="D59" s="1" t="n">
        <v>45981</v>
      </c>
      <c r="E59" s="1" t="n">
        <v>46304</v>
      </c>
      <c r="F59" t="inlineStr">
        <is>
          <t>NORRBOTTENS LÄN</t>
        </is>
      </c>
      <c r="G59" t="inlineStr">
        <is>
          <t>ARVIDSJAUR</t>
        </is>
      </c>
      <c r="H59" t="inlineStr">
        <is>
          <t>Sveaskog</t>
        </is>
      </c>
      <c r="I59" t="n">
        <v>21.6</v>
      </c>
      <c r="J59" t="n">
        <v>1</v>
      </c>
      <c r="K59" t="n">
        <v>0</v>
      </c>
      <c r="L59" t="n">
        <v>1</v>
      </c>
      <c r="M59" t="n">
        <v>0</v>
      </c>
      <c r="N59" t="n">
        <v>0</v>
      </c>
      <c r="O59" t="n">
        <v>0</v>
      </c>
      <c r="P59" t="n">
        <v>0</v>
      </c>
      <c r="Q59" t="n">
        <v>1</v>
      </c>
      <c r="R59" t="n">
        <v>0</v>
      </c>
      <c r="S59" t="n">
        <v>1</v>
      </c>
      <c r="T59" t="n">
        <v>1</v>
      </c>
      <c r="U59" t="n">
        <v>0</v>
      </c>
      <c r="V59" s="2" t="inlineStr">
        <is>
          <t>Lavskrika</t>
        </is>
      </c>
      <c r="W59">
        <f>HYPERLINK("https://klasma.github.io/Logging_2505/artfynd/A 57795-2025 artfynd.xlsx", "A 57795-2025")</f>
        <v/>
      </c>
      <c r="X59">
        <f>HYPERLINK("https://klasma.github.io/Logging_2505/kartor/A 57795-2025 karta.png", "A 57795-2025")</f>
        <v/>
      </c>
      <c r="Y59">
        <f>HYPERLINK("https://klasma.github.io/Logging_2505/kartor_geotiff/A 57795-2025 georefererad karta.tif", "A 57795-2025")</f>
        <v/>
      </c>
      <c r="AA59">
        <f>HYPERLINK("https://klasma.github.io/Logging_2505/klagomål/A 57795-2025 FSC-klagomål.docx", "A 57795-2025")</f>
        <v/>
      </c>
      <c r="AB59">
        <f>HYPERLINK("https://klasma.github.io/Logging_2505/klagomålsmail/A 57795-2025 FSC-klagomål mail.docx", "A 57795-2025")</f>
        <v/>
      </c>
      <c r="AC59">
        <f>HYPERLINK("https://klasma.github.io/Logging_2505/tillsyn/A 57795-2025 tillsynsbegäran.docx", "A 57795-2025")</f>
        <v/>
      </c>
      <c r="AD59">
        <f>HYPERLINK("https://klasma.github.io/Logging_2505/tillsynsmail/A 57795-2025 tillsynsbegäran mail.docx", "A 57795-2025")</f>
        <v/>
      </c>
      <c r="AE59">
        <f>HYPERLINK("https://klasma.github.io/Logging_2505/fåglar/A 57795-2025 prioriterade fågelarter.docx", "A 57795-2025")</f>
        <v/>
      </c>
    </row>
    <row r="60" ht="15" customHeight="1">
      <c r="A60" t="inlineStr">
        <is>
          <t>A 32774-2026</t>
        </is>
      </c>
      <c r="B60" t="inlineStr">
        <is>
          <t>avverkningsanmälan</t>
        </is>
      </c>
      <c r="C60" t="inlineStr">
        <is>
          <t>Föryngringsavverkning</t>
        </is>
      </c>
      <c r="D60" s="1" t="n">
        <v>46241</v>
      </c>
      <c r="E60" s="1" t="n">
        <v>46304</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33554-2026</t>
        </is>
      </c>
      <c r="B61" t="inlineStr">
        <is>
          <t>avverkningsanmälan</t>
        </is>
      </c>
      <c r="C61" t="inlineStr">
        <is>
          <t>Avverkning för annat ändamål</t>
        </is>
      </c>
      <c r="D61" s="1" t="n">
        <v>46247</v>
      </c>
      <c r="E61" s="1" t="n">
        <v>46304</v>
      </c>
      <c r="F61" t="inlineStr">
        <is>
          <t>NORRBOTTENS LÄN</t>
        </is>
      </c>
      <c r="G61" t="inlineStr">
        <is>
          <t>ARVIDSJAUR</t>
        </is>
      </c>
      <c r="I61" t="n">
        <v>1.8</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33554-2026 artfynd.xlsx", "A 33554-2026")</f>
        <v/>
      </c>
      <c r="X61">
        <f>HYPERLINK("https://klasma.github.io/Logging_2505/kartor/A 33554-2026 karta.png", "A 33554-2026")</f>
        <v/>
      </c>
      <c r="Y61">
        <f>HYPERLINK("https://klasma.github.io/Logging_2505/kartor_geotiff/A 33554-2026 georefererad karta.tif", "A 33554-2026")</f>
        <v/>
      </c>
      <c r="AA61">
        <f>HYPERLINK("https://klasma.github.io/Logging_2505/klagomål/A 33554-2026 FSC-klagomål.docx", "A 33554-2026")</f>
        <v/>
      </c>
      <c r="AB61">
        <f>HYPERLINK("https://klasma.github.io/Logging_2505/klagomålsmail/A 33554-2026 FSC-klagomål mail.docx", "A 33554-2026")</f>
        <v/>
      </c>
      <c r="AC61">
        <f>HYPERLINK("https://klasma.github.io/Logging_2505/tillsyn/A 33554-2026 tillsynsbegäran.docx", "A 33554-2026")</f>
        <v/>
      </c>
      <c r="AD61">
        <f>HYPERLINK("https://klasma.github.io/Logging_2505/tillsynsmail/A 33554-2026 tillsynsbegäran mail.docx", "A 33554-2026")</f>
        <v/>
      </c>
    </row>
    <row r="62" ht="15" customHeight="1">
      <c r="A62" t="inlineStr">
        <is>
          <t>A 29314-2023</t>
        </is>
      </c>
      <c r="B62" t="inlineStr">
        <is>
          <t>avverkningsanmälan</t>
        </is>
      </c>
      <c r="C62" t="inlineStr">
        <is>
          <t>Föryngringsavverkning</t>
        </is>
      </c>
      <c r="D62" s="1" t="n">
        <v>45105</v>
      </c>
      <c r="E62" s="1" t="n">
        <v>46304</v>
      </c>
      <c r="F62" t="inlineStr">
        <is>
          <t>NORRBOTTENS LÄN</t>
        </is>
      </c>
      <c r="G62" t="inlineStr">
        <is>
          <t>ARVIDSJAUR</t>
        </is>
      </c>
      <c r="I62" t="n">
        <v>1.7</v>
      </c>
      <c r="J62" t="n">
        <v>1</v>
      </c>
      <c r="K62" t="n">
        <v>0</v>
      </c>
      <c r="L62" t="n">
        <v>1</v>
      </c>
      <c r="M62" t="n">
        <v>0</v>
      </c>
      <c r="N62" t="n">
        <v>0</v>
      </c>
      <c r="O62" t="n">
        <v>0</v>
      </c>
      <c r="P62" t="n">
        <v>0</v>
      </c>
      <c r="Q62" t="n">
        <v>1</v>
      </c>
      <c r="R62" t="n">
        <v>0</v>
      </c>
      <c r="S62" t="n">
        <v>1</v>
      </c>
      <c r="T62" t="n">
        <v>1</v>
      </c>
      <c r="U62" t="n">
        <v>1</v>
      </c>
      <c r="V62" s="2" t="inlineStr">
        <is>
          <t>Lavskrika</t>
        </is>
      </c>
      <c r="W62">
        <f>HYPERLINK("https://klasma.github.io/Logging_2505/artfynd/A 29314-2023 artfynd.xlsx", "A 29314-2023")</f>
        <v/>
      </c>
      <c r="X62">
        <f>HYPERLINK("https://klasma.github.io/Logging_2505/kartor/A 29314-2023 karta.png", "A 29314-2023")</f>
        <v/>
      </c>
      <c r="Y62">
        <f>HYPERLINK("https://klasma.github.io/Logging_2505/kartor_geotiff/A 29314-2023 georefererad karta.tif", "A 29314-2023")</f>
        <v/>
      </c>
      <c r="AA62">
        <f>HYPERLINK("https://klasma.github.io/Logging_2505/klagomål/A 29314-2023 FSC-klagomål.docx", "A 29314-2023")</f>
        <v/>
      </c>
      <c r="AB62">
        <f>HYPERLINK("https://klasma.github.io/Logging_2505/klagomålsmail/A 29314-2023 FSC-klagomål mail.docx", "A 29314-2023")</f>
        <v/>
      </c>
      <c r="AC62">
        <f>HYPERLINK("https://klasma.github.io/Logging_2505/tillsyn/A 29314-2023 tillsynsbegäran.docx", "A 29314-2023")</f>
        <v/>
      </c>
      <c r="AD62">
        <f>HYPERLINK("https://klasma.github.io/Logging_2505/tillsynsmail/A 29314-2023 tillsynsbegäran mail.docx", "A 29314-2023")</f>
        <v/>
      </c>
      <c r="AE62">
        <f>HYPERLINK("https://klasma.github.io/Logging_2505/fåglar/A 29314-2023 prioriterade fågelarter.docx", "A 29314-2023")</f>
        <v/>
      </c>
    </row>
    <row r="63" ht="15" customHeight="1">
      <c r="A63" t="inlineStr">
        <is>
          <t>A 28894-2025</t>
        </is>
      </c>
      <c r="B63" t="inlineStr">
        <is>
          <t>avverkningsanmälan</t>
        </is>
      </c>
      <c r="C63" t="inlineStr">
        <is>
          <t>Föryngringsavverkning</t>
        </is>
      </c>
      <c r="D63" s="1" t="n">
        <v>45820</v>
      </c>
      <c r="E63" s="1" t="n">
        <v>46304</v>
      </c>
      <c r="F63" t="inlineStr">
        <is>
          <t>NORRBOTTENS LÄN</t>
        </is>
      </c>
      <c r="G63" t="inlineStr">
        <is>
          <t>ARVIDSJAUR</t>
        </is>
      </c>
      <c r="H63" t="inlineStr">
        <is>
          <t>Sveaskog</t>
        </is>
      </c>
      <c r="I63" t="n">
        <v>14.2</v>
      </c>
      <c r="J63" t="n">
        <v>1</v>
      </c>
      <c r="K63" t="n">
        <v>0</v>
      </c>
      <c r="L63" t="n">
        <v>0</v>
      </c>
      <c r="M63" t="n">
        <v>0</v>
      </c>
      <c r="N63" t="n">
        <v>0</v>
      </c>
      <c r="O63" t="n">
        <v>0</v>
      </c>
      <c r="P63" t="n">
        <v>0</v>
      </c>
      <c r="Q63" t="n">
        <v>0</v>
      </c>
      <c r="R63" t="n">
        <v>0</v>
      </c>
      <c r="S63" t="n">
        <v>1</v>
      </c>
      <c r="T63" t="n">
        <v>1</v>
      </c>
      <c r="U63" t="n">
        <v>1</v>
      </c>
      <c r="V63" s="2" t="inlineStr">
        <is>
          <t>Trana</t>
        </is>
      </c>
      <c r="W63">
        <f>HYPERLINK("https://klasma.github.io/Logging_2505/artfynd/A 28894-2025 artfynd.xlsx", "A 28894-2025")</f>
        <v/>
      </c>
      <c r="X63">
        <f>HYPERLINK("https://klasma.github.io/Logging_2505/kartor/A 28894-2025 karta.png", "A 28894-2025")</f>
        <v/>
      </c>
      <c r="Y63">
        <f>HYPERLINK("https://klasma.github.io/Logging_2505/kartor_geotiff/A 28894-2025 georefererad karta.tif", "A 28894-2025")</f>
        <v/>
      </c>
      <c r="AA63">
        <f>HYPERLINK("https://klasma.github.io/Logging_2505/klagomål/A 28894-2025 FSC-klagomål.docx", "A 28894-2025")</f>
        <v/>
      </c>
      <c r="AB63">
        <f>HYPERLINK("https://klasma.github.io/Logging_2505/klagomålsmail/A 28894-2025 FSC-klagomål mail.docx", "A 28894-2025")</f>
        <v/>
      </c>
      <c r="AC63">
        <f>HYPERLINK("https://klasma.github.io/Logging_2505/tillsyn/A 28894-2025 tillsynsbegäran.docx", "A 28894-2025")</f>
        <v/>
      </c>
      <c r="AD63">
        <f>HYPERLINK("https://klasma.github.io/Logging_2505/tillsynsmail/A 28894-2025 tillsynsbegäran mail.docx", "A 28894-2025")</f>
        <v/>
      </c>
      <c r="AE63">
        <f>HYPERLINK("https://klasma.github.io/Logging_2505/fåglar/A 28894-2025 prioriterade fågelarter.docx", "A 28894-2025")</f>
        <v/>
      </c>
    </row>
    <row r="64" ht="15" customHeight="1">
      <c r="A64" t="inlineStr">
        <is>
          <t>A 34145-2026</t>
        </is>
      </c>
      <c r="B64" t="inlineStr">
        <is>
          <t>avverkningsanmälan</t>
        </is>
      </c>
      <c r="C64" t="inlineStr">
        <is>
          <t>Avverkning för annat ändamål</t>
        </is>
      </c>
      <c r="D64" s="1" t="n">
        <v>46253</v>
      </c>
      <c r="E64" s="1" t="n">
        <v>46304</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41724-2026</t>
        </is>
      </c>
      <c r="B65" t="inlineStr">
        <is>
          <t>avverkningsanmälan</t>
        </is>
      </c>
      <c r="C65" t="inlineStr">
        <is>
          <t>Föryngringsavverkning</t>
        </is>
      </c>
      <c r="D65" s="1" t="n">
        <v>46302</v>
      </c>
      <c r="E65" s="1" t="n">
        <v>46304</v>
      </c>
      <c r="F65" t="inlineStr">
        <is>
          <t>NORRBOTTENS LÄN</t>
        </is>
      </c>
      <c r="G65" t="inlineStr">
        <is>
          <t>ARVIDSJAUR</t>
        </is>
      </c>
      <c r="I65" t="n">
        <v>1.4</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41724-2026 artfynd.xlsx", "A 41724-2026")</f>
        <v/>
      </c>
      <c r="X65">
        <f>HYPERLINK("https://klasma.github.io/Logging_2505/kartor/A 41724-2026 karta.png", "A 41724-2026")</f>
        <v/>
      </c>
      <c r="Y65">
        <f>HYPERLINK("https://klasma.github.io/Logging_2505/kartor_geotiff/A 41724-2026 georefererad karta.tif", "A 41724-2026")</f>
        <v/>
      </c>
      <c r="AA65">
        <f>HYPERLINK("https://klasma.github.io/Logging_2505/klagomål/A 41724-2026 FSC-klagomål.docx", "A 41724-2026")</f>
        <v/>
      </c>
      <c r="AB65">
        <f>HYPERLINK("https://klasma.github.io/Logging_2505/klagomålsmail/A 41724-2026 FSC-klagomål mail.docx", "A 41724-2026")</f>
        <v/>
      </c>
      <c r="AC65">
        <f>HYPERLINK("https://klasma.github.io/Logging_2505/tillsyn/A 41724-2026 tillsynsbegäran.docx", "A 41724-2026")</f>
        <v/>
      </c>
      <c r="AD65">
        <f>HYPERLINK("https://klasma.github.io/Logging_2505/tillsynsmail/A 41724-2026 tillsynsbegäran mail.docx", "A 41724-2026")</f>
        <v/>
      </c>
      <c r="AE65">
        <f>HYPERLINK("https://klasma.github.io/Logging_2505/fåglar/A 41724-2026 prioriterade fågelarter.docx", "A 41724-2026")</f>
        <v/>
      </c>
    </row>
    <row r="66" ht="15" customHeight="1">
      <c r="A66" t="inlineStr">
        <is>
          <t>S 1662-2025</t>
        </is>
      </c>
      <c r="B66" t="inlineStr">
        <is>
          <t>samrådsanmälan</t>
        </is>
      </c>
      <c r="C66" t="inlineStr">
        <is>
          <t>Skogsgödsling</t>
        </is>
      </c>
      <c r="D66" s="1" t="n">
        <v>45800</v>
      </c>
      <c r="E66" s="1" t="n">
        <v>46304</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46304</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46304</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46304</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46304</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46304</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46304</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46304</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46304</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46304</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46304</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46304</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46304</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46304</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46304</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46304</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46304</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46304</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46304</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46304</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71695-2021</t>
        </is>
      </c>
      <c r="B86" t="inlineStr">
        <is>
          <t>avverkningsanmälan</t>
        </is>
      </c>
      <c r="C86" t="inlineStr">
        <is>
          <t>Föryngringsavverkning</t>
        </is>
      </c>
      <c r="D86" s="1" t="n">
        <v>44543</v>
      </c>
      <c r="E86" s="1" t="n">
        <v>46304</v>
      </c>
      <c r="F86" t="inlineStr">
        <is>
          <t>NORRBOTTENS LÄN</t>
        </is>
      </c>
      <c r="G86" t="inlineStr">
        <is>
          <t>ARVIDSJAUR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58002-2021</t>
        </is>
      </c>
      <c r="B87" t="inlineStr">
        <is>
          <t>avverkningsanmälan</t>
        </is>
      </c>
      <c r="C87" t="inlineStr">
        <is>
          <t>Föryngringsavverkning</t>
        </is>
      </c>
      <c r="D87" s="1" t="n">
        <v>44487</v>
      </c>
      <c r="E87" s="1" t="n">
        <v>46304</v>
      </c>
      <c r="F87" t="inlineStr">
        <is>
          <t>NORRBOTTENS LÄN</t>
        </is>
      </c>
      <c r="G87" t="inlineStr">
        <is>
          <t>ARVIDSJAUR</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69576-2021</t>
        </is>
      </c>
      <c r="B88" t="inlineStr">
        <is>
          <t>avverkningsanmälan</t>
        </is>
      </c>
      <c r="C88" t="inlineStr">
        <is>
          <t>Föryngringsavverkning</t>
        </is>
      </c>
      <c r="D88" s="1" t="n">
        <v>44532</v>
      </c>
      <c r="E88" s="1" t="n">
        <v>46304</v>
      </c>
      <c r="F88" t="inlineStr">
        <is>
          <t>NORRBOTTENS LÄN</t>
        </is>
      </c>
      <c r="G88" t="inlineStr">
        <is>
          <t>ARVIDSJAUR</t>
        </is>
      </c>
      <c r="H88" t="inlineStr">
        <is>
          <t>Övriga Aktiebolag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23575-2022</t>
        </is>
      </c>
      <c r="B89" t="inlineStr">
        <is>
          <t>avverkningsanmälan</t>
        </is>
      </c>
      <c r="C89" t="inlineStr">
        <is>
          <t>Föryngringsavverkning</t>
        </is>
      </c>
      <c r="D89" s="1" t="n">
        <v>44721</v>
      </c>
      <c r="E89" s="1" t="n">
        <v>46304</v>
      </c>
      <c r="F89" t="inlineStr">
        <is>
          <t>NORRBOTTENS LÄN</t>
        </is>
      </c>
      <c r="G89" t="inlineStr">
        <is>
          <t>ARVIDSJAUR</t>
        </is>
      </c>
      <c r="H89" t="inlineStr">
        <is>
          <t>Övriga Aktiebolag</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27234-2022</t>
        </is>
      </c>
      <c r="B90" t="inlineStr">
        <is>
          <t>avverkningsanmälan</t>
        </is>
      </c>
      <c r="C90" t="inlineStr">
        <is>
          <t>Föryngringsavverkning</t>
        </is>
      </c>
      <c r="D90" s="1" t="n">
        <v>44741</v>
      </c>
      <c r="E90" s="1" t="n">
        <v>46304</v>
      </c>
      <c r="F90" t="inlineStr">
        <is>
          <t>NORRBOTTENS LÄN</t>
        </is>
      </c>
      <c r="G90" t="inlineStr">
        <is>
          <t>ARVIDSJAUR</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27734-2022</t>
        </is>
      </c>
      <c r="B91" t="inlineStr">
        <is>
          <t>avverkningsanmälan</t>
        </is>
      </c>
      <c r="C91" t="inlineStr">
        <is>
          <t>Föryngringsavverkning</t>
        </is>
      </c>
      <c r="D91" s="1" t="n">
        <v>44743</v>
      </c>
      <c r="E91" s="1" t="n">
        <v>46304</v>
      </c>
      <c r="F91" t="inlineStr">
        <is>
          <t>NORRBOTTENS LÄN</t>
        </is>
      </c>
      <c r="G91" t="inlineStr">
        <is>
          <t>ARVIDSJAUR</t>
        </is>
      </c>
      <c r="H91" t="inlineStr">
        <is>
          <t>Sveaskog</t>
        </is>
      </c>
      <c r="I91" t="n">
        <v>18.1</v>
      </c>
      <c r="J91" t="n">
        <v>0</v>
      </c>
      <c r="K91" t="n">
        <v>0</v>
      </c>
      <c r="L91" t="n">
        <v>0</v>
      </c>
      <c r="M91" t="n">
        <v>0</v>
      </c>
      <c r="N91" t="n">
        <v>0</v>
      </c>
      <c r="O91" t="n">
        <v>0</v>
      </c>
      <c r="P91" t="n">
        <v>0</v>
      </c>
      <c r="Q91" t="n">
        <v>0</v>
      </c>
      <c r="R91" t="n">
        <v>0</v>
      </c>
      <c r="S91" t="n">
        <v>0</v>
      </c>
      <c r="T91" t="n">
        <v>0</v>
      </c>
      <c r="U91" t="n">
        <v>0</v>
      </c>
      <c r="V91" s="2" t="inlineStr"/>
    </row>
    <row r="92" ht="15" customHeight="1">
      <c r="A92" t="inlineStr">
        <is>
          <t>A 64377-2021</t>
        </is>
      </c>
      <c r="B92" t="inlineStr">
        <is>
          <t>avverkningsanmälan</t>
        </is>
      </c>
      <c r="C92" t="inlineStr">
        <is>
          <t>Föryngringsavverkning</t>
        </is>
      </c>
      <c r="D92" s="1" t="n">
        <v>44511</v>
      </c>
      <c r="E92" s="1" t="n">
        <v>46304</v>
      </c>
      <c r="F92" t="inlineStr">
        <is>
          <t>NORRBOTTENS LÄN</t>
        </is>
      </c>
      <c r="G92" t="inlineStr">
        <is>
          <t>ARVIDSJAUR</t>
        </is>
      </c>
      <c r="I92" t="n">
        <v>6.9</v>
      </c>
      <c r="J92" t="n">
        <v>0</v>
      </c>
      <c r="K92" t="n">
        <v>0</v>
      </c>
      <c r="L92" t="n">
        <v>0</v>
      </c>
      <c r="M92" t="n">
        <v>0</v>
      </c>
      <c r="N92" t="n">
        <v>0</v>
      </c>
      <c r="O92" t="n">
        <v>0</v>
      </c>
      <c r="P92" t="n">
        <v>0</v>
      </c>
      <c r="Q92" t="n">
        <v>0</v>
      </c>
      <c r="R92" t="n">
        <v>0</v>
      </c>
      <c r="S92" t="n">
        <v>0</v>
      </c>
      <c r="T92" t="n">
        <v>0</v>
      </c>
      <c r="U92" t="n">
        <v>0</v>
      </c>
      <c r="V92" s="2" t="inlineStr"/>
    </row>
    <row r="93" ht="15" customHeight="1">
      <c r="A93" t="inlineStr">
        <is>
          <t>A 2392-2025</t>
        </is>
      </c>
      <c r="B93" t="inlineStr">
        <is>
          <t>avverkningsanmälan</t>
        </is>
      </c>
      <c r="C93" t="inlineStr">
        <is>
          <t>Avverkning för annat ändamål</t>
        </is>
      </c>
      <c r="D93" s="1" t="n">
        <v>45674</v>
      </c>
      <c r="E93" s="1" t="n">
        <v>46304</v>
      </c>
      <c r="F93" t="inlineStr">
        <is>
          <t>NORRBOTTENS LÄN</t>
        </is>
      </c>
      <c r="G93" t="inlineStr">
        <is>
          <t>ARVIDSJAUR</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26591-2023</t>
        </is>
      </c>
      <c r="B94" t="inlineStr">
        <is>
          <t>avverkningsanmälan</t>
        </is>
      </c>
      <c r="C94" t="inlineStr">
        <is>
          <t>Föryngringsavverkning</t>
        </is>
      </c>
      <c r="D94" s="1" t="n">
        <v>45090</v>
      </c>
      <c r="E94" s="1" t="n">
        <v>46304</v>
      </c>
      <c r="F94" t="inlineStr">
        <is>
          <t>NORRBOTTENS LÄN</t>
        </is>
      </c>
      <c r="G94" t="inlineStr">
        <is>
          <t>ARVIDSJAUR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21704-2024</t>
        </is>
      </c>
      <c r="B95" t="inlineStr">
        <is>
          <t>avverkningsanmälan</t>
        </is>
      </c>
      <c r="C95" t="inlineStr">
        <is>
          <t>Föryngringsavverkning</t>
        </is>
      </c>
      <c r="D95" s="1" t="n">
        <v>45442</v>
      </c>
      <c r="E95" s="1" t="n">
        <v>46304</v>
      </c>
      <c r="F95" t="inlineStr">
        <is>
          <t>NORRBOTTENS LÄN</t>
        </is>
      </c>
      <c r="G95" t="inlineStr">
        <is>
          <t>ARVIDSJAUR</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30752-2023</t>
        </is>
      </c>
      <c r="B96" t="inlineStr">
        <is>
          <t>avverkningsanmälan</t>
        </is>
      </c>
      <c r="C96" t="inlineStr">
        <is>
          <t>Föryngringsavverkning</t>
        </is>
      </c>
      <c r="D96" s="1" t="n">
        <v>45103</v>
      </c>
      <c r="E96" s="1" t="n">
        <v>46304</v>
      </c>
      <c r="F96" t="inlineStr">
        <is>
          <t>NORRBOTTENS LÄN</t>
        </is>
      </c>
      <c r="G96" t="inlineStr">
        <is>
          <t>ARVIDSJAUR</t>
        </is>
      </c>
      <c r="I96" t="n">
        <v>9.699999999999999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26684-2024</t>
        </is>
      </c>
      <c r="B97" t="inlineStr">
        <is>
          <t>avverkningsanmälan</t>
        </is>
      </c>
      <c r="C97" t="inlineStr">
        <is>
          <t>Föryngringsavverkning</t>
        </is>
      </c>
      <c r="D97" s="1" t="n">
        <v>45470</v>
      </c>
      <c r="E97" s="1" t="n">
        <v>46304</v>
      </c>
      <c r="F97" t="inlineStr">
        <is>
          <t>NORRBOTTENS LÄN</t>
        </is>
      </c>
      <c r="G97" t="inlineStr">
        <is>
          <t>ARVIDSJAUR</t>
        </is>
      </c>
      <c r="H97" t="inlineStr">
        <is>
          <t>Sveaskog</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34998-2023</t>
        </is>
      </c>
      <c r="B98" t="inlineStr">
        <is>
          <t>avverkningsanmälan</t>
        </is>
      </c>
      <c r="C98" t="inlineStr">
        <is>
          <t>Föryngringsavverkning</t>
        </is>
      </c>
      <c r="D98" s="1" t="n">
        <v>45142</v>
      </c>
      <c r="E98" s="1" t="n">
        <v>46304</v>
      </c>
      <c r="F98" t="inlineStr">
        <is>
          <t>NORRBOTTENS LÄN</t>
        </is>
      </c>
      <c r="G98" t="inlineStr">
        <is>
          <t>ARVIDSJAUR</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4937-2024</t>
        </is>
      </c>
      <c r="B99" t="inlineStr">
        <is>
          <t>avverkningsanmälan</t>
        </is>
      </c>
      <c r="C99" t="inlineStr">
        <is>
          <t>Avverkning för annat ändamål</t>
        </is>
      </c>
      <c r="D99" s="1" t="n">
        <v>45329</v>
      </c>
      <c r="E99" s="1" t="n">
        <v>46304</v>
      </c>
      <c r="F99" t="inlineStr">
        <is>
          <t>NORRBOTTENS LÄN</t>
        </is>
      </c>
      <c r="G99" t="inlineStr">
        <is>
          <t>ARVIDSJAUR</t>
        </is>
      </c>
      <c r="H99" t="inlineStr">
        <is>
          <t>Sveaskog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47919-2024</t>
        </is>
      </c>
      <c r="B100" t="inlineStr">
        <is>
          <t>avverkningsanmälan</t>
        </is>
      </c>
      <c r="C100" t="inlineStr">
        <is>
          <t>Avverkning för annat ändamål</t>
        </is>
      </c>
      <c r="D100" s="1" t="n">
        <v>45589</v>
      </c>
      <c r="E100" s="1" t="n">
        <v>46304</v>
      </c>
      <c r="F100" t="inlineStr">
        <is>
          <t>NORRBOTTENS LÄN</t>
        </is>
      </c>
      <c r="G100" t="inlineStr">
        <is>
          <t>ARVIDSJAUR</t>
        </is>
      </c>
      <c r="H100" t="inlineStr">
        <is>
          <t>Sveaskog</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36483-2022</t>
        </is>
      </c>
      <c r="B101" t="inlineStr">
        <is>
          <t>avverkningsanmälan</t>
        </is>
      </c>
      <c r="C101" t="inlineStr">
        <is>
          <t>Föryngringsavverkning</t>
        </is>
      </c>
      <c r="D101" s="1" t="n">
        <v>44804</v>
      </c>
      <c r="E101" s="1" t="n">
        <v>46304</v>
      </c>
      <c r="F101" t="inlineStr">
        <is>
          <t>NORRBOTTENS LÄN</t>
        </is>
      </c>
      <c r="G101" t="inlineStr">
        <is>
          <t>ARVIDSJAUR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12794-2023</t>
        </is>
      </c>
      <c r="B102" t="inlineStr">
        <is>
          <t>avverkningsanmälan</t>
        </is>
      </c>
      <c r="C102" t="inlineStr">
        <is>
          <t>Avverkning för annat ändamål</t>
        </is>
      </c>
      <c r="D102" s="1" t="n">
        <v>45001</v>
      </c>
      <c r="E102" s="1" t="n">
        <v>46304</v>
      </c>
      <c r="F102" t="inlineStr">
        <is>
          <t>NORRBOTTENS LÄN</t>
        </is>
      </c>
      <c r="G102" t="inlineStr">
        <is>
          <t>ARVIDSJAUR</t>
        </is>
      </c>
      <c r="H102" t="inlineStr">
        <is>
          <t>Sveaskog</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59325-2022</t>
        </is>
      </c>
      <c r="B103" t="inlineStr">
        <is>
          <t>avverkningsanmälan</t>
        </is>
      </c>
      <c r="C103" t="inlineStr">
        <is>
          <t>Föryngringsavverkning</t>
        </is>
      </c>
      <c r="D103" s="1" t="n">
        <v>44904</v>
      </c>
      <c r="E103" s="1" t="n">
        <v>46304</v>
      </c>
      <c r="F103" t="inlineStr">
        <is>
          <t>NORRBOTTENS LÄN</t>
        </is>
      </c>
      <c r="G103" t="inlineStr">
        <is>
          <t>ARVIDSJAUR</t>
        </is>
      </c>
      <c r="H103" t="inlineStr">
        <is>
          <t>Sveaskog</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54336-2024</t>
        </is>
      </c>
      <c r="B104" t="inlineStr">
        <is>
          <t>avverkningsanmälan</t>
        </is>
      </c>
      <c r="C104" t="inlineStr">
        <is>
          <t>Föryngringsavverkning</t>
        </is>
      </c>
      <c r="D104" s="1" t="n">
        <v>45617</v>
      </c>
      <c r="E104" s="1" t="n">
        <v>46304</v>
      </c>
      <c r="F104" t="inlineStr">
        <is>
          <t>NORRBOTTENS LÄN</t>
        </is>
      </c>
      <c r="G104" t="inlineStr">
        <is>
          <t>ARVIDSJAUR</t>
        </is>
      </c>
      <c r="H104" t="inlineStr">
        <is>
          <t>Sveaskog</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60466-2022</t>
        </is>
      </c>
      <c r="B105" t="inlineStr">
        <is>
          <t>avverkningsanmälan</t>
        </is>
      </c>
      <c r="C105" t="inlineStr">
        <is>
          <t>Föryngringsavverkning</t>
        </is>
      </c>
      <c r="D105" s="1" t="n">
        <v>44911</v>
      </c>
      <c r="E105" s="1" t="n">
        <v>46304</v>
      </c>
      <c r="F105" t="inlineStr">
        <is>
          <t>NORRBOTTENS LÄN</t>
        </is>
      </c>
      <c r="G105" t="inlineStr">
        <is>
          <t>ARVIDSJAUR</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28313-2023</t>
        </is>
      </c>
      <c r="B106" t="inlineStr">
        <is>
          <t>avverkningsanmälan</t>
        </is>
      </c>
      <c r="C106" t="inlineStr">
        <is>
          <t>Föryngringsavverkning</t>
        </is>
      </c>
      <c r="D106" s="1" t="n">
        <v>45099</v>
      </c>
      <c r="E106" s="1" t="n">
        <v>46304</v>
      </c>
      <c r="F106" t="inlineStr">
        <is>
          <t>NORRBOTTENS LÄN</t>
        </is>
      </c>
      <c r="G106" t="inlineStr">
        <is>
          <t>ARVIDSJAUR</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28803-2024</t>
        </is>
      </c>
      <c r="B107" t="inlineStr">
        <is>
          <t>avverkningsanmälan</t>
        </is>
      </c>
      <c r="C107" t="inlineStr">
        <is>
          <t>Föryngringsavverkning</t>
        </is>
      </c>
      <c r="D107" s="1" t="n">
        <v>45478</v>
      </c>
      <c r="E107" s="1" t="n">
        <v>46304</v>
      </c>
      <c r="F107" t="inlineStr">
        <is>
          <t>NORRBOTTENS LÄN</t>
        </is>
      </c>
      <c r="G107" t="inlineStr">
        <is>
          <t>ARVIDSJAUR</t>
        </is>
      </c>
      <c r="H107" t="inlineStr">
        <is>
          <t>Övriga Aktiebolag</t>
        </is>
      </c>
      <c r="I107" t="n">
        <v>16.5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19237-2025</t>
        </is>
      </c>
      <c r="B108" t="inlineStr">
        <is>
          <t>avverkningsanmälan</t>
        </is>
      </c>
      <c r="C108" t="inlineStr">
        <is>
          <t>Avverkning för annat ändamål</t>
        </is>
      </c>
      <c r="D108" s="1" t="n">
        <v>45769</v>
      </c>
      <c r="E108" s="1" t="n">
        <v>46304</v>
      </c>
      <c r="F108" t="inlineStr">
        <is>
          <t>NORRBOTTENS LÄN</t>
        </is>
      </c>
      <c r="G108" t="inlineStr">
        <is>
          <t>ARVIDSJAUR</t>
        </is>
      </c>
      <c r="H108" t="inlineStr">
        <is>
          <t>Sveaskog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2116-2024</t>
        </is>
      </c>
      <c r="B109" t="inlineStr">
        <is>
          <t>avverkningsanmälan</t>
        </is>
      </c>
      <c r="C109" t="inlineStr">
        <is>
          <t>Föryngringsavverkning</t>
        </is>
      </c>
      <c r="D109" s="1" t="n">
        <v>45309</v>
      </c>
      <c r="E109" s="1" t="n">
        <v>46304</v>
      </c>
      <c r="F109" t="inlineStr">
        <is>
          <t>NORRBOTTENS LÄN</t>
        </is>
      </c>
      <c r="G109" t="inlineStr">
        <is>
          <t>ARVIDSJAUR</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48291-2023</t>
        </is>
      </c>
      <c r="B110" t="inlineStr">
        <is>
          <t>avverkningsanmälan</t>
        </is>
      </c>
      <c r="C110" t="inlineStr">
        <is>
          <t>Avverkning för annat ändamål</t>
        </is>
      </c>
      <c r="D110" s="1" t="n">
        <v>45201</v>
      </c>
      <c r="E110" s="1" t="n">
        <v>46304</v>
      </c>
      <c r="F110" t="inlineStr">
        <is>
          <t>NORRBOTTENS LÄN</t>
        </is>
      </c>
      <c r="G110" t="inlineStr">
        <is>
          <t>ARVIDSJAUR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38271-2024</t>
        </is>
      </c>
      <c r="B111" t="inlineStr">
        <is>
          <t>avverkningsanmälan</t>
        </is>
      </c>
      <c r="C111" t="inlineStr">
        <is>
          <t>Föryngringsavverkning</t>
        </is>
      </c>
      <c r="D111" s="1" t="n">
        <v>45545</v>
      </c>
      <c r="E111" s="1" t="n">
        <v>46304</v>
      </c>
      <c r="F111" t="inlineStr">
        <is>
          <t>NORRBOTTENS LÄN</t>
        </is>
      </c>
      <c r="G111" t="inlineStr">
        <is>
          <t>ARVIDSJAUR</t>
        </is>
      </c>
      <c r="I111" t="n">
        <v>8.800000000000001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9996-2023</t>
        </is>
      </c>
      <c r="B112" t="inlineStr">
        <is>
          <t>avverkningsanmälan</t>
        </is>
      </c>
      <c r="C112" t="inlineStr">
        <is>
          <t>Föryngringsavverkning</t>
        </is>
      </c>
      <c r="D112" s="1" t="n">
        <v>44979</v>
      </c>
      <c r="E112" s="1" t="n">
        <v>46304</v>
      </c>
      <c r="F112" t="inlineStr">
        <is>
          <t>NORRBOTTENS LÄN</t>
        </is>
      </c>
      <c r="G112" t="inlineStr">
        <is>
          <t>ARVIDSJAUR</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27742-2024</t>
        </is>
      </c>
      <c r="B113" t="inlineStr">
        <is>
          <t>avverkningsanmälan</t>
        </is>
      </c>
      <c r="C113" t="inlineStr">
        <is>
          <t>Föryngringsavverkning</t>
        </is>
      </c>
      <c r="D113" s="1" t="n">
        <v>45475</v>
      </c>
      <c r="E113" s="1" t="n">
        <v>46304</v>
      </c>
      <c r="F113" t="inlineStr">
        <is>
          <t>NORRBOTTENS LÄN</t>
        </is>
      </c>
      <c r="G113" t="inlineStr">
        <is>
          <t>ARVIDSJAUR</t>
        </is>
      </c>
      <c r="I113" t="n">
        <v>16.8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1355-2024</t>
        </is>
      </c>
      <c r="B114" t="inlineStr">
        <is>
          <t>avverkningsanmälan</t>
        </is>
      </c>
      <c r="C114" t="inlineStr">
        <is>
          <t>Föryngringsavverkning</t>
        </is>
      </c>
      <c r="D114" s="1" t="n">
        <v>45303</v>
      </c>
      <c r="E114" s="1" t="n">
        <v>46304</v>
      </c>
      <c r="F114" t="inlineStr">
        <is>
          <t>NORRBOTTENS LÄN</t>
        </is>
      </c>
      <c r="G114" t="inlineStr">
        <is>
          <t>ARVIDSJAUR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11998-2025</t>
        </is>
      </c>
      <c r="B115" t="inlineStr">
        <is>
          <t>avverkningsanmälan</t>
        </is>
      </c>
      <c r="C115" t="inlineStr">
        <is>
          <t>Föryngringsavverkning</t>
        </is>
      </c>
      <c r="D115" s="1" t="n">
        <v>45728</v>
      </c>
      <c r="E115" s="1" t="n">
        <v>46304</v>
      </c>
      <c r="F115" t="inlineStr">
        <is>
          <t>NORRBOTTENS LÄN</t>
        </is>
      </c>
      <c r="G115" t="inlineStr">
        <is>
          <t>ARVIDSJAUR</t>
        </is>
      </c>
      <c r="H115" t="inlineStr">
        <is>
          <t>Allmännings- och besparingsskogar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26687-2024</t>
        </is>
      </c>
      <c r="B116" t="inlineStr">
        <is>
          <t>avverkningsanmälan</t>
        </is>
      </c>
      <c r="C116" t="inlineStr">
        <is>
          <t>Föryngringsavverkning</t>
        </is>
      </c>
      <c r="D116" s="1" t="n">
        <v>45470</v>
      </c>
      <c r="E116" s="1" t="n">
        <v>46304</v>
      </c>
      <c r="F116" t="inlineStr">
        <is>
          <t>NORRBOTTENS LÄN</t>
        </is>
      </c>
      <c r="G116" t="inlineStr">
        <is>
          <t>ARVIDSJAUR</t>
        </is>
      </c>
      <c r="H116" t="inlineStr">
        <is>
          <t>Sveaskog</t>
        </is>
      </c>
      <c r="I116" t="n">
        <v>7.7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10130-2024</t>
        </is>
      </c>
      <c r="B117" t="inlineStr">
        <is>
          <t>avverkningsanmälan</t>
        </is>
      </c>
      <c r="C117" t="inlineStr">
        <is>
          <t>Föryngringsavverkning</t>
        </is>
      </c>
      <c r="D117" s="1" t="n">
        <v>45364</v>
      </c>
      <c r="E117" s="1" t="n">
        <v>46304</v>
      </c>
      <c r="F117" t="inlineStr">
        <is>
          <t>NORRBOTTENS LÄN</t>
        </is>
      </c>
      <c r="G117" t="inlineStr">
        <is>
          <t>ARVIDSJAUR</t>
        </is>
      </c>
      <c r="H117" t="inlineStr">
        <is>
          <t>Sveaskog</t>
        </is>
      </c>
      <c r="I117" t="n">
        <v>22.5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50889-2024</t>
        </is>
      </c>
      <c r="B118" t="inlineStr">
        <is>
          <t>avverkningsanmälan</t>
        </is>
      </c>
      <c r="C118" t="inlineStr">
        <is>
          <t>Föryngringsavverkning</t>
        </is>
      </c>
      <c r="D118" s="1" t="n">
        <v>45602</v>
      </c>
      <c r="E118" s="1" t="n">
        <v>46304</v>
      </c>
      <c r="F118" t="inlineStr">
        <is>
          <t>NORRBOTTENS LÄN</t>
        </is>
      </c>
      <c r="G118" t="inlineStr">
        <is>
          <t>ARVIDSJAUR</t>
        </is>
      </c>
      <c r="H118" t="inlineStr">
        <is>
          <t>Sveaskog</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33222-2025</t>
        </is>
      </c>
      <c r="B119" t="inlineStr">
        <is>
          <t>avverkningsanmälan</t>
        </is>
      </c>
      <c r="C119" t="inlineStr">
        <is>
          <t>Föryngringsavverkning</t>
        </is>
      </c>
      <c r="D119" s="1" t="n">
        <v>45840</v>
      </c>
      <c r="E119" s="1" t="n">
        <v>46304</v>
      </c>
      <c r="F119" t="inlineStr">
        <is>
          <t>NORRBOTTENS LÄN</t>
        </is>
      </c>
      <c r="G119" t="inlineStr">
        <is>
          <t>ARVIDSJAUR</t>
        </is>
      </c>
      <c r="H119" t="inlineStr">
        <is>
          <t>Sveaskog</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11567-2026</t>
        </is>
      </c>
      <c r="B120" t="inlineStr">
        <is>
          <t>avverkningsanmälan</t>
        </is>
      </c>
      <c r="C120" t="inlineStr">
        <is>
          <t>Föryngringsavverkning</t>
        </is>
      </c>
      <c r="D120" s="1" t="n">
        <v>46084</v>
      </c>
      <c r="E120" s="1" t="n">
        <v>46304</v>
      </c>
      <c r="F120" t="inlineStr">
        <is>
          <t>NORRBOTTENS LÄN</t>
        </is>
      </c>
      <c r="G120" t="inlineStr">
        <is>
          <t>ARVIDSJAUR</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20698-2022</t>
        </is>
      </c>
      <c r="B121" t="inlineStr">
        <is>
          <t>avverkningsanmälan</t>
        </is>
      </c>
      <c r="C121" t="inlineStr">
        <is>
          <t>Föryngringsavverkning</t>
        </is>
      </c>
      <c r="D121" s="1" t="n">
        <v>44700</v>
      </c>
      <c r="E121" s="1" t="n">
        <v>46304</v>
      </c>
      <c r="F121" t="inlineStr">
        <is>
          <t>NORRBOTTENS LÄN</t>
        </is>
      </c>
      <c r="G121" t="inlineStr">
        <is>
          <t>ARVIDSJAUR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33302-2025</t>
        </is>
      </c>
      <c r="B122" t="inlineStr">
        <is>
          <t>avverkningsanmälan</t>
        </is>
      </c>
      <c r="C122" t="inlineStr">
        <is>
          <t>Föryngringsavverkning</t>
        </is>
      </c>
      <c r="D122" s="1" t="n">
        <v>45841</v>
      </c>
      <c r="E122" s="1" t="n">
        <v>46304</v>
      </c>
      <c r="F122" t="inlineStr">
        <is>
          <t>NORRBOTTENS LÄN</t>
        </is>
      </c>
      <c r="G122" t="inlineStr">
        <is>
          <t>ARVIDSJAUR</t>
        </is>
      </c>
      <c r="H122" t="inlineStr">
        <is>
          <t>Sveaskog</t>
        </is>
      </c>
      <c r="I122" t="n">
        <v>11.1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36090-2023</t>
        </is>
      </c>
      <c r="B123" t="inlineStr">
        <is>
          <t>avverkningsanmälan</t>
        </is>
      </c>
      <c r="C123" t="inlineStr">
        <is>
          <t>Föryngringsavverkning</t>
        </is>
      </c>
      <c r="D123" s="1" t="n">
        <v>45149</v>
      </c>
      <c r="E123" s="1" t="n">
        <v>46304</v>
      </c>
      <c r="F123" t="inlineStr">
        <is>
          <t>NORRBOTTENS LÄN</t>
        </is>
      </c>
      <c r="G123" t="inlineStr">
        <is>
          <t>ARVIDSJAUR</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52646-2023</t>
        </is>
      </c>
      <c r="B124" t="inlineStr">
        <is>
          <t>avverkningsanmälan</t>
        </is>
      </c>
      <c r="C124" t="inlineStr">
        <is>
          <t>Föryngringsavverkning</t>
        </is>
      </c>
      <c r="D124" s="1" t="n">
        <v>45225</v>
      </c>
      <c r="E124" s="1" t="n">
        <v>46304</v>
      </c>
      <c r="F124" t="inlineStr">
        <is>
          <t>NORRBOTTENS LÄN</t>
        </is>
      </c>
      <c r="G124" t="inlineStr">
        <is>
          <t>ARVIDSJAUR</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41235-2022</t>
        </is>
      </c>
      <c r="B125" t="inlineStr">
        <is>
          <t>avverkningsanmälan</t>
        </is>
      </c>
      <c r="C125" t="inlineStr">
        <is>
          <t>Föryngringsavverkning</t>
        </is>
      </c>
      <c r="D125" s="1" t="n">
        <v>44825</v>
      </c>
      <c r="E125" s="1" t="n">
        <v>46304</v>
      </c>
      <c r="F125" t="inlineStr">
        <is>
          <t>NORRBOTTENS LÄN</t>
        </is>
      </c>
      <c r="G125" t="inlineStr">
        <is>
          <t>ARVIDSJAUR</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35670-2025</t>
        </is>
      </c>
      <c r="B126" t="inlineStr">
        <is>
          <t>avverkningsanmälan</t>
        </is>
      </c>
      <c r="C126" t="inlineStr">
        <is>
          <t>Föryngringsavverkning</t>
        </is>
      </c>
      <c r="D126" s="1" t="n">
        <v>45859</v>
      </c>
      <c r="E126" s="1" t="n">
        <v>46304</v>
      </c>
      <c r="F126" t="inlineStr">
        <is>
          <t>NORRBOTTENS LÄN</t>
        </is>
      </c>
      <c r="G126" t="inlineStr">
        <is>
          <t>ARVIDSJAUR</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48048-2022</t>
        </is>
      </c>
      <c r="B127" t="inlineStr">
        <is>
          <t>avverkningsanmälan</t>
        </is>
      </c>
      <c r="C127" t="inlineStr">
        <is>
          <t>Avverkning för annat ändamål</t>
        </is>
      </c>
      <c r="D127" s="1" t="n">
        <v>44855</v>
      </c>
      <c r="E127" s="1" t="n">
        <v>46304</v>
      </c>
      <c r="F127" t="inlineStr">
        <is>
          <t>NORRBOTTENS LÄN</t>
        </is>
      </c>
      <c r="G127" t="inlineStr">
        <is>
          <t>ARVIDSJAUR</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39402-2025</t>
        </is>
      </c>
      <c r="B128" t="inlineStr">
        <is>
          <t>avverkningsanmälan</t>
        </is>
      </c>
      <c r="C128" t="inlineStr">
        <is>
          <t>Avverkning för annat ändamål</t>
        </is>
      </c>
      <c r="D128" s="1" t="n">
        <v>45889</v>
      </c>
      <c r="E128" s="1" t="n">
        <v>46304</v>
      </c>
      <c r="F128" t="inlineStr">
        <is>
          <t>NORRBOTTENS LÄN</t>
        </is>
      </c>
      <c r="G128" t="inlineStr">
        <is>
          <t>ARVIDSJAUR</t>
        </is>
      </c>
      <c r="H128" t="inlineStr">
        <is>
          <t>Sveaskog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39397-2025</t>
        </is>
      </c>
      <c r="B129" t="inlineStr">
        <is>
          <t>avverkningsanmälan</t>
        </is>
      </c>
      <c r="C129" t="inlineStr">
        <is>
          <t>Avverkning för annat ändamål</t>
        </is>
      </c>
      <c r="D129" s="1" t="n">
        <v>45889</v>
      </c>
      <c r="E129" s="1" t="n">
        <v>46304</v>
      </c>
      <c r="F129" t="inlineStr">
        <is>
          <t>NORRBOTTENS LÄN</t>
        </is>
      </c>
      <c r="G129" t="inlineStr">
        <is>
          <t>ARVIDSJAUR</t>
        </is>
      </c>
      <c r="H129" t="inlineStr">
        <is>
          <t>Sveaskog</t>
        </is>
      </c>
      <c r="I129" t="n">
        <v>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39006-2025</t>
        </is>
      </c>
      <c r="B130" t="inlineStr">
        <is>
          <t>avverkningsanmälan</t>
        </is>
      </c>
      <c r="C130" t="inlineStr">
        <is>
          <t>Föryngringsavverkning</t>
        </is>
      </c>
      <c r="D130" s="1" t="n">
        <v>45888</v>
      </c>
      <c r="E130" s="1" t="n">
        <v>46304</v>
      </c>
      <c r="F130" t="inlineStr">
        <is>
          <t>NORRBOTTENS LÄN</t>
        </is>
      </c>
      <c r="G130" t="inlineStr">
        <is>
          <t>ARVIDSJAUR</t>
        </is>
      </c>
      <c r="H130" t="inlineStr">
        <is>
          <t>SCA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39584-2025</t>
        </is>
      </c>
      <c r="B131" t="inlineStr">
        <is>
          <t>avverkningsanmälan</t>
        </is>
      </c>
      <c r="C131" t="inlineStr">
        <is>
          <t>Avverkning för annat ändamål</t>
        </is>
      </c>
      <c r="D131" s="1" t="n">
        <v>45890</v>
      </c>
      <c r="E131" s="1" t="n">
        <v>46304</v>
      </c>
      <c r="F131" t="inlineStr">
        <is>
          <t>NORRBOTTENS LÄN</t>
        </is>
      </c>
      <c r="G131" t="inlineStr">
        <is>
          <t>ARVIDSJAUR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36489-2025</t>
        </is>
      </c>
      <c r="B132" t="inlineStr">
        <is>
          <t>avverkningsanmälan</t>
        </is>
      </c>
      <c r="C132" t="inlineStr">
        <is>
          <t>Avverkning för annat ändamål</t>
        </is>
      </c>
      <c r="D132" s="1" t="n">
        <v>45869</v>
      </c>
      <c r="E132" s="1" t="n">
        <v>46304</v>
      </c>
      <c r="F132" t="inlineStr">
        <is>
          <t>NORRBOTTENS LÄN</t>
        </is>
      </c>
      <c r="G132" t="inlineStr">
        <is>
          <t>ARVIDSJAUR</t>
        </is>
      </c>
      <c r="H132" t="inlineStr">
        <is>
          <t>Sveaskog</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37180-2025</t>
        </is>
      </c>
      <c r="B133" t="inlineStr">
        <is>
          <t>avverkningsanmälan</t>
        </is>
      </c>
      <c r="C133" t="inlineStr">
        <is>
          <t>Föryngringsavverkning</t>
        </is>
      </c>
      <c r="D133" s="1" t="n">
        <v>45875</v>
      </c>
      <c r="E133" s="1" t="n">
        <v>46304</v>
      </c>
      <c r="F133" t="inlineStr">
        <is>
          <t>NORRBOTTENS LÄN</t>
        </is>
      </c>
      <c r="G133" t="inlineStr">
        <is>
          <t>ARVIDSJAUR</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37454-2025</t>
        </is>
      </c>
      <c r="B134" t="inlineStr">
        <is>
          <t>avverkningsanmälan</t>
        </is>
      </c>
      <c r="C134" t="inlineStr">
        <is>
          <t>Föryngringsavverkning</t>
        </is>
      </c>
      <c r="D134" s="1" t="n">
        <v>45877</v>
      </c>
      <c r="E134" s="1" t="n">
        <v>46304</v>
      </c>
      <c r="F134" t="inlineStr">
        <is>
          <t>NORRBOTTENS LÄN</t>
        </is>
      </c>
      <c r="G134" t="inlineStr">
        <is>
          <t>ARVIDSJAUR</t>
        </is>
      </c>
      <c r="H134" t="inlineStr">
        <is>
          <t>Sveaskog</t>
        </is>
      </c>
      <c r="I134" t="n">
        <v>23.4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37789-2025</t>
        </is>
      </c>
      <c r="B135" t="inlineStr">
        <is>
          <t>avverkningsanmälan</t>
        </is>
      </c>
      <c r="C135" t="inlineStr">
        <is>
          <t>Föryngringsavverkning</t>
        </is>
      </c>
      <c r="D135" s="1" t="n">
        <v>45881</v>
      </c>
      <c r="E135" s="1" t="n">
        <v>46304</v>
      </c>
      <c r="F135" t="inlineStr">
        <is>
          <t>NORRBOTTENS LÄN</t>
        </is>
      </c>
      <c r="G135" t="inlineStr">
        <is>
          <t>ARVIDSJAUR</t>
        </is>
      </c>
      <c r="H135" t="inlineStr">
        <is>
          <t>Sveaskog</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37790-2025</t>
        </is>
      </c>
      <c r="B136" t="inlineStr">
        <is>
          <t>avverkningsanmälan</t>
        </is>
      </c>
      <c r="C136" t="inlineStr">
        <is>
          <t>Föryngringsavverkning</t>
        </is>
      </c>
      <c r="D136" s="1" t="n">
        <v>45881</v>
      </c>
      <c r="E136" s="1" t="n">
        <v>46304</v>
      </c>
      <c r="F136" t="inlineStr">
        <is>
          <t>NORRBOTTENS LÄN</t>
        </is>
      </c>
      <c r="G136" t="inlineStr">
        <is>
          <t>ARVIDSJAUR</t>
        </is>
      </c>
      <c r="H136" t="inlineStr">
        <is>
          <t>Sveaskog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31050-2024</t>
        </is>
      </c>
      <c r="B137" t="inlineStr">
        <is>
          <t>avverkningsanmälan</t>
        </is>
      </c>
      <c r="C137" t="inlineStr">
        <is>
          <t>Avverkning för annat ändamål</t>
        </is>
      </c>
      <c r="D137" s="1" t="n">
        <v>45502</v>
      </c>
      <c r="E137" s="1" t="n">
        <v>46304</v>
      </c>
      <c r="F137" t="inlineStr">
        <is>
          <t>NORRBOTTENS LÄN</t>
        </is>
      </c>
      <c r="G137" t="inlineStr">
        <is>
          <t>ARVIDSJAUR</t>
        </is>
      </c>
      <c r="I137" t="n">
        <v>0</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48608-2024</t>
        </is>
      </c>
      <c r="B138" t="inlineStr">
        <is>
          <t>avverkningsanmälan</t>
        </is>
      </c>
      <c r="C138" t="inlineStr">
        <is>
          <t>Föryngringsavverkning</t>
        </is>
      </c>
      <c r="D138" s="1" t="n">
        <v>45593</v>
      </c>
      <c r="E138" s="1" t="n">
        <v>46304</v>
      </c>
      <c r="F138" t="inlineStr">
        <is>
          <t>NORRBOTTENS LÄN</t>
        </is>
      </c>
      <c r="G138" t="inlineStr">
        <is>
          <t>ARVIDSJAUR</t>
        </is>
      </c>
      <c r="H138" t="inlineStr">
        <is>
          <t>Sveaskog</t>
        </is>
      </c>
      <c r="I138" t="n">
        <v>16.6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53683-2024</t>
        </is>
      </c>
      <c r="B139" t="inlineStr">
        <is>
          <t>avverkningsanmälan</t>
        </is>
      </c>
      <c r="C139" t="inlineStr">
        <is>
          <t>Föryngringsavverkning</t>
        </is>
      </c>
      <c r="D139" s="1" t="n">
        <v>45612</v>
      </c>
      <c r="E139" s="1" t="n">
        <v>46304</v>
      </c>
      <c r="F139" t="inlineStr">
        <is>
          <t>NORRBOTTENS LÄN</t>
        </is>
      </c>
      <c r="G139" t="inlineStr">
        <is>
          <t>ARVIDSJAUR</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43198-2025</t>
        </is>
      </c>
      <c r="B140" t="inlineStr">
        <is>
          <t>avverkningsanmälan</t>
        </is>
      </c>
      <c r="C140" t="inlineStr">
        <is>
          <t>Föryngringsavverkning</t>
        </is>
      </c>
      <c r="D140" s="1" t="n">
        <v>45910</v>
      </c>
      <c r="E140" s="1" t="n">
        <v>46304</v>
      </c>
      <c r="F140" t="inlineStr">
        <is>
          <t>NORRBOTTENS LÄN</t>
        </is>
      </c>
      <c r="G140" t="inlineStr">
        <is>
          <t>ARVIDSJAUR</t>
        </is>
      </c>
      <c r="H140" t="inlineStr">
        <is>
          <t>Sveaskog</t>
        </is>
      </c>
      <c r="I140" t="n">
        <v>17.9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60516-2022</t>
        </is>
      </c>
      <c r="B141" t="inlineStr">
        <is>
          <t>avverkningsanmälan</t>
        </is>
      </c>
      <c r="C141" t="inlineStr">
        <is>
          <t>Föryngringsavverkning</t>
        </is>
      </c>
      <c r="D141" s="1" t="n">
        <v>44911</v>
      </c>
      <c r="E141" s="1" t="n">
        <v>46304</v>
      </c>
      <c r="F141" t="inlineStr">
        <is>
          <t>NORRBOTTENS LÄN</t>
        </is>
      </c>
      <c r="G141" t="inlineStr">
        <is>
          <t>ARVIDSJAUR</t>
        </is>
      </c>
      <c r="H141" t="inlineStr">
        <is>
          <t>Sveaskog</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43574-2025</t>
        </is>
      </c>
      <c r="B142" t="inlineStr">
        <is>
          <t>avverkningsanmälan</t>
        </is>
      </c>
      <c r="C142" t="inlineStr">
        <is>
          <t>Föryngringsavverkning</t>
        </is>
      </c>
      <c r="D142" s="1" t="n">
        <v>45911</v>
      </c>
      <c r="E142" s="1" t="n">
        <v>46304</v>
      </c>
      <c r="F142" t="inlineStr">
        <is>
          <t>NORRBOTTENS LÄN</t>
        </is>
      </c>
      <c r="G142" t="inlineStr">
        <is>
          <t>ARVIDSJAUR</t>
        </is>
      </c>
      <c r="I142" t="n">
        <v>23.2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43165-2025</t>
        </is>
      </c>
      <c r="B143" t="inlineStr">
        <is>
          <t>avverkningsanmälan</t>
        </is>
      </c>
      <c r="C143" t="inlineStr">
        <is>
          <t>Föryngringsavverkning</t>
        </is>
      </c>
      <c r="D143" s="1" t="n">
        <v>45910</v>
      </c>
      <c r="E143" s="1" t="n">
        <v>46304</v>
      </c>
      <c r="F143" t="inlineStr">
        <is>
          <t>NORRBOTTENS LÄN</t>
        </is>
      </c>
      <c r="G143" t="inlineStr">
        <is>
          <t>ARVIDSJAUR</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43184-2025</t>
        </is>
      </c>
      <c r="B144" t="inlineStr">
        <is>
          <t>avverkningsanmälan</t>
        </is>
      </c>
      <c r="C144" t="inlineStr">
        <is>
          <t>Föryngringsavverkning</t>
        </is>
      </c>
      <c r="D144" s="1" t="n">
        <v>45910</v>
      </c>
      <c r="E144" s="1" t="n">
        <v>46304</v>
      </c>
      <c r="F144" t="inlineStr">
        <is>
          <t>NORRBOTTENS LÄN</t>
        </is>
      </c>
      <c r="G144" t="inlineStr">
        <is>
          <t>ARVIDSJAUR</t>
        </is>
      </c>
      <c r="H144" t="inlineStr">
        <is>
          <t>Sveaskog</t>
        </is>
      </c>
      <c r="I144" t="n">
        <v>18.8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43274-2025</t>
        </is>
      </c>
      <c r="B145" t="inlineStr">
        <is>
          <t>avverkningsanmälan</t>
        </is>
      </c>
      <c r="C145" t="inlineStr">
        <is>
          <t>Föryngringsavverkning</t>
        </is>
      </c>
      <c r="D145" s="1" t="n">
        <v>45910</v>
      </c>
      <c r="E145" s="1" t="n">
        <v>46304</v>
      </c>
      <c r="F145" t="inlineStr">
        <is>
          <t>NORRBOTTENS LÄN</t>
        </is>
      </c>
      <c r="G145" t="inlineStr">
        <is>
          <t>ARVIDSJAUR</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10838-2025</t>
        </is>
      </c>
      <c r="B146" t="inlineStr">
        <is>
          <t>avverkningsanmälan</t>
        </is>
      </c>
      <c r="C146" t="inlineStr">
        <is>
          <t>Föryngringsavverkning</t>
        </is>
      </c>
      <c r="D146" s="1" t="n">
        <v>45722</v>
      </c>
      <c r="E146" s="1" t="n">
        <v>46304</v>
      </c>
      <c r="F146" t="inlineStr">
        <is>
          <t>NORRBOTTENS LÄN</t>
        </is>
      </c>
      <c r="G146" t="inlineStr">
        <is>
          <t>ARVIDSJAUR</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2309-2023</t>
        </is>
      </c>
      <c r="B147" t="inlineStr">
        <is>
          <t>avverkningsanmälan</t>
        </is>
      </c>
      <c r="C147" t="inlineStr">
        <is>
          <t>Föryngringsavverkning</t>
        </is>
      </c>
      <c r="D147" s="1" t="n">
        <v>44942</v>
      </c>
      <c r="E147" s="1" t="n">
        <v>46304</v>
      </c>
      <c r="F147" t="inlineStr">
        <is>
          <t>NORRBOTTENS LÄN</t>
        </is>
      </c>
      <c r="G147" t="inlineStr">
        <is>
          <t>ARVIDSJAUR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44640-2025</t>
        </is>
      </c>
      <c r="B148" t="inlineStr">
        <is>
          <t>avverkningsanmälan</t>
        </is>
      </c>
      <c r="C148" t="inlineStr">
        <is>
          <t>Föryngringsavverkning</t>
        </is>
      </c>
      <c r="D148" s="1" t="n">
        <v>45917</v>
      </c>
      <c r="E148" s="1" t="n">
        <v>46304</v>
      </c>
      <c r="F148" t="inlineStr">
        <is>
          <t>NORRBOTTENS LÄN</t>
        </is>
      </c>
      <c r="G148" t="inlineStr">
        <is>
          <t>ARVIDSJAUR</t>
        </is>
      </c>
      <c r="H148" t="inlineStr">
        <is>
          <t>Övriga Aktiebolag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44613-2025</t>
        </is>
      </c>
      <c r="B149" t="inlineStr">
        <is>
          <t>avverkningsanmälan</t>
        </is>
      </c>
      <c r="C149" t="inlineStr">
        <is>
          <t>Föryngringsavverkning</t>
        </is>
      </c>
      <c r="D149" s="1" t="n">
        <v>45917</v>
      </c>
      <c r="E149" s="1" t="n">
        <v>46304</v>
      </c>
      <c r="F149" t="inlineStr">
        <is>
          <t>NORRBOTTENS LÄN</t>
        </is>
      </c>
      <c r="G149" t="inlineStr">
        <is>
          <t>ARVIDSJAUR</t>
        </is>
      </c>
      <c r="H149" t="inlineStr">
        <is>
          <t>Övriga Aktiebolag</t>
        </is>
      </c>
      <c r="I149" t="n">
        <v>11.6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45187-2025</t>
        </is>
      </c>
      <c r="B150" t="inlineStr">
        <is>
          <t>avverkningsanmälan</t>
        </is>
      </c>
      <c r="C150" t="inlineStr">
        <is>
          <t>Föryngringsavverkning</t>
        </is>
      </c>
      <c r="D150" s="1" t="n">
        <v>45919</v>
      </c>
      <c r="E150" s="1" t="n">
        <v>46304</v>
      </c>
      <c r="F150" t="inlineStr">
        <is>
          <t>NORRBOTTENS LÄN</t>
        </is>
      </c>
      <c r="G150" t="inlineStr">
        <is>
          <t>ARVIDSJAUR</t>
        </is>
      </c>
      <c r="H150" t="inlineStr">
        <is>
          <t>Sveaskog</t>
        </is>
      </c>
      <c r="I150" t="n">
        <v>17.4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45200-2025</t>
        </is>
      </c>
      <c r="B151" t="inlineStr">
        <is>
          <t>avverkningsanmälan</t>
        </is>
      </c>
      <c r="C151" t="inlineStr">
        <is>
          <t>Föryngringsavverkning</t>
        </is>
      </c>
      <c r="D151" s="1" t="n">
        <v>45919</v>
      </c>
      <c r="E151" s="1" t="n">
        <v>46304</v>
      </c>
      <c r="F151" t="inlineStr">
        <is>
          <t>NORRBOTTENS LÄN</t>
        </is>
      </c>
      <c r="G151" t="inlineStr">
        <is>
          <t>ARVIDSJAUR</t>
        </is>
      </c>
      <c r="H151" t="inlineStr">
        <is>
          <t>Sveaskog</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45227-2025</t>
        </is>
      </c>
      <c r="B152" t="inlineStr">
        <is>
          <t>avverkningsanmälan</t>
        </is>
      </c>
      <c r="C152" t="inlineStr">
        <is>
          <t>Föryngringsavverkning</t>
        </is>
      </c>
      <c r="D152" s="1" t="n">
        <v>45919</v>
      </c>
      <c r="E152" s="1" t="n">
        <v>46304</v>
      </c>
      <c r="F152" t="inlineStr">
        <is>
          <t>NORRBOTTENS LÄN</t>
        </is>
      </c>
      <c r="G152" t="inlineStr">
        <is>
          <t>ARVIDSJAUR</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45104-2025</t>
        </is>
      </c>
      <c r="B153" t="inlineStr">
        <is>
          <t>avverkningsanmälan</t>
        </is>
      </c>
      <c r="C153" t="inlineStr">
        <is>
          <t>Föryngringsavverkning</t>
        </is>
      </c>
      <c r="D153" s="1" t="n">
        <v>45919</v>
      </c>
      <c r="E153" s="1" t="n">
        <v>46304</v>
      </c>
      <c r="F153" t="inlineStr">
        <is>
          <t>NORRBOTTENS LÄN</t>
        </is>
      </c>
      <c r="G153" t="inlineStr">
        <is>
          <t>ARVIDSJAUR</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45197-2025</t>
        </is>
      </c>
      <c r="B154" t="inlineStr">
        <is>
          <t>avverkningsanmälan</t>
        </is>
      </c>
      <c r="C154" t="inlineStr">
        <is>
          <t>Avverkning för annat ändamål</t>
        </is>
      </c>
      <c r="D154" s="1" t="n">
        <v>45919</v>
      </c>
      <c r="E154" s="1" t="n">
        <v>46304</v>
      </c>
      <c r="F154" t="inlineStr">
        <is>
          <t>NORRBOTTENS LÄN</t>
        </is>
      </c>
      <c r="G154" t="inlineStr">
        <is>
          <t>ARVIDSJAUR</t>
        </is>
      </c>
      <c r="H154" t="inlineStr">
        <is>
          <t>Sveaskog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45215-2025</t>
        </is>
      </c>
      <c r="B155" t="inlineStr">
        <is>
          <t>avverkningsanmälan</t>
        </is>
      </c>
      <c r="C155" t="inlineStr">
        <is>
          <t>Föryngringsavverkning</t>
        </is>
      </c>
      <c r="D155" s="1" t="n">
        <v>45919</v>
      </c>
      <c r="E155" s="1" t="n">
        <v>46304</v>
      </c>
      <c r="F155" t="inlineStr">
        <is>
          <t>NORRBOTTENS LÄN</t>
        </is>
      </c>
      <c r="G155" t="inlineStr">
        <is>
          <t>ARVIDSJAUR</t>
        </is>
      </c>
      <c r="H155" t="inlineStr">
        <is>
          <t>Sveaskog</t>
        </is>
      </c>
      <c r="I155" t="n">
        <v>12.9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2778-2023</t>
        </is>
      </c>
      <c r="B156" t="inlineStr">
        <is>
          <t>avverkningsanmälan</t>
        </is>
      </c>
      <c r="C156" t="inlineStr">
        <is>
          <t>Avverkning för att bevara och utveckla /försöksver</t>
        </is>
      </c>
      <c r="D156" s="1" t="n">
        <v>44944</v>
      </c>
      <c r="E156" s="1" t="n">
        <v>46304</v>
      </c>
      <c r="F156" t="inlineStr">
        <is>
          <t>NORRBOTTENS LÄN</t>
        </is>
      </c>
      <c r="G156" t="inlineStr">
        <is>
          <t>ARVIDSJAUR</t>
        </is>
      </c>
      <c r="H156" t="inlineStr">
        <is>
          <t>Sveaskog</t>
        </is>
      </c>
      <c r="I156" t="n">
        <v>11.1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45206-2025</t>
        </is>
      </c>
      <c r="B157" t="inlineStr">
        <is>
          <t>avverkningsanmälan</t>
        </is>
      </c>
      <c r="C157" t="inlineStr">
        <is>
          <t>Avverkning för att bevara och utveckla /försöksver</t>
        </is>
      </c>
      <c r="D157" s="1" t="n">
        <v>45919</v>
      </c>
      <c r="E157" s="1" t="n">
        <v>46304</v>
      </c>
      <c r="F157" t="inlineStr">
        <is>
          <t>NORRBOTTENS LÄN</t>
        </is>
      </c>
      <c r="G157" t="inlineStr">
        <is>
          <t>ARVIDSJAUR</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45222-2025</t>
        </is>
      </c>
      <c r="B158" t="inlineStr">
        <is>
          <t>avverkningsanmälan</t>
        </is>
      </c>
      <c r="C158" t="inlineStr">
        <is>
          <t>Föryngringsavverkning</t>
        </is>
      </c>
      <c r="D158" s="1" t="n">
        <v>45919</v>
      </c>
      <c r="E158" s="1" t="n">
        <v>46304</v>
      </c>
      <c r="F158" t="inlineStr">
        <is>
          <t>NORRBOTTENS LÄN</t>
        </is>
      </c>
      <c r="G158" t="inlineStr">
        <is>
          <t>ARVIDSJAUR</t>
        </is>
      </c>
      <c r="H158" t="inlineStr">
        <is>
          <t>Sveaskog</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45576-2025</t>
        </is>
      </c>
      <c r="B159" t="inlineStr">
        <is>
          <t>avverkningsanmälan</t>
        </is>
      </c>
      <c r="C159" t="inlineStr">
        <is>
          <t>Föryngringsavverkning</t>
        </is>
      </c>
      <c r="D159" s="1" t="n">
        <v>45922</v>
      </c>
      <c r="E159" s="1" t="n">
        <v>46304</v>
      </c>
      <c r="F159" t="inlineStr">
        <is>
          <t>NORRBOTTENS LÄN</t>
        </is>
      </c>
      <c r="G159" t="inlineStr">
        <is>
          <t>ARVIDSJAUR</t>
        </is>
      </c>
      <c r="H159" t="inlineStr">
        <is>
          <t>Sveaskog</t>
        </is>
      </c>
      <c r="I159" t="n">
        <v>13.5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45493-2025</t>
        </is>
      </c>
      <c r="B160" t="inlineStr">
        <is>
          <t>avverkningsanmälan</t>
        </is>
      </c>
      <c r="C160" t="inlineStr">
        <is>
          <t>Föryngringsavverkning</t>
        </is>
      </c>
      <c r="D160" s="1" t="n">
        <v>45922</v>
      </c>
      <c r="E160" s="1" t="n">
        <v>46304</v>
      </c>
      <c r="F160" t="inlineStr">
        <is>
          <t>NORRBOTTENS LÄN</t>
        </is>
      </c>
      <c r="G160" t="inlineStr">
        <is>
          <t>ARVIDSJAUR</t>
        </is>
      </c>
      <c r="H160" t="inlineStr">
        <is>
          <t>Sveaskog</t>
        </is>
      </c>
      <c r="I160" t="n">
        <v>7.4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45643-2025</t>
        </is>
      </c>
      <c r="B161" t="inlineStr">
        <is>
          <t>avverkningsanmälan</t>
        </is>
      </c>
      <c r="C161" t="inlineStr">
        <is>
          <t>Föryngringsavverkning</t>
        </is>
      </c>
      <c r="D161" s="1" t="n">
        <v>45923</v>
      </c>
      <c r="E161" s="1" t="n">
        <v>46304</v>
      </c>
      <c r="F161" t="inlineStr">
        <is>
          <t>NORRBOTTENS LÄN</t>
        </is>
      </c>
      <c r="G161" t="inlineStr">
        <is>
          <t>ARVIDSJAUR</t>
        </is>
      </c>
      <c r="H161" t="inlineStr">
        <is>
          <t>Sveaskog</t>
        </is>
      </c>
      <c r="I161" t="n">
        <v>38.5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60888-2021</t>
        </is>
      </c>
      <c r="B162" t="inlineStr">
        <is>
          <t>avverkningsanmälan</t>
        </is>
      </c>
      <c r="C162" t="inlineStr">
        <is>
          <t>Avverkning för annat ändamål</t>
        </is>
      </c>
      <c r="D162" s="1" t="n">
        <v>44497</v>
      </c>
      <c r="E162" s="1" t="n">
        <v>46304</v>
      </c>
      <c r="F162" t="inlineStr">
        <is>
          <t>NORRBOTTENS LÄN</t>
        </is>
      </c>
      <c r="G162" t="inlineStr">
        <is>
          <t>ARVIDSJAUR</t>
        </is>
      </c>
      <c r="H162" t="inlineStr">
        <is>
          <t>Sveaskog</t>
        </is>
      </c>
      <c r="I162" t="n">
        <v>12.1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46170-2025</t>
        </is>
      </c>
      <c r="B163" t="inlineStr">
        <is>
          <t>avverkningsanmälan</t>
        </is>
      </c>
      <c r="C163" t="inlineStr">
        <is>
          <t>Föryngringsavverkning</t>
        </is>
      </c>
      <c r="D163" s="1" t="n">
        <v>45924</v>
      </c>
      <c r="E163" s="1" t="n">
        <v>46304</v>
      </c>
      <c r="F163" t="inlineStr">
        <is>
          <t>NORRBOTTENS LÄN</t>
        </is>
      </c>
      <c r="G163" t="inlineStr">
        <is>
          <t>ARVIDSJAUR</t>
        </is>
      </c>
      <c r="H163" t="inlineStr">
        <is>
          <t>Övriga Aktiebolag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45984-2025</t>
        </is>
      </c>
      <c r="B164" t="inlineStr">
        <is>
          <t>avverkningsanmälan</t>
        </is>
      </c>
      <c r="C164" t="inlineStr">
        <is>
          <t>Föryngringsavverkning</t>
        </is>
      </c>
      <c r="D164" s="1" t="n">
        <v>45924</v>
      </c>
      <c r="E164" s="1" t="n">
        <v>46304</v>
      </c>
      <c r="F164" t="inlineStr">
        <is>
          <t>NORRBOTTENS LÄN</t>
        </is>
      </c>
      <c r="G164" t="inlineStr">
        <is>
          <t>ARVIDSJAUR</t>
        </is>
      </c>
      <c r="H164" t="inlineStr">
        <is>
          <t>Sveaskog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46903-2025</t>
        </is>
      </c>
      <c r="B165" t="inlineStr">
        <is>
          <t>avverkningsanmälan</t>
        </is>
      </c>
      <c r="C165" t="inlineStr">
        <is>
          <t>Föryngringsavverkning</t>
        </is>
      </c>
      <c r="D165" s="1" t="n">
        <v>45929</v>
      </c>
      <c r="E165" s="1" t="n">
        <v>46304</v>
      </c>
      <c r="F165" t="inlineStr">
        <is>
          <t>NORRBOTTENS LÄN</t>
        </is>
      </c>
      <c r="G165" t="inlineStr">
        <is>
          <t>ARVIDSJAUR</t>
        </is>
      </c>
      <c r="H165" t="inlineStr">
        <is>
          <t>Sveaskog</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25121-2024</t>
        </is>
      </c>
      <c r="B166" t="inlineStr">
        <is>
          <t>avverkningsanmälan</t>
        </is>
      </c>
      <c r="C166" t="inlineStr">
        <is>
          <t>Föryngringsavverkning</t>
        </is>
      </c>
      <c r="D166" s="1" t="n">
        <v>45462</v>
      </c>
      <c r="E166" s="1" t="n">
        <v>46304</v>
      </c>
      <c r="F166" t="inlineStr">
        <is>
          <t>NORRBOTTENS LÄN</t>
        </is>
      </c>
      <c r="G166" t="inlineStr">
        <is>
          <t>ARVIDSJAUR</t>
        </is>
      </c>
      <c r="H166" t="inlineStr">
        <is>
          <t>Sveaskog</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54529-2023</t>
        </is>
      </c>
      <c r="B167" t="inlineStr">
        <is>
          <t>avverkningsanmälan</t>
        </is>
      </c>
      <c r="C167" t="inlineStr">
        <is>
          <t>Föryngringsavverkning</t>
        </is>
      </c>
      <c r="D167" s="1" t="n">
        <v>45226</v>
      </c>
      <c r="E167" s="1" t="n">
        <v>46304</v>
      </c>
      <c r="F167" t="inlineStr">
        <is>
          <t>NORRBOTTENS LÄN</t>
        </is>
      </c>
      <c r="G167" t="inlineStr">
        <is>
          <t>ARVIDSJAUR</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47106-2025</t>
        </is>
      </c>
      <c r="B168" t="inlineStr">
        <is>
          <t>avverkningsanmälan</t>
        </is>
      </c>
      <c r="C168" t="inlineStr">
        <is>
          <t>Föryngringsavverkning</t>
        </is>
      </c>
      <c r="D168" s="1" t="n">
        <v>45929</v>
      </c>
      <c r="E168" s="1" t="n">
        <v>46304</v>
      </c>
      <c r="F168" t="inlineStr">
        <is>
          <t>NORRBOTTENS LÄN</t>
        </is>
      </c>
      <c r="G168" t="inlineStr">
        <is>
          <t>ARVIDSJAUR</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47039-2025</t>
        </is>
      </c>
      <c r="B169" t="inlineStr">
        <is>
          <t>avverkningsanmälan</t>
        </is>
      </c>
      <c r="C169" t="inlineStr">
        <is>
          <t>Avverkning för annat ändamål</t>
        </is>
      </c>
      <c r="D169" s="1" t="n">
        <v>45929</v>
      </c>
      <c r="E169" s="1" t="n">
        <v>46304</v>
      </c>
      <c r="F169" t="inlineStr">
        <is>
          <t>NORRBOTTENS LÄN</t>
        </is>
      </c>
      <c r="G169" t="inlineStr">
        <is>
          <t>ARVIDSJAUR</t>
        </is>
      </c>
      <c r="H169" t="inlineStr">
        <is>
          <t>Sveaskog</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48326-2025</t>
        </is>
      </c>
      <c r="B170" t="inlineStr">
        <is>
          <t>avverkningsanmälan</t>
        </is>
      </c>
      <c r="C170" t="inlineStr">
        <is>
          <t>Föryngringsavverkning</t>
        </is>
      </c>
      <c r="D170" s="1" t="n">
        <v>45933</v>
      </c>
      <c r="E170" s="1" t="n">
        <v>46304</v>
      </c>
      <c r="F170" t="inlineStr">
        <is>
          <t>NORRBOTTENS LÄN</t>
        </is>
      </c>
      <c r="G170" t="inlineStr">
        <is>
          <t>ARVIDSJAUR</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48312-2025</t>
        </is>
      </c>
      <c r="B171" t="inlineStr">
        <is>
          <t>avverkningsanmälan</t>
        </is>
      </c>
      <c r="C171" t="inlineStr">
        <is>
          <t>Föryngringsavverkning</t>
        </is>
      </c>
      <c r="D171" s="1" t="n">
        <v>45933</v>
      </c>
      <c r="E171" s="1" t="n">
        <v>46304</v>
      </c>
      <c r="F171" t="inlineStr">
        <is>
          <t>NORRBOTTENS LÄN</t>
        </is>
      </c>
      <c r="G171" t="inlineStr">
        <is>
          <t>ARVIDSJAUR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48008-2025</t>
        </is>
      </c>
      <c r="B172" t="inlineStr">
        <is>
          <t>avverkningsanmälan</t>
        </is>
      </c>
      <c r="C172" t="inlineStr">
        <is>
          <t>Föryngringsavverkning</t>
        </is>
      </c>
      <c r="D172" s="1" t="n">
        <v>45932</v>
      </c>
      <c r="E172" s="1" t="n">
        <v>46304</v>
      </c>
      <c r="F172" t="inlineStr">
        <is>
          <t>NORRBOTTENS LÄN</t>
        </is>
      </c>
      <c r="G172" t="inlineStr">
        <is>
          <t>ARVIDSJAUR</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48856-2025</t>
        </is>
      </c>
      <c r="B173" t="inlineStr">
        <is>
          <t>avverkningsanmälan</t>
        </is>
      </c>
      <c r="C173" t="inlineStr">
        <is>
          <t>Föryngringsavverkning</t>
        </is>
      </c>
      <c r="D173" s="1" t="n">
        <v>45937</v>
      </c>
      <c r="E173" s="1" t="n">
        <v>46304</v>
      </c>
      <c r="F173" t="inlineStr">
        <is>
          <t>NORRBOTTENS LÄN</t>
        </is>
      </c>
      <c r="G173" t="inlineStr">
        <is>
          <t>ARVIDSJAUR</t>
        </is>
      </c>
      <c r="I173" t="n">
        <v>8.6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48858-2025</t>
        </is>
      </c>
      <c r="B174" t="inlineStr">
        <is>
          <t>avverkningsanmälan</t>
        </is>
      </c>
      <c r="C174" t="inlineStr">
        <is>
          <t>Föryngringsavverkning</t>
        </is>
      </c>
      <c r="D174" s="1" t="n">
        <v>45937</v>
      </c>
      <c r="E174" s="1" t="n">
        <v>46304</v>
      </c>
      <c r="F174" t="inlineStr">
        <is>
          <t>NORRBOTTENS LÄN</t>
        </is>
      </c>
      <c r="G174" t="inlineStr">
        <is>
          <t>ARVIDSJAUR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48892-2024</t>
        </is>
      </c>
      <c r="B175" t="inlineStr">
        <is>
          <t>avverkningsanmälan</t>
        </is>
      </c>
      <c r="C175" t="inlineStr">
        <is>
          <t>Föryngringsavverkning</t>
        </is>
      </c>
      <c r="D175" s="1" t="n">
        <v>45594</v>
      </c>
      <c r="E175" s="1" t="n">
        <v>46304</v>
      </c>
      <c r="F175" t="inlineStr">
        <is>
          <t>NORRBOTTENS LÄN</t>
        </is>
      </c>
      <c r="G175" t="inlineStr">
        <is>
          <t>ARVIDSJAUR</t>
        </is>
      </c>
      <c r="H175" t="inlineStr">
        <is>
          <t>Sveaskog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49927-2025</t>
        </is>
      </c>
      <c r="B176" t="inlineStr">
        <is>
          <t>avverkningsanmälan</t>
        </is>
      </c>
      <c r="C176" t="inlineStr">
        <is>
          <t>Föryngringsavverkning</t>
        </is>
      </c>
      <c r="D176" s="1" t="n">
        <v>45939</v>
      </c>
      <c r="E176" s="1" t="n">
        <v>46304</v>
      </c>
      <c r="F176" t="inlineStr">
        <is>
          <t>NORRBOTTENS LÄN</t>
        </is>
      </c>
      <c r="G176" t="inlineStr">
        <is>
          <t>ARVIDSJAUR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29514-2025</t>
        </is>
      </c>
      <c r="B177" t="inlineStr">
        <is>
          <t>avverkningsanmälan</t>
        </is>
      </c>
      <c r="C177" t="inlineStr">
        <is>
          <t>Föryngringsavverkning</t>
        </is>
      </c>
      <c r="D177" s="1" t="n">
        <v>45825</v>
      </c>
      <c r="E177" s="1" t="n">
        <v>46304</v>
      </c>
      <c r="F177" t="inlineStr">
        <is>
          <t>NORRBOTTENS LÄN</t>
        </is>
      </c>
      <c r="G177" t="inlineStr">
        <is>
          <t>ARVIDSJAUR</t>
        </is>
      </c>
      <c r="H177" t="inlineStr">
        <is>
          <t>Sveaskog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50348-2025</t>
        </is>
      </c>
      <c r="B178" t="inlineStr">
        <is>
          <t>avverkningsanmälan</t>
        </is>
      </c>
      <c r="C178" t="inlineStr">
        <is>
          <t>Föryngringsavverkning</t>
        </is>
      </c>
      <c r="D178" s="1" t="n">
        <v>45944</v>
      </c>
      <c r="E178" s="1" t="n">
        <v>46304</v>
      </c>
      <c r="F178" t="inlineStr">
        <is>
          <t>NORRBOTTENS LÄN</t>
        </is>
      </c>
      <c r="G178" t="inlineStr">
        <is>
          <t>ARVIDSJAUR</t>
        </is>
      </c>
      <c r="H178" t="inlineStr">
        <is>
          <t>Sveaskog</t>
        </is>
      </c>
      <c r="I178" t="n">
        <v>10.8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50350-2025</t>
        </is>
      </c>
      <c r="B179" t="inlineStr">
        <is>
          <t>avverkningsanmälan</t>
        </is>
      </c>
      <c r="C179" t="inlineStr">
        <is>
          <t>Föryngringsavverkning</t>
        </is>
      </c>
      <c r="D179" s="1" t="n">
        <v>45944</v>
      </c>
      <c r="E179" s="1" t="n">
        <v>46304</v>
      </c>
      <c r="F179" t="inlineStr">
        <is>
          <t>NORRBOTTENS LÄN</t>
        </is>
      </c>
      <c r="G179" t="inlineStr">
        <is>
          <t>ARVIDSJAUR</t>
        </is>
      </c>
      <c r="H179" t="inlineStr">
        <is>
          <t>Sveaskog</t>
        </is>
      </c>
      <c r="I179" t="n">
        <v>13.1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50341-2025</t>
        </is>
      </c>
      <c r="B180" t="inlineStr">
        <is>
          <t>avverkningsanmälan</t>
        </is>
      </c>
      <c r="C180" t="inlineStr">
        <is>
          <t>Föryngringsavverkning</t>
        </is>
      </c>
      <c r="D180" s="1" t="n">
        <v>45944</v>
      </c>
      <c r="E180" s="1" t="n">
        <v>46304</v>
      </c>
      <c r="F180" t="inlineStr">
        <is>
          <t>NORRBOTTENS LÄN</t>
        </is>
      </c>
      <c r="G180" t="inlineStr">
        <is>
          <t>ARVIDSJAUR</t>
        </is>
      </c>
      <c r="H180" t="inlineStr">
        <is>
          <t>Sveaskog</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50835-2025</t>
        </is>
      </c>
      <c r="B181" t="inlineStr">
        <is>
          <t>avverkningsanmälan</t>
        </is>
      </c>
      <c r="C181" t="inlineStr">
        <is>
          <t>Föryngringsavverkning</t>
        </is>
      </c>
      <c r="D181" s="1" t="n">
        <v>45946</v>
      </c>
      <c r="E181" s="1" t="n">
        <v>46304</v>
      </c>
      <c r="F181" t="inlineStr">
        <is>
          <t>NORRBOTTENS LÄN</t>
        </is>
      </c>
      <c r="G181" t="inlineStr">
        <is>
          <t>ARVIDSJAUR</t>
        </is>
      </c>
      <c r="H181" t="inlineStr">
        <is>
          <t>Sveaskog</t>
        </is>
      </c>
      <c r="I181" t="n">
        <v>13.4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22997-2024</t>
        </is>
      </c>
      <c r="B182" t="inlineStr">
        <is>
          <t>avverkningsanmälan</t>
        </is>
      </c>
      <c r="C182" t="inlineStr">
        <is>
          <t>Föryngringsavverkning</t>
        </is>
      </c>
      <c r="D182" s="1" t="n">
        <v>45450</v>
      </c>
      <c r="E182" s="1" t="n">
        <v>46304</v>
      </c>
      <c r="F182" t="inlineStr">
        <is>
          <t>NORRBOTTENS LÄN</t>
        </is>
      </c>
      <c r="G182" t="inlineStr">
        <is>
          <t>ARVIDSJAUR</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50838-2025</t>
        </is>
      </c>
      <c r="B183" t="inlineStr">
        <is>
          <t>avverkningsanmälan</t>
        </is>
      </c>
      <c r="C183" t="inlineStr">
        <is>
          <t>Föryngringsavverkning</t>
        </is>
      </c>
      <c r="D183" s="1" t="n">
        <v>45946</v>
      </c>
      <c r="E183" s="1" t="n">
        <v>46304</v>
      </c>
      <c r="F183" t="inlineStr">
        <is>
          <t>NORRBOTTENS LÄN</t>
        </is>
      </c>
      <c r="G183" t="inlineStr">
        <is>
          <t>ARVIDSJAUR</t>
        </is>
      </c>
      <c r="H183" t="inlineStr">
        <is>
          <t>Sveaskog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50813-2025</t>
        </is>
      </c>
      <c r="B184" t="inlineStr">
        <is>
          <t>avverkningsanmälan</t>
        </is>
      </c>
      <c r="C184" t="inlineStr">
        <is>
          <t>Föryngringsavverkning</t>
        </is>
      </c>
      <c r="D184" s="1" t="n">
        <v>45946</v>
      </c>
      <c r="E184" s="1" t="n">
        <v>46304</v>
      </c>
      <c r="F184" t="inlineStr">
        <is>
          <t>NORRBOTTENS LÄN</t>
        </is>
      </c>
      <c r="G184" t="inlineStr">
        <is>
          <t>ARVIDSJAUR</t>
        </is>
      </c>
      <c r="H184" t="inlineStr">
        <is>
          <t>Sveaskog</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51406-2025</t>
        </is>
      </c>
      <c r="B185" t="inlineStr">
        <is>
          <t>avverkningsanmälan</t>
        </is>
      </c>
      <c r="C185" t="inlineStr">
        <is>
          <t>Föryngringsavverkning</t>
        </is>
      </c>
      <c r="D185" s="1" t="n">
        <v>45950</v>
      </c>
      <c r="E185" s="1" t="n">
        <v>46304</v>
      </c>
      <c r="F185" t="inlineStr">
        <is>
          <t>NORRBOTTENS LÄN</t>
        </is>
      </c>
      <c r="G185" t="inlineStr">
        <is>
          <t>ARVIDSJAUR</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11582-2025</t>
        </is>
      </c>
      <c r="B186" t="inlineStr">
        <is>
          <t>avverkningsanmälan</t>
        </is>
      </c>
      <c r="C186" t="inlineStr">
        <is>
          <t>Föryngringsavverkning</t>
        </is>
      </c>
      <c r="D186" s="1" t="n">
        <v>45726</v>
      </c>
      <c r="E186" s="1" t="n">
        <v>46304</v>
      </c>
      <c r="F186" t="inlineStr">
        <is>
          <t>NORRBOTTENS LÄN</t>
        </is>
      </c>
      <c r="G186" t="inlineStr">
        <is>
          <t>ARVIDSJAUR</t>
        </is>
      </c>
      <c r="H186" t="inlineStr">
        <is>
          <t>Allmännings- och besparingsskogar</t>
        </is>
      </c>
      <c r="I186" t="n">
        <v>7.1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45034-2023</t>
        </is>
      </c>
      <c r="B187" t="inlineStr">
        <is>
          <t>avverkningsanmälan</t>
        </is>
      </c>
      <c r="C187" t="inlineStr">
        <is>
          <t>Föryngringsavverkning</t>
        </is>
      </c>
      <c r="D187" s="1" t="n">
        <v>45191</v>
      </c>
      <c r="E187" s="1" t="n">
        <v>46304</v>
      </c>
      <c r="F187" t="inlineStr">
        <is>
          <t>NORRBOTTENS LÄN</t>
        </is>
      </c>
      <c r="G187" t="inlineStr">
        <is>
          <t>ARVIDSJAUR</t>
        </is>
      </c>
      <c r="H187" t="inlineStr">
        <is>
          <t>Sveaskog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52948-2025</t>
        </is>
      </c>
      <c r="B188" t="inlineStr">
        <is>
          <t>avverkningsanmälan</t>
        </is>
      </c>
      <c r="C188" t="inlineStr">
        <is>
          <t>Föryngringsavverkning</t>
        </is>
      </c>
      <c r="D188" s="1" t="n">
        <v>45957</v>
      </c>
      <c r="E188" s="1" t="n">
        <v>46304</v>
      </c>
      <c r="F188" t="inlineStr">
        <is>
          <t>NORRBOTTENS LÄN</t>
        </is>
      </c>
      <c r="G188" t="inlineStr">
        <is>
          <t>ARVIDSJAUR</t>
        </is>
      </c>
      <c r="H188" t="inlineStr">
        <is>
          <t>Sveaskog</t>
        </is>
      </c>
      <c r="I188" t="n">
        <v>35.3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52448-2025</t>
        </is>
      </c>
      <c r="B189" t="inlineStr">
        <is>
          <t>avverkningsanmälan</t>
        </is>
      </c>
      <c r="C189" t="inlineStr">
        <is>
          <t>Föryngringsavverkning</t>
        </is>
      </c>
      <c r="D189" s="1" t="n">
        <v>45954</v>
      </c>
      <c r="E189" s="1" t="n">
        <v>46304</v>
      </c>
      <c r="F189" t="inlineStr">
        <is>
          <t>NORRBOTTENS LÄN</t>
        </is>
      </c>
      <c r="G189" t="inlineStr">
        <is>
          <t>ARVIDSJAUR</t>
        </is>
      </c>
      <c r="H189" t="inlineStr">
        <is>
          <t>Sveaskog</t>
        </is>
      </c>
      <c r="I189" t="n">
        <v>18.6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52438-2025</t>
        </is>
      </c>
      <c r="B190" t="inlineStr">
        <is>
          <t>avverkningsanmälan</t>
        </is>
      </c>
      <c r="C190" t="inlineStr">
        <is>
          <t>Föryngringsavverkning</t>
        </is>
      </c>
      <c r="D190" s="1" t="n">
        <v>45954</v>
      </c>
      <c r="E190" s="1" t="n">
        <v>46304</v>
      </c>
      <c r="F190" t="inlineStr">
        <is>
          <t>NORRBOTTENS LÄN</t>
        </is>
      </c>
      <c r="G190" t="inlineStr">
        <is>
          <t>ARVIDSJAUR</t>
        </is>
      </c>
      <c r="H190" t="inlineStr">
        <is>
          <t>Sveaskog</t>
        </is>
      </c>
      <c r="I190" t="n">
        <v>17.8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24810-2023</t>
        </is>
      </c>
      <c r="B191" t="inlineStr">
        <is>
          <t>avverkningsanmälan</t>
        </is>
      </c>
      <c r="C191" t="inlineStr">
        <is>
          <t>Föryngringsavverkning</t>
        </is>
      </c>
      <c r="D191" s="1" t="n">
        <v>45084</v>
      </c>
      <c r="E191" s="1" t="n">
        <v>46304</v>
      </c>
      <c r="F191" t="inlineStr">
        <is>
          <t>NORRBOTTENS LÄN</t>
        </is>
      </c>
      <c r="G191" t="inlineStr">
        <is>
          <t>ARVIDSJAUR</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54223-2025</t>
        </is>
      </c>
      <c r="B192" t="inlineStr">
        <is>
          <t>avverkningsanmälan</t>
        </is>
      </c>
      <c r="C192" t="inlineStr">
        <is>
          <t>Föryngringsavverkning</t>
        </is>
      </c>
      <c r="D192" s="1" t="n">
        <v>45964</v>
      </c>
      <c r="E192" s="1" t="n">
        <v>46304</v>
      </c>
      <c r="F192" t="inlineStr">
        <is>
          <t>NORRBOTTENS LÄN</t>
        </is>
      </c>
      <c r="G192" t="inlineStr">
        <is>
          <t>ARVIDSJAUR</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54304-2025</t>
        </is>
      </c>
      <c r="B193" t="inlineStr">
        <is>
          <t>avverkningsanmälan</t>
        </is>
      </c>
      <c r="C193" t="inlineStr">
        <is>
          <t>Föryngringsavverkning</t>
        </is>
      </c>
      <c r="D193" s="1" t="n">
        <v>45965</v>
      </c>
      <c r="E193" s="1" t="n">
        <v>46304</v>
      </c>
      <c r="F193" t="inlineStr">
        <is>
          <t>NORRBOTTENS LÄN</t>
        </is>
      </c>
      <c r="G193" t="inlineStr">
        <is>
          <t>ARVIDSJAUR</t>
        </is>
      </c>
      <c r="H193" t="inlineStr">
        <is>
          <t>Sveaskog</t>
        </is>
      </c>
      <c r="I193" t="n">
        <v>12.4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54305-2025</t>
        </is>
      </c>
      <c r="B194" t="inlineStr">
        <is>
          <t>avverkningsanmälan</t>
        </is>
      </c>
      <c r="C194" t="inlineStr">
        <is>
          <t>Föryngringsavverkning</t>
        </is>
      </c>
      <c r="D194" s="1" t="n">
        <v>45965</v>
      </c>
      <c r="E194" s="1" t="n">
        <v>46304</v>
      </c>
      <c r="F194" t="inlineStr">
        <is>
          <t>NORRBOTTENS LÄN</t>
        </is>
      </c>
      <c r="G194" t="inlineStr">
        <is>
          <t>ARVIDSJAUR</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52645-2023</t>
        </is>
      </c>
      <c r="B195" t="inlineStr">
        <is>
          <t>avverkningsanmälan</t>
        </is>
      </c>
      <c r="C195" t="inlineStr">
        <is>
          <t>Föryngringsavverkning</t>
        </is>
      </c>
      <c r="D195" s="1" t="n">
        <v>45225</v>
      </c>
      <c r="E195" s="1" t="n">
        <v>46304</v>
      </c>
      <c r="F195" t="inlineStr">
        <is>
          <t>NORRBOTTENS LÄN</t>
        </is>
      </c>
      <c r="G195" t="inlineStr">
        <is>
          <t>ARVIDSJAUR</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54303-2025</t>
        </is>
      </c>
      <c r="B196" t="inlineStr">
        <is>
          <t>avverkningsanmälan</t>
        </is>
      </c>
      <c r="C196" t="inlineStr">
        <is>
          <t>Föryngringsavverkning</t>
        </is>
      </c>
      <c r="D196" s="1" t="n">
        <v>45965</v>
      </c>
      <c r="E196" s="1" t="n">
        <v>46304</v>
      </c>
      <c r="F196" t="inlineStr">
        <is>
          <t>NORRBOTTENS LÄN</t>
        </is>
      </c>
      <c r="G196" t="inlineStr">
        <is>
          <t>ARVIDSJAUR</t>
        </is>
      </c>
      <c r="H196" t="inlineStr">
        <is>
          <t>Sveaskog</t>
        </is>
      </c>
      <c r="I196" t="n">
        <v>14.5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55795-2025</t>
        </is>
      </c>
      <c r="B197" t="inlineStr">
        <is>
          <t>avverkningsanmälan</t>
        </is>
      </c>
      <c r="C197" t="inlineStr">
        <is>
          <t>Föryngringsavverkning</t>
        </is>
      </c>
      <c r="D197" s="1" t="n">
        <v>45972</v>
      </c>
      <c r="E197" s="1" t="n">
        <v>46304</v>
      </c>
      <c r="F197" t="inlineStr">
        <is>
          <t>NORRBOTTENS LÄN</t>
        </is>
      </c>
      <c r="G197" t="inlineStr">
        <is>
          <t>ARVIDSJAUR</t>
        </is>
      </c>
      <c r="H197" t="inlineStr">
        <is>
          <t>Sveaskog</t>
        </is>
      </c>
      <c r="I197" t="n">
        <v>13.5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55755-2025</t>
        </is>
      </c>
      <c r="B198" t="inlineStr">
        <is>
          <t>avverkningsanmälan</t>
        </is>
      </c>
      <c r="C198" t="inlineStr">
        <is>
          <t>Föryngringsavverkning</t>
        </is>
      </c>
      <c r="D198" s="1" t="n">
        <v>45972</v>
      </c>
      <c r="E198" s="1" t="n">
        <v>46304</v>
      </c>
      <c r="F198" t="inlineStr">
        <is>
          <t>NORRBOTTENS LÄN</t>
        </is>
      </c>
      <c r="G198" t="inlineStr">
        <is>
          <t>ARVIDSJAUR</t>
        </is>
      </c>
      <c r="H198" t="inlineStr">
        <is>
          <t>Sveaskog</t>
        </is>
      </c>
      <c r="I198" t="n">
        <v>18.9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56283-2025</t>
        </is>
      </c>
      <c r="B199" t="inlineStr">
        <is>
          <t>avverkningsanmälan</t>
        </is>
      </c>
      <c r="C199" t="inlineStr">
        <is>
          <t>Föryngringsavverkning</t>
        </is>
      </c>
      <c r="D199" s="1" t="n">
        <v>45974</v>
      </c>
      <c r="E199" s="1" t="n">
        <v>46304</v>
      </c>
      <c r="F199" t="inlineStr">
        <is>
          <t>NORRBOTTENS LÄN</t>
        </is>
      </c>
      <c r="G199" t="inlineStr">
        <is>
          <t>ARVIDSJAUR</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56520-2025</t>
        </is>
      </c>
      <c r="B200" t="inlineStr">
        <is>
          <t>avverkningsanmälan</t>
        </is>
      </c>
      <c r="C200" t="inlineStr">
        <is>
          <t>Föryngringsavverkning</t>
        </is>
      </c>
      <c r="D200" s="1" t="n">
        <v>45975</v>
      </c>
      <c r="E200" s="1" t="n">
        <v>46304</v>
      </c>
      <c r="F200" t="inlineStr">
        <is>
          <t>NORRBOTTENS LÄN</t>
        </is>
      </c>
      <c r="G200" t="inlineStr">
        <is>
          <t>ARVIDSJAUR</t>
        </is>
      </c>
      <c r="H200" t="inlineStr">
        <is>
          <t>Sveaskog</t>
        </is>
      </c>
      <c r="I200" t="n">
        <v>14.9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56588-2025</t>
        </is>
      </c>
      <c r="B201" t="inlineStr">
        <is>
          <t>avverkningsanmälan</t>
        </is>
      </c>
      <c r="C201" t="inlineStr">
        <is>
          <t>Föryngringsavverkning</t>
        </is>
      </c>
      <c r="D201" s="1" t="n">
        <v>45975</v>
      </c>
      <c r="E201" s="1" t="n">
        <v>46304</v>
      </c>
      <c r="F201" t="inlineStr">
        <is>
          <t>NORRBOTTENS LÄN</t>
        </is>
      </c>
      <c r="G201" t="inlineStr">
        <is>
          <t>ARVIDSJAUR</t>
        </is>
      </c>
      <c r="H201" t="inlineStr">
        <is>
          <t>Sveaskog</t>
        </is>
      </c>
      <c r="I201" t="n">
        <v>12.8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56265-2025</t>
        </is>
      </c>
      <c r="B202" t="inlineStr">
        <is>
          <t>avverkningsanmälan</t>
        </is>
      </c>
      <c r="C202" t="inlineStr">
        <is>
          <t>Föryngringsavverkning</t>
        </is>
      </c>
      <c r="D202" s="1" t="n">
        <v>45974</v>
      </c>
      <c r="E202" s="1" t="n">
        <v>46304</v>
      </c>
      <c r="F202" t="inlineStr">
        <is>
          <t>NORRBOTTENS LÄN</t>
        </is>
      </c>
      <c r="G202" t="inlineStr">
        <is>
          <t>ARVIDSJAUR</t>
        </is>
      </c>
      <c r="H202" t="inlineStr">
        <is>
          <t>Sveaskog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56723-2025</t>
        </is>
      </c>
      <c r="B203" t="inlineStr">
        <is>
          <t>avverkningsanmälan</t>
        </is>
      </c>
      <c r="C203" t="inlineStr">
        <is>
          <t>Föryngringsavverkning</t>
        </is>
      </c>
      <c r="D203" s="1" t="n">
        <v>45975</v>
      </c>
      <c r="E203" s="1" t="n">
        <v>46304</v>
      </c>
      <c r="F203" t="inlineStr">
        <is>
          <t>NORRBOTTENS LÄN</t>
        </is>
      </c>
      <c r="G203" t="inlineStr">
        <is>
          <t>ARVIDSJAUR</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56657-2025</t>
        </is>
      </c>
      <c r="B204" t="inlineStr">
        <is>
          <t>avverkningsanmälan</t>
        </is>
      </c>
      <c r="C204" t="inlineStr">
        <is>
          <t>Föryngringsavverkning</t>
        </is>
      </c>
      <c r="D204" s="1" t="n">
        <v>45975</v>
      </c>
      <c r="E204" s="1" t="n">
        <v>46304</v>
      </c>
      <c r="F204" t="inlineStr">
        <is>
          <t>NORRBOTTENS LÄN</t>
        </is>
      </c>
      <c r="G204" t="inlineStr">
        <is>
          <t>ARVIDSJAUR</t>
        </is>
      </c>
      <c r="H204" t="inlineStr">
        <is>
          <t>Sveaskog</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56680-2025</t>
        </is>
      </c>
      <c r="B205" t="inlineStr">
        <is>
          <t>avverkningsanmälan</t>
        </is>
      </c>
      <c r="C205" t="inlineStr">
        <is>
          <t>Föryngringsavverkning</t>
        </is>
      </c>
      <c r="D205" s="1" t="n">
        <v>45975</v>
      </c>
      <c r="E205" s="1" t="n">
        <v>46304</v>
      </c>
      <c r="F205" t="inlineStr">
        <is>
          <t>NORRBOTTENS LÄN</t>
        </is>
      </c>
      <c r="G205" t="inlineStr">
        <is>
          <t>ARVIDSJAUR</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56529-2025</t>
        </is>
      </c>
      <c r="B206" t="inlineStr">
        <is>
          <t>avverkningsanmälan</t>
        </is>
      </c>
      <c r="C206" t="inlineStr">
        <is>
          <t>Föryngringsavverkning</t>
        </is>
      </c>
      <c r="D206" s="1" t="n">
        <v>45975</v>
      </c>
      <c r="E206" s="1" t="n">
        <v>46304</v>
      </c>
      <c r="F206" t="inlineStr">
        <is>
          <t>NORRBOTTENS LÄN</t>
        </is>
      </c>
      <c r="G206" t="inlineStr">
        <is>
          <t>ARVIDSJAUR</t>
        </is>
      </c>
      <c r="H206" t="inlineStr">
        <is>
          <t>Sveaskog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56173-2025</t>
        </is>
      </c>
      <c r="B207" t="inlineStr">
        <is>
          <t>avverkningsanmälan</t>
        </is>
      </c>
      <c r="C207" t="inlineStr">
        <is>
          <t>Föryngringsavverkning</t>
        </is>
      </c>
      <c r="D207" s="1" t="n">
        <v>45974</v>
      </c>
      <c r="E207" s="1" t="n">
        <v>46304</v>
      </c>
      <c r="F207" t="inlineStr">
        <is>
          <t>NORRBOTTENS LÄN</t>
        </is>
      </c>
      <c r="G207" t="inlineStr">
        <is>
          <t>ARVIDSJAUR</t>
        </is>
      </c>
      <c r="H207" t="inlineStr">
        <is>
          <t>Sveaskog</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57158-2025</t>
        </is>
      </c>
      <c r="B208" t="inlineStr">
        <is>
          <t>avverkningsanmälan</t>
        </is>
      </c>
      <c r="C208" t="inlineStr">
        <is>
          <t>Föryngringsavverkning</t>
        </is>
      </c>
      <c r="D208" s="1" t="n">
        <v>45978</v>
      </c>
      <c r="E208" s="1" t="n">
        <v>46304</v>
      </c>
      <c r="F208" t="inlineStr">
        <is>
          <t>NORRBOTTENS LÄN</t>
        </is>
      </c>
      <c r="G208" t="inlineStr">
        <is>
          <t>ARVIDSJAUR</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57166-2025</t>
        </is>
      </c>
      <c r="B209" t="inlineStr">
        <is>
          <t>avverkningsanmälan</t>
        </is>
      </c>
      <c r="C209" t="inlineStr">
        <is>
          <t>Föryngringsavverkning</t>
        </is>
      </c>
      <c r="D209" s="1" t="n">
        <v>45978</v>
      </c>
      <c r="E209" s="1" t="n">
        <v>46304</v>
      </c>
      <c r="F209" t="inlineStr">
        <is>
          <t>NORRBOTTENS LÄN</t>
        </is>
      </c>
      <c r="G209" t="inlineStr">
        <is>
          <t>ARVIDSJAUR</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57164-2025</t>
        </is>
      </c>
      <c r="B210" t="inlineStr">
        <is>
          <t>avverkningsanmälan</t>
        </is>
      </c>
      <c r="C210" t="inlineStr">
        <is>
          <t>Föryngringsavverkning</t>
        </is>
      </c>
      <c r="D210" s="1" t="n">
        <v>45978</v>
      </c>
      <c r="E210" s="1" t="n">
        <v>46304</v>
      </c>
      <c r="F210" t="inlineStr">
        <is>
          <t>NORRBOTTENS LÄN</t>
        </is>
      </c>
      <c r="G210" t="inlineStr">
        <is>
          <t>ARVIDSJAUR</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22688-2024</t>
        </is>
      </c>
      <c r="B211" t="inlineStr">
        <is>
          <t>avverkningsanmälan</t>
        </is>
      </c>
      <c r="C211" t="inlineStr">
        <is>
          <t>Föryngringsavverkning</t>
        </is>
      </c>
      <c r="D211" s="1" t="n">
        <v>45448</v>
      </c>
      <c r="E211" s="1" t="n">
        <v>46304</v>
      </c>
      <c r="F211" t="inlineStr">
        <is>
          <t>NORRBOTTENS LÄN</t>
        </is>
      </c>
      <c r="G211" t="inlineStr">
        <is>
          <t>ARVIDSJAUR</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22691-2024</t>
        </is>
      </c>
      <c r="B212" t="inlineStr">
        <is>
          <t>avverkningsanmälan</t>
        </is>
      </c>
      <c r="C212" t="inlineStr">
        <is>
          <t>Föryngringsavverkning</t>
        </is>
      </c>
      <c r="D212" s="1" t="n">
        <v>45448</v>
      </c>
      <c r="E212" s="1" t="n">
        <v>46304</v>
      </c>
      <c r="F212" t="inlineStr">
        <is>
          <t>NORRBOTTENS LÄN</t>
        </is>
      </c>
      <c r="G212" t="inlineStr">
        <is>
          <t>ARVIDSJAUR</t>
        </is>
      </c>
      <c r="H212" t="inlineStr">
        <is>
          <t>Sveaskog</t>
        </is>
      </c>
      <c r="I212" t="n">
        <v>11.2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49141-2022</t>
        </is>
      </c>
      <c r="B213" t="inlineStr">
        <is>
          <t>avverkningsanmälan</t>
        </is>
      </c>
      <c r="C213" t="inlineStr">
        <is>
          <t>Föryngringsavverkning</t>
        </is>
      </c>
      <c r="D213" s="1" t="n">
        <v>44860</v>
      </c>
      <c r="E213" s="1" t="n">
        <v>46304</v>
      </c>
      <c r="F213" t="inlineStr">
        <is>
          <t>NORRBOTTENS LÄN</t>
        </is>
      </c>
      <c r="G213" t="inlineStr">
        <is>
          <t>ARVIDSJAUR</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57943-2025</t>
        </is>
      </c>
      <c r="B214" t="inlineStr">
        <is>
          <t>avverkningsanmälan</t>
        </is>
      </c>
      <c r="C214" t="inlineStr">
        <is>
          <t>Föryngringsavverkning</t>
        </is>
      </c>
      <c r="D214" s="1" t="n">
        <v>45982</v>
      </c>
      <c r="E214" s="1" t="n">
        <v>46304</v>
      </c>
      <c r="F214" t="inlineStr">
        <is>
          <t>NORRBOTTENS LÄN</t>
        </is>
      </c>
      <c r="G214" t="inlineStr">
        <is>
          <t>ARVIDSJAUR</t>
        </is>
      </c>
      <c r="H214" t="inlineStr">
        <is>
          <t>Sveaskog</t>
        </is>
      </c>
      <c r="I214" t="n">
        <v>18.9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58202-2025</t>
        </is>
      </c>
      <c r="B215" t="inlineStr">
        <is>
          <t>avverkningsanmälan</t>
        </is>
      </c>
      <c r="C215" t="inlineStr">
        <is>
          <t>Föryngringsavverkning</t>
        </is>
      </c>
      <c r="D215" s="1" t="n">
        <v>45984</v>
      </c>
      <c r="E215" s="1" t="n">
        <v>46304</v>
      </c>
      <c r="F215" t="inlineStr">
        <is>
          <t>NORRBOTTENS LÄN</t>
        </is>
      </c>
      <c r="G215" t="inlineStr">
        <is>
          <t>ARVIDSJAUR</t>
        </is>
      </c>
      <c r="H215" t="inlineStr">
        <is>
          <t>Sveaskog</t>
        </is>
      </c>
      <c r="I215" t="n">
        <v>13.8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58393-2025</t>
        </is>
      </c>
      <c r="B216" t="inlineStr">
        <is>
          <t>avverkningsanmälan</t>
        </is>
      </c>
      <c r="C216" t="inlineStr">
        <is>
          <t>Föryngringsavverkning</t>
        </is>
      </c>
      <c r="D216" s="1" t="n">
        <v>45985</v>
      </c>
      <c r="E216" s="1" t="n">
        <v>46304</v>
      </c>
      <c r="F216" t="inlineStr">
        <is>
          <t>NORRBOTTENS LÄN</t>
        </is>
      </c>
      <c r="G216" t="inlineStr">
        <is>
          <t>ARVIDSJAUR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36452-2024</t>
        </is>
      </c>
      <c r="B217" t="inlineStr">
        <is>
          <t>avverkningsanmälan</t>
        </is>
      </c>
      <c r="C217" t="inlineStr">
        <is>
          <t>Föryngringsavverkning</t>
        </is>
      </c>
      <c r="D217" s="1" t="n">
        <v>45537</v>
      </c>
      <c r="E217" s="1" t="n">
        <v>46304</v>
      </c>
      <c r="F217" t="inlineStr">
        <is>
          <t>NORRBOTTENS LÄN</t>
        </is>
      </c>
      <c r="G217" t="inlineStr">
        <is>
          <t>ARVIDSJAUR</t>
        </is>
      </c>
      <c r="H217" t="inlineStr">
        <is>
          <t>Sveaskog</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58667-2025</t>
        </is>
      </c>
      <c r="B218" t="inlineStr">
        <is>
          <t>avverkningsanmälan</t>
        </is>
      </c>
      <c r="C218" t="inlineStr">
        <is>
          <t>Föryngringsavverkning</t>
        </is>
      </c>
      <c r="D218" s="1" t="n">
        <v>45986</v>
      </c>
      <c r="E218" s="1" t="n">
        <v>46304</v>
      </c>
      <c r="F218" t="inlineStr">
        <is>
          <t>NORRBOTTENS LÄN</t>
        </is>
      </c>
      <c r="G218" t="inlineStr">
        <is>
          <t>ARVIDSJAUR</t>
        </is>
      </c>
      <c r="H218" t="inlineStr">
        <is>
          <t>Övriga Aktiebolag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58570-2025</t>
        </is>
      </c>
      <c r="B219" t="inlineStr">
        <is>
          <t>avverkningsanmälan</t>
        </is>
      </c>
      <c r="C219" t="inlineStr">
        <is>
          <t>Föryngringsavverkning</t>
        </is>
      </c>
      <c r="D219" s="1" t="n">
        <v>45986</v>
      </c>
      <c r="E219" s="1" t="n">
        <v>46304</v>
      </c>
      <c r="F219" t="inlineStr">
        <is>
          <t>NORRBOTTENS LÄN</t>
        </is>
      </c>
      <c r="G219" t="inlineStr">
        <is>
          <t>ARVIDSJAUR</t>
        </is>
      </c>
      <c r="H219" t="inlineStr">
        <is>
          <t>Sveaskog</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39591-2023</t>
        </is>
      </c>
      <c r="B220" t="inlineStr">
        <is>
          <t>avverkningsanmälan</t>
        </is>
      </c>
      <c r="C220" t="inlineStr">
        <is>
          <t>Föryngringsavverkning</t>
        </is>
      </c>
      <c r="D220" s="1" t="n">
        <v>45167</v>
      </c>
      <c r="E220" s="1" t="n">
        <v>46304</v>
      </c>
      <c r="F220" t="inlineStr">
        <is>
          <t>NORRBOTTENS LÄN</t>
        </is>
      </c>
      <c r="G220" t="inlineStr">
        <is>
          <t>ARVIDSJAUR</t>
        </is>
      </c>
      <c r="H220" t="inlineStr">
        <is>
          <t>Sveaskog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59277-2025</t>
        </is>
      </c>
      <c r="B221" t="inlineStr">
        <is>
          <t>avverkningsanmälan</t>
        </is>
      </c>
      <c r="C221" t="inlineStr">
        <is>
          <t>Föryngringsavverkning</t>
        </is>
      </c>
      <c r="D221" s="1" t="n">
        <v>45988</v>
      </c>
      <c r="E221" s="1" t="n">
        <v>46304</v>
      </c>
      <c r="F221" t="inlineStr">
        <is>
          <t>NORRBOTTENS LÄN</t>
        </is>
      </c>
      <c r="G221" t="inlineStr">
        <is>
          <t>ARVIDSJAUR</t>
        </is>
      </c>
      <c r="H221" t="inlineStr">
        <is>
          <t>Övriga Aktiebolag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2286-2024</t>
        </is>
      </c>
      <c r="B222" t="inlineStr">
        <is>
          <t>avverkningsanmälan</t>
        </is>
      </c>
      <c r="C222" t="inlineStr">
        <is>
          <t>Föryngringsavverkning</t>
        </is>
      </c>
      <c r="D222" s="1" t="n">
        <v>45310</v>
      </c>
      <c r="E222" s="1" t="n">
        <v>46304</v>
      </c>
      <c r="F222" t="inlineStr">
        <is>
          <t>NORRBOTTENS LÄN</t>
        </is>
      </c>
      <c r="G222" t="inlineStr">
        <is>
          <t>ARVIDSJAUR</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11030-2025</t>
        </is>
      </c>
      <c r="B223" t="inlineStr">
        <is>
          <t>avverkningsanmälan</t>
        </is>
      </c>
      <c r="C223" t="inlineStr">
        <is>
          <t>Avverkning för annat ändamål</t>
        </is>
      </c>
      <c r="D223" s="1" t="n">
        <v>45723</v>
      </c>
      <c r="E223" s="1" t="n">
        <v>46304</v>
      </c>
      <c r="F223" t="inlineStr">
        <is>
          <t>NORRBOTTENS LÄN</t>
        </is>
      </c>
      <c r="G223" t="inlineStr">
        <is>
          <t>ARVIDSJAUR</t>
        </is>
      </c>
      <c r="H223" t="inlineStr">
        <is>
          <t>Sveaskog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51353-2025</t>
        </is>
      </c>
      <c r="B224" t="inlineStr">
        <is>
          <t>avverkningsanmälan</t>
        </is>
      </c>
      <c r="C224" t="inlineStr">
        <is>
          <t>Föryngringsavverkning</t>
        </is>
      </c>
      <c r="D224" s="1" t="n">
        <v>45950</v>
      </c>
      <c r="E224" s="1" t="n">
        <v>46304</v>
      </c>
      <c r="F224" t="inlineStr">
        <is>
          <t>NORRBOTTENS LÄN</t>
        </is>
      </c>
      <c r="G224" t="inlineStr">
        <is>
          <t>ARVIDSJAUR</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48464-2024</t>
        </is>
      </c>
      <c r="B225" t="inlineStr">
        <is>
          <t>avverkningsanmälan</t>
        </is>
      </c>
      <c r="C225" t="inlineStr">
        <is>
          <t>Föryngringsavverkning</t>
        </is>
      </c>
      <c r="D225" s="1" t="n">
        <v>45590</v>
      </c>
      <c r="E225" s="1" t="n">
        <v>46304</v>
      </c>
      <c r="F225" t="inlineStr">
        <is>
          <t>NORRBOTTENS LÄN</t>
        </is>
      </c>
      <c r="G225" t="inlineStr">
        <is>
          <t>ARVIDSJAUR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60391-2025</t>
        </is>
      </c>
      <c r="B226" t="inlineStr">
        <is>
          <t>avverkningsanmälan</t>
        </is>
      </c>
      <c r="C226" t="inlineStr">
        <is>
          <t>Föryngringsavverkning</t>
        </is>
      </c>
      <c r="D226" s="1" t="n">
        <v>45995</v>
      </c>
      <c r="E226" s="1" t="n">
        <v>46304</v>
      </c>
      <c r="F226" t="inlineStr">
        <is>
          <t>NORRBOTTENS LÄN</t>
        </is>
      </c>
      <c r="G226" t="inlineStr">
        <is>
          <t>ARVIDSJAUR</t>
        </is>
      </c>
      <c r="H226" t="inlineStr">
        <is>
          <t>Sveaskog</t>
        </is>
      </c>
      <c r="I226" t="n">
        <v>14.1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60584-2025</t>
        </is>
      </c>
      <c r="B227" t="inlineStr">
        <is>
          <t>avverkningsanmälan</t>
        </is>
      </c>
      <c r="C227" t="inlineStr">
        <is>
          <t>Föryngringsavverkning</t>
        </is>
      </c>
      <c r="D227" s="1" t="n">
        <v>45996</v>
      </c>
      <c r="E227" s="1" t="n">
        <v>46304</v>
      </c>
      <c r="F227" t="inlineStr">
        <is>
          <t>NORRBOTTENS LÄN</t>
        </is>
      </c>
      <c r="G227" t="inlineStr">
        <is>
          <t>ARVIDSJAUR</t>
        </is>
      </c>
      <c r="H227" t="inlineStr">
        <is>
          <t>Sveaskog</t>
        </is>
      </c>
      <c r="I227" t="n">
        <v>11.2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45188-2025</t>
        </is>
      </c>
      <c r="B228" t="inlineStr">
        <is>
          <t>avverkningsanmälan</t>
        </is>
      </c>
      <c r="C228" t="inlineStr">
        <is>
          <t>Föryngringsavverkning</t>
        </is>
      </c>
      <c r="D228" s="1" t="n">
        <v>45919</v>
      </c>
      <c r="E228" s="1" t="n">
        <v>46304</v>
      </c>
      <c r="F228" t="inlineStr">
        <is>
          <t>NORRBOTTENS LÄN</t>
        </is>
      </c>
      <c r="G228" t="inlineStr">
        <is>
          <t>ARVIDSJAUR</t>
        </is>
      </c>
      <c r="H228" t="inlineStr">
        <is>
          <t>Sveaskog</t>
        </is>
      </c>
      <c r="I228" t="n">
        <v>13.4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63135-2025</t>
        </is>
      </c>
      <c r="B229" t="inlineStr">
        <is>
          <t>avverkningsanmälan</t>
        </is>
      </c>
      <c r="C229" t="inlineStr">
        <is>
          <t>Föryngringsavverkning</t>
        </is>
      </c>
      <c r="D229" s="1" t="n">
        <v>46010</v>
      </c>
      <c r="E229" s="1" t="n">
        <v>46304</v>
      </c>
      <c r="F229" t="inlineStr">
        <is>
          <t>NORRBOTTENS LÄN</t>
        </is>
      </c>
      <c r="G229" t="inlineStr">
        <is>
          <t>ARVIDSJAUR</t>
        </is>
      </c>
      <c r="H229" t="inlineStr">
        <is>
          <t>Allmännings- och besparingsskogar</t>
        </is>
      </c>
      <c r="I229" t="n">
        <v>10.7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53510-2025</t>
        </is>
      </c>
      <c r="B230" t="inlineStr">
        <is>
          <t>avverkningsanmälan</t>
        </is>
      </c>
      <c r="C230" t="inlineStr">
        <is>
          <t>Föryngringsavverkning</t>
        </is>
      </c>
      <c r="D230" s="1" t="n">
        <v>45960</v>
      </c>
      <c r="E230" s="1" t="n">
        <v>46304</v>
      </c>
      <c r="F230" t="inlineStr">
        <is>
          <t>NORRBOTTENS LÄN</t>
        </is>
      </c>
      <c r="G230" t="inlineStr">
        <is>
          <t>ARVIDSJAUR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59593-2025</t>
        </is>
      </c>
      <c r="B231" t="inlineStr">
        <is>
          <t>avverkningsanmälan</t>
        </is>
      </c>
      <c r="C231" t="inlineStr">
        <is>
          <t>Föryngringsavverkning</t>
        </is>
      </c>
      <c r="D231" s="1" t="n">
        <v>45992</v>
      </c>
      <c r="E231" s="1" t="n">
        <v>46304</v>
      </c>
      <c r="F231" t="inlineStr">
        <is>
          <t>NORRBOTTENS LÄN</t>
        </is>
      </c>
      <c r="G231" t="inlineStr">
        <is>
          <t>ARVIDSJAUR</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60011-2025</t>
        </is>
      </c>
      <c r="B232" t="inlineStr">
        <is>
          <t>avverkningsanmälan</t>
        </is>
      </c>
      <c r="C232" t="inlineStr">
        <is>
          <t>Föryngringsavverkning</t>
        </is>
      </c>
      <c r="D232" s="1" t="n">
        <v>45993</v>
      </c>
      <c r="E232" s="1" t="n">
        <v>46304</v>
      </c>
      <c r="F232" t="inlineStr">
        <is>
          <t>NORRBOTTENS LÄN</t>
        </is>
      </c>
      <c r="G232" t="inlineStr">
        <is>
          <t>ARVIDSJAUR</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60000-2025</t>
        </is>
      </c>
      <c r="B233" t="inlineStr">
        <is>
          <t>avverkningsanmälan</t>
        </is>
      </c>
      <c r="C233" t="inlineStr">
        <is>
          <t>Föryngringsavverkning</t>
        </is>
      </c>
      <c r="D233" s="1" t="n">
        <v>45993</v>
      </c>
      <c r="E233" s="1" t="n">
        <v>46304</v>
      </c>
      <c r="F233" t="inlineStr">
        <is>
          <t>NORRBOTTENS LÄN</t>
        </is>
      </c>
      <c r="G233" t="inlineStr">
        <is>
          <t>ARVIDSJAUR</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53511-2025</t>
        </is>
      </c>
      <c r="B234" t="inlineStr">
        <is>
          <t>avverkningsanmälan</t>
        </is>
      </c>
      <c r="C234" t="inlineStr">
        <is>
          <t>Föryngringsavverkning</t>
        </is>
      </c>
      <c r="D234" s="1" t="n">
        <v>45960</v>
      </c>
      <c r="E234" s="1" t="n">
        <v>46304</v>
      </c>
      <c r="F234" t="inlineStr">
        <is>
          <t>NORRBOTTENS LÄN</t>
        </is>
      </c>
      <c r="G234" t="inlineStr">
        <is>
          <t>ARVIDSJAUR</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57705-2025</t>
        </is>
      </c>
      <c r="B235" t="inlineStr">
        <is>
          <t>avverkningsanmälan</t>
        </is>
      </c>
      <c r="C235" t="inlineStr">
        <is>
          <t>Föryngringsavverkning</t>
        </is>
      </c>
      <c r="D235" s="1" t="n">
        <v>45981</v>
      </c>
      <c r="E235" s="1" t="n">
        <v>46304</v>
      </c>
      <c r="F235" t="inlineStr">
        <is>
          <t>NORRBOTTENS LÄN</t>
        </is>
      </c>
      <c r="G235" t="inlineStr">
        <is>
          <t>ARVIDSJAUR</t>
        </is>
      </c>
      <c r="I235" t="n">
        <v>9.300000000000001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11623-2025</t>
        </is>
      </c>
      <c r="B236" t="inlineStr">
        <is>
          <t>avverkningsanmälan</t>
        </is>
      </c>
      <c r="C236" t="inlineStr">
        <is>
          <t>Föryngringsavverkning</t>
        </is>
      </c>
      <c r="D236" s="1" t="n">
        <v>45726</v>
      </c>
      <c r="E236" s="1" t="n">
        <v>46304</v>
      </c>
      <c r="F236" t="inlineStr">
        <is>
          <t>NORRBOTTENS LÄN</t>
        </is>
      </c>
      <c r="G236" t="inlineStr">
        <is>
          <t>ARVIDSJAUR</t>
        </is>
      </c>
      <c r="H236" t="inlineStr">
        <is>
          <t>Allmännings- och besparingsskogar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11626-2025</t>
        </is>
      </c>
      <c r="B237" t="inlineStr">
        <is>
          <t>avverkningsanmälan</t>
        </is>
      </c>
      <c r="C237" t="inlineStr">
        <is>
          <t>Föryngringsavverkning</t>
        </is>
      </c>
      <c r="D237" s="1" t="n">
        <v>45726</v>
      </c>
      <c r="E237" s="1" t="n">
        <v>46304</v>
      </c>
      <c r="F237" t="inlineStr">
        <is>
          <t>NORRBOTTENS LÄN</t>
        </is>
      </c>
      <c r="G237" t="inlineStr">
        <is>
          <t>ARVIDSJAUR</t>
        </is>
      </c>
      <c r="H237" t="inlineStr">
        <is>
          <t>Allmännings- och besparingsskogar</t>
        </is>
      </c>
      <c r="I237" t="n">
        <v>11.3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467-2026</t>
        </is>
      </c>
      <c r="B238" t="inlineStr">
        <is>
          <t>avverkningsanmälan</t>
        </is>
      </c>
      <c r="C238" t="inlineStr">
        <is>
          <t>Föryngringsavverkning</t>
        </is>
      </c>
      <c r="D238" s="1" t="n">
        <v>46029</v>
      </c>
      <c r="E238" s="1" t="n">
        <v>46304</v>
      </c>
      <c r="F238" t="inlineStr">
        <is>
          <t>NORRBOTTENS LÄN</t>
        </is>
      </c>
      <c r="G238" t="inlineStr">
        <is>
          <t>ARVIDSJAUR</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56332-2025</t>
        </is>
      </c>
      <c r="B239" t="inlineStr">
        <is>
          <t>avverkningsanmälan</t>
        </is>
      </c>
      <c r="C239" t="inlineStr">
        <is>
          <t>Föryngringsavverkning</t>
        </is>
      </c>
      <c r="D239" s="1" t="n">
        <v>45974</v>
      </c>
      <c r="E239" s="1" t="n">
        <v>46304</v>
      </c>
      <c r="F239" t="inlineStr">
        <is>
          <t>NORRBOTTENS LÄN</t>
        </is>
      </c>
      <c r="G239" t="inlineStr">
        <is>
          <t>ARVIDSJAUR</t>
        </is>
      </c>
      <c r="I239" t="n">
        <v>14.9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11574-2025</t>
        </is>
      </c>
      <c r="B240" t="inlineStr">
        <is>
          <t>avverkningsanmälan</t>
        </is>
      </c>
      <c r="C240" t="inlineStr">
        <is>
          <t>Föryngringsavverkning</t>
        </is>
      </c>
      <c r="D240" s="1" t="n">
        <v>45726</v>
      </c>
      <c r="E240" s="1" t="n">
        <v>46304</v>
      </c>
      <c r="F240" t="inlineStr">
        <is>
          <t>NORRBOTTENS LÄN</t>
        </is>
      </c>
      <c r="G240" t="inlineStr">
        <is>
          <t>ARVIDSJAUR</t>
        </is>
      </c>
      <c r="H240" t="inlineStr">
        <is>
          <t>Allmännings- och besparingsskogar</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1493-2026</t>
        </is>
      </c>
      <c r="B241" t="inlineStr">
        <is>
          <t>avverkningsanmälan</t>
        </is>
      </c>
      <c r="C241" t="inlineStr">
        <is>
          <t>Avverkning för annat ändamål</t>
        </is>
      </c>
      <c r="D241" s="1" t="n">
        <v>46034</v>
      </c>
      <c r="E241" s="1" t="n">
        <v>46304</v>
      </c>
      <c r="F241" t="inlineStr">
        <is>
          <t>NORRBOTTENS LÄN</t>
        </is>
      </c>
      <c r="G241" t="inlineStr">
        <is>
          <t>ARVIDSJAUR</t>
        </is>
      </c>
      <c r="H241" t="inlineStr">
        <is>
          <t>Sveaskog</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1707-2026</t>
        </is>
      </c>
      <c r="B242" t="inlineStr">
        <is>
          <t>avverkningsanmälan</t>
        </is>
      </c>
      <c r="C242" t="inlineStr">
        <is>
          <t>Föryngringsavverkning</t>
        </is>
      </c>
      <c r="D242" s="1" t="n">
        <v>46034</v>
      </c>
      <c r="E242" s="1" t="n">
        <v>46304</v>
      </c>
      <c r="F242" t="inlineStr">
        <is>
          <t>NORRBOTTENS LÄN</t>
        </is>
      </c>
      <c r="G242" t="inlineStr">
        <is>
          <t>ARVIDSJAUR</t>
        </is>
      </c>
      <c r="H242" t="inlineStr">
        <is>
          <t>Allmännings- och besparingsskogar</t>
        </is>
      </c>
      <c r="I242" t="n">
        <v>25.5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1620-2026</t>
        </is>
      </c>
      <c r="B243" t="inlineStr">
        <is>
          <t>avverkningsanmälan</t>
        </is>
      </c>
      <c r="C243" t="inlineStr">
        <is>
          <t>Föryngringsavverkning</t>
        </is>
      </c>
      <c r="D243" s="1" t="n">
        <v>46034</v>
      </c>
      <c r="E243" s="1" t="n">
        <v>46304</v>
      </c>
      <c r="F243" t="inlineStr">
        <is>
          <t>NORRBOTTENS LÄN</t>
        </is>
      </c>
      <c r="G243" t="inlineStr">
        <is>
          <t>ARVIDSJAUR</t>
        </is>
      </c>
      <c r="H243" t="inlineStr">
        <is>
          <t>Allmännings- och besparingsskogar</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1914-2026</t>
        </is>
      </c>
      <c r="B244" t="inlineStr">
        <is>
          <t>avverkningsanmälan</t>
        </is>
      </c>
      <c r="C244" t="inlineStr">
        <is>
          <t>Föryngringsavverkning</t>
        </is>
      </c>
      <c r="D244" s="1" t="n">
        <v>46035</v>
      </c>
      <c r="E244" s="1" t="n">
        <v>46304</v>
      </c>
      <c r="F244" t="inlineStr">
        <is>
          <t>NORRBOTTENS LÄN</t>
        </is>
      </c>
      <c r="G244" t="inlineStr">
        <is>
          <t>ARVIDSJAUR</t>
        </is>
      </c>
      <c r="H244" t="inlineStr">
        <is>
          <t>Allmännings- och besparingsskogar</t>
        </is>
      </c>
      <c r="I244" t="n">
        <v>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2299-2026</t>
        </is>
      </c>
      <c r="B245" t="inlineStr">
        <is>
          <t>avverkningsanmälan</t>
        </is>
      </c>
      <c r="C245" t="inlineStr">
        <is>
          <t>Föryngringsavverkning</t>
        </is>
      </c>
      <c r="D245" s="1" t="n">
        <v>46034</v>
      </c>
      <c r="E245" s="1" t="n">
        <v>46304</v>
      </c>
      <c r="F245" t="inlineStr">
        <is>
          <t>NORRBOTTENS LÄN</t>
        </is>
      </c>
      <c r="G245" t="inlineStr">
        <is>
          <t>ARVIDSJAUR</t>
        </is>
      </c>
      <c r="H245" t="inlineStr">
        <is>
          <t>Allmännings- och besparingsskogar</t>
        </is>
      </c>
      <c r="I245" t="n">
        <v>11.3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11542-2025</t>
        </is>
      </c>
      <c r="B246" t="inlineStr">
        <is>
          <t>avverkningsanmälan</t>
        </is>
      </c>
      <c r="C246" t="inlineStr">
        <is>
          <t>Föryngringsavverkning</t>
        </is>
      </c>
      <c r="D246" s="1" t="n">
        <v>45726</v>
      </c>
      <c r="E246" s="1" t="n">
        <v>46304</v>
      </c>
      <c r="F246" t="inlineStr">
        <is>
          <t>NORRBOTTENS LÄN</t>
        </is>
      </c>
      <c r="G246" t="inlineStr">
        <is>
          <t>ARVIDSJAUR</t>
        </is>
      </c>
      <c r="H246" t="inlineStr">
        <is>
          <t>Allmännings- och besparingsskogar</t>
        </is>
      </c>
      <c r="I246" t="n">
        <v>14.2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4303-2026</t>
        </is>
      </c>
      <c r="B247" t="inlineStr">
        <is>
          <t>avverkningsanmälan</t>
        </is>
      </c>
      <c r="C247" t="inlineStr">
        <is>
          <t>Föryngringsavverkning</t>
        </is>
      </c>
      <c r="D247" s="1" t="n">
        <v>46045</v>
      </c>
      <c r="E247" s="1" t="n">
        <v>46304</v>
      </c>
      <c r="F247" t="inlineStr">
        <is>
          <t>NORRBOTTENS LÄN</t>
        </is>
      </c>
      <c r="G247" t="inlineStr">
        <is>
          <t>ARVIDSJAUR</t>
        </is>
      </c>
      <c r="I247" t="n">
        <v>15.5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54218-2024</t>
        </is>
      </c>
      <c r="B248" t="inlineStr">
        <is>
          <t>avverkningsanmälan</t>
        </is>
      </c>
      <c r="C248" t="inlineStr">
        <is>
          <t>Föryngringsavverkning</t>
        </is>
      </c>
      <c r="D248" s="1" t="n">
        <v>45616</v>
      </c>
      <c r="E248" s="1" t="n">
        <v>46304</v>
      </c>
      <c r="F248" t="inlineStr">
        <is>
          <t>NORRBOTTENS LÄN</t>
        </is>
      </c>
      <c r="G248" t="inlineStr">
        <is>
          <t>ARVIDSJAUR</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4315-2026</t>
        </is>
      </c>
      <c r="B249" t="inlineStr">
        <is>
          <t>avverkningsanmälan</t>
        </is>
      </c>
      <c r="C249" t="inlineStr">
        <is>
          <t>Föryngringsavverkning</t>
        </is>
      </c>
      <c r="D249" s="1" t="n">
        <v>46045</v>
      </c>
      <c r="E249" s="1" t="n">
        <v>46304</v>
      </c>
      <c r="F249" t="inlineStr">
        <is>
          <t>NORRBOTTENS LÄN</t>
        </is>
      </c>
      <c r="G249" t="inlineStr">
        <is>
          <t>ARVIDSJAUR</t>
        </is>
      </c>
      <c r="I249" t="n">
        <v>14.7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5314-2026</t>
        </is>
      </c>
      <c r="B250" t="inlineStr">
        <is>
          <t>avverkningsanmälan</t>
        </is>
      </c>
      <c r="C250" t="inlineStr">
        <is>
          <t>Föryngringsavverkning</t>
        </is>
      </c>
      <c r="D250" s="1" t="n">
        <v>46050</v>
      </c>
      <c r="E250" s="1" t="n">
        <v>46304</v>
      </c>
      <c r="F250" t="inlineStr">
        <is>
          <t>NORRBOTTENS LÄN</t>
        </is>
      </c>
      <c r="G250" t="inlineStr">
        <is>
          <t>ARVIDSJAUR</t>
        </is>
      </c>
      <c r="H250" t="inlineStr">
        <is>
          <t>Allmännings- och besparingsskogar</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5851-2026</t>
        </is>
      </c>
      <c r="B251" t="inlineStr">
        <is>
          <t>avverkningsanmälan</t>
        </is>
      </c>
      <c r="C251" t="inlineStr">
        <is>
          <t>Föryngringsavverkning</t>
        </is>
      </c>
      <c r="D251" s="1" t="n">
        <v>46052</v>
      </c>
      <c r="E251" s="1" t="n">
        <v>46304</v>
      </c>
      <c r="F251" t="inlineStr">
        <is>
          <t>NORRBOTTENS LÄN</t>
        </is>
      </c>
      <c r="G251" t="inlineStr">
        <is>
          <t>ARVIDSJAUR</t>
        </is>
      </c>
      <c r="H251" t="inlineStr">
        <is>
          <t>Sveaskog</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5853-2026</t>
        </is>
      </c>
      <c r="B252" t="inlineStr">
        <is>
          <t>avverkningsanmälan</t>
        </is>
      </c>
      <c r="C252" t="inlineStr">
        <is>
          <t>Föryngringsavverkning</t>
        </is>
      </c>
      <c r="D252" s="1" t="n">
        <v>46052</v>
      </c>
      <c r="E252" s="1" t="n">
        <v>46304</v>
      </c>
      <c r="F252" t="inlineStr">
        <is>
          <t>NORRBOTTENS LÄN</t>
        </is>
      </c>
      <c r="G252" t="inlineStr">
        <is>
          <t>ARVIDSJAUR</t>
        </is>
      </c>
      <c r="H252" t="inlineStr">
        <is>
          <t>Sveaskog</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6653-2026</t>
        </is>
      </c>
      <c r="B253" t="inlineStr">
        <is>
          <t>avverkningsanmälan</t>
        </is>
      </c>
      <c r="C253" t="inlineStr">
        <is>
          <t>Avverkning för annat ändamål</t>
        </is>
      </c>
      <c r="D253" s="1" t="n">
        <v>46056</v>
      </c>
      <c r="E253" s="1" t="n">
        <v>46304</v>
      </c>
      <c r="F253" t="inlineStr">
        <is>
          <t>NORRBOTTENS LÄN</t>
        </is>
      </c>
      <c r="G253" t="inlineStr">
        <is>
          <t>ARVIDSJAUR</t>
        </is>
      </c>
      <c r="H253" t="inlineStr">
        <is>
          <t>Sveaskog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6649-2026</t>
        </is>
      </c>
      <c r="B254" t="inlineStr">
        <is>
          <t>avverkningsanmälan</t>
        </is>
      </c>
      <c r="C254" t="inlineStr">
        <is>
          <t>Avverkning för annat ändamål</t>
        </is>
      </c>
      <c r="D254" s="1" t="n">
        <v>46056</v>
      </c>
      <c r="E254" s="1" t="n">
        <v>46304</v>
      </c>
      <c r="F254" t="inlineStr">
        <is>
          <t>NORRBOTTENS LÄN</t>
        </is>
      </c>
      <c r="G254" t="inlineStr">
        <is>
          <t>ARVIDSJAUR</t>
        </is>
      </c>
      <c r="H254" t="inlineStr">
        <is>
          <t>Sveaskog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2301-2026</t>
        </is>
      </c>
      <c r="B255" t="inlineStr">
        <is>
          <t>avverkningsanmälan</t>
        </is>
      </c>
      <c r="C255" t="inlineStr">
        <is>
          <t>Föryngringsavverkning</t>
        </is>
      </c>
      <c r="D255" s="1" t="n">
        <v>46034</v>
      </c>
      <c r="E255" s="1" t="n">
        <v>46304</v>
      </c>
      <c r="F255" t="inlineStr">
        <is>
          <t>NORRBOTTENS LÄN</t>
        </is>
      </c>
      <c r="G255" t="inlineStr">
        <is>
          <t>ARVIDSJAUR</t>
        </is>
      </c>
      <c r="H255" t="inlineStr">
        <is>
          <t>Allmännings- och besparingsskogar</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51403-2025</t>
        </is>
      </c>
      <c r="B256" t="inlineStr">
        <is>
          <t>avverkningsanmälan</t>
        </is>
      </c>
      <c r="C256" t="inlineStr">
        <is>
          <t>Föryngringsavverkning</t>
        </is>
      </c>
      <c r="D256" s="1" t="n">
        <v>45950</v>
      </c>
      <c r="E256" s="1" t="n">
        <v>46304</v>
      </c>
      <c r="F256" t="inlineStr">
        <is>
          <t>NORRBOTTENS LÄN</t>
        </is>
      </c>
      <c r="G256" t="inlineStr">
        <is>
          <t>ARVIDSJAUR</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40500-2022</t>
        </is>
      </c>
      <c r="B257" t="inlineStr">
        <is>
          <t>avverkningsanmälan</t>
        </is>
      </c>
      <c r="C257" t="inlineStr">
        <is>
          <t>Föryngringsavverkning</t>
        </is>
      </c>
      <c r="D257" s="1" t="n">
        <v>44819</v>
      </c>
      <c r="E257" s="1" t="n">
        <v>46304</v>
      </c>
      <c r="F257" t="inlineStr">
        <is>
          <t>NORRBOTTENS LÄN</t>
        </is>
      </c>
      <c r="G257" t="inlineStr">
        <is>
          <t>ARVIDSJAUR</t>
        </is>
      </c>
      <c r="H257" t="inlineStr">
        <is>
          <t>Allmännings- och besparingsskogar</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40937-2024</t>
        </is>
      </c>
      <c r="B258" t="inlineStr">
        <is>
          <t>avverkningsanmälan</t>
        </is>
      </c>
      <c r="C258" t="inlineStr">
        <is>
          <t>Föryngringsavverkning</t>
        </is>
      </c>
      <c r="D258" s="1" t="n">
        <v>45558</v>
      </c>
      <c r="E258" s="1" t="n">
        <v>46304</v>
      </c>
      <c r="F258" t="inlineStr">
        <is>
          <t>NORRBOTTENS LÄN</t>
        </is>
      </c>
      <c r="G258" t="inlineStr">
        <is>
          <t>ARVIDSJAUR</t>
        </is>
      </c>
      <c r="H258" t="inlineStr">
        <is>
          <t>Sveaskog</t>
        </is>
      </c>
      <c r="I258" t="n">
        <v>22.6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9854-2026</t>
        </is>
      </c>
      <c r="B259" t="inlineStr">
        <is>
          <t>avverkningsanmälan</t>
        </is>
      </c>
      <c r="C259" t="inlineStr">
        <is>
          <t>Föryngringsavverkning</t>
        </is>
      </c>
      <c r="D259" s="1" t="n">
        <v>46072</v>
      </c>
      <c r="E259" s="1" t="n">
        <v>46304</v>
      </c>
      <c r="F259" t="inlineStr">
        <is>
          <t>NORRBOTTENS LÄN</t>
        </is>
      </c>
      <c r="G259" t="inlineStr">
        <is>
          <t>ARVIDSJAUR</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10329-2026</t>
        </is>
      </c>
      <c r="B260" t="inlineStr">
        <is>
          <t>avverkningsanmälan</t>
        </is>
      </c>
      <c r="C260" t="inlineStr">
        <is>
          <t>Föryngringsavverkning</t>
        </is>
      </c>
      <c r="D260" s="1" t="n">
        <v>46076</v>
      </c>
      <c r="E260" s="1" t="n">
        <v>46304</v>
      </c>
      <c r="F260" t="inlineStr">
        <is>
          <t>NORRBOTTENS LÄN</t>
        </is>
      </c>
      <c r="G260" t="inlineStr">
        <is>
          <t>ARVIDSJAUR</t>
        </is>
      </c>
      <c r="H260" t="inlineStr">
        <is>
          <t>Sveaskog</t>
        </is>
      </c>
      <c r="I260" t="n">
        <v>9.699999999999999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11370-2026</t>
        </is>
      </c>
      <c r="B261" t="inlineStr">
        <is>
          <t>avverkningsanmälan</t>
        </is>
      </c>
      <c r="C261" t="inlineStr">
        <is>
          <t>Avverkning för annat ändamål</t>
        </is>
      </c>
      <c r="D261" s="1" t="n">
        <v>46083</v>
      </c>
      <c r="E261" s="1" t="n">
        <v>46304</v>
      </c>
      <c r="F261" t="inlineStr">
        <is>
          <t>NORRBOTTENS LÄN</t>
        </is>
      </c>
      <c r="G261" t="inlineStr">
        <is>
          <t>ARVIDSJAUR</t>
        </is>
      </c>
      <c r="H261" t="inlineStr">
        <is>
          <t>Sveaskog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11565-2026</t>
        </is>
      </c>
      <c r="B262" t="inlineStr">
        <is>
          <t>avverkningsanmälan</t>
        </is>
      </c>
      <c r="C262" t="inlineStr">
        <is>
          <t>Föryngringsavverkning</t>
        </is>
      </c>
      <c r="D262" s="1" t="n">
        <v>46084</v>
      </c>
      <c r="E262" s="1" t="n">
        <v>46304</v>
      </c>
      <c r="F262" t="inlineStr">
        <is>
          <t>NORRBOTTENS LÄN</t>
        </is>
      </c>
      <c r="G262" t="inlineStr">
        <is>
          <t>ARVIDSJAUR</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41659-2024</t>
        </is>
      </c>
      <c r="B263" t="inlineStr">
        <is>
          <t>avverkningsanmälan</t>
        </is>
      </c>
      <c r="C263" t="inlineStr">
        <is>
          <t>Avverkning för annat ändamål</t>
        </is>
      </c>
      <c r="D263" s="1" t="n">
        <v>45560</v>
      </c>
      <c r="E263" s="1" t="n">
        <v>46304</v>
      </c>
      <c r="F263" t="inlineStr">
        <is>
          <t>NORRBOTTENS LÄN</t>
        </is>
      </c>
      <c r="G263" t="inlineStr">
        <is>
          <t>ARVIDSJAUR</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36791-2024</t>
        </is>
      </c>
      <c r="B264" t="inlineStr">
        <is>
          <t>avverkningsanmälan</t>
        </is>
      </c>
      <c r="C264" t="inlineStr">
        <is>
          <t>Föryngringsavverkning</t>
        </is>
      </c>
      <c r="D264" s="1" t="n">
        <v>45538</v>
      </c>
      <c r="E264" s="1" t="n">
        <v>46304</v>
      </c>
      <c r="F264" t="inlineStr">
        <is>
          <t>NORRBOTTENS LÄN</t>
        </is>
      </c>
      <c r="G264" t="inlineStr">
        <is>
          <t>ARVIDSJAUR</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22565-2025</t>
        </is>
      </c>
      <c r="B265" t="inlineStr">
        <is>
          <t>avverkningsanmälan</t>
        </is>
      </c>
      <c r="C265" t="inlineStr">
        <is>
          <t>Föryngringsavverkning</t>
        </is>
      </c>
      <c r="D265" s="1" t="n">
        <v>45786</v>
      </c>
      <c r="E265" s="1" t="n">
        <v>46304</v>
      </c>
      <c r="F265" t="inlineStr">
        <is>
          <t>NORRBOTTENS LÄN</t>
        </is>
      </c>
      <c r="G265" t="inlineStr">
        <is>
          <t>ARVIDSJAUR</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21054-2026</t>
        </is>
      </c>
      <c r="B266" t="inlineStr">
        <is>
          <t>avverkningsanmälan</t>
        </is>
      </c>
      <c r="C266" t="inlineStr">
        <is>
          <t>Föryngringsavverkning</t>
        </is>
      </c>
      <c r="D266" s="1" t="n">
        <v>46146</v>
      </c>
      <c r="E266" s="1" t="n">
        <v>46304</v>
      </c>
      <c r="F266" t="inlineStr">
        <is>
          <t>NORRBOTTENS LÄN</t>
        </is>
      </c>
      <c r="G266" t="inlineStr">
        <is>
          <t>ARVIDSJAUR</t>
        </is>
      </c>
      <c r="H266" t="inlineStr">
        <is>
          <t>Sveaskog</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21255-2026</t>
        </is>
      </c>
      <c r="B267" t="inlineStr">
        <is>
          <t>avverkningsanmälan</t>
        </is>
      </c>
      <c r="C267" t="inlineStr">
        <is>
          <t>Föryngringsavverkning</t>
        </is>
      </c>
      <c r="D267" s="1" t="n">
        <v>46147</v>
      </c>
      <c r="E267" s="1" t="n">
        <v>46304</v>
      </c>
      <c r="F267" t="inlineStr">
        <is>
          <t>NORRBOTTENS LÄN</t>
        </is>
      </c>
      <c r="G267" t="inlineStr">
        <is>
          <t>ARVIDSJAUR</t>
        </is>
      </c>
      <c r="H267" t="inlineStr">
        <is>
          <t>Sveaskog</t>
        </is>
      </c>
      <c r="I267" t="n">
        <v>28.3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21056-2026</t>
        </is>
      </c>
      <c r="B268" t="inlineStr">
        <is>
          <t>avverkningsanmälan</t>
        </is>
      </c>
      <c r="C268" t="inlineStr">
        <is>
          <t>Föryngringsavverkning</t>
        </is>
      </c>
      <c r="D268" s="1" t="n">
        <v>46146</v>
      </c>
      <c r="E268" s="1" t="n">
        <v>46304</v>
      </c>
      <c r="F268" t="inlineStr">
        <is>
          <t>NORRBOTTENS LÄN</t>
        </is>
      </c>
      <c r="G268" t="inlineStr">
        <is>
          <t>ARVIDSJAUR</t>
        </is>
      </c>
      <c r="H268" t="inlineStr">
        <is>
          <t>Sveaskog</t>
        </is>
      </c>
      <c r="I268" t="n">
        <v>16.7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21057-2026</t>
        </is>
      </c>
      <c r="B269" t="inlineStr">
        <is>
          <t>avverkningsanmälan</t>
        </is>
      </c>
      <c r="C269" t="inlineStr">
        <is>
          <t>Föryngringsavverkning</t>
        </is>
      </c>
      <c r="D269" s="1" t="n">
        <v>46146</v>
      </c>
      <c r="E269" s="1" t="n">
        <v>46304</v>
      </c>
      <c r="F269" t="inlineStr">
        <is>
          <t>NORRBOTTENS LÄN</t>
        </is>
      </c>
      <c r="G269" t="inlineStr">
        <is>
          <t>ARVIDSJAUR</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21061-2026</t>
        </is>
      </c>
      <c r="B270" t="inlineStr">
        <is>
          <t>avverkningsanmälan</t>
        </is>
      </c>
      <c r="C270" t="inlineStr">
        <is>
          <t>Föryngringsavverkning</t>
        </is>
      </c>
      <c r="D270" s="1" t="n">
        <v>46146</v>
      </c>
      <c r="E270" s="1" t="n">
        <v>46304</v>
      </c>
      <c r="F270" t="inlineStr">
        <is>
          <t>NORRBOTTENS LÄN</t>
        </is>
      </c>
      <c r="G270" t="inlineStr">
        <is>
          <t>ARVIDSJAUR</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21062-2026</t>
        </is>
      </c>
      <c r="B271" t="inlineStr">
        <is>
          <t>avverkningsanmälan</t>
        </is>
      </c>
      <c r="C271" t="inlineStr">
        <is>
          <t>Föryngringsavverkning</t>
        </is>
      </c>
      <c r="D271" s="1" t="n">
        <v>46146</v>
      </c>
      <c r="E271" s="1" t="n">
        <v>46304</v>
      </c>
      <c r="F271" t="inlineStr">
        <is>
          <t>NORRBOTTENS LÄN</t>
        </is>
      </c>
      <c r="G271" t="inlineStr">
        <is>
          <t>ARVIDSJAUR</t>
        </is>
      </c>
      <c r="H271" t="inlineStr">
        <is>
          <t>Sveaskog</t>
        </is>
      </c>
      <c r="I271" t="n">
        <v>10.2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54341-2024</t>
        </is>
      </c>
      <c r="B272" t="inlineStr">
        <is>
          <t>avverkningsanmälan</t>
        </is>
      </c>
      <c r="C272" t="inlineStr">
        <is>
          <t>Föryngringsavverkning</t>
        </is>
      </c>
      <c r="D272" s="1" t="n">
        <v>45617</v>
      </c>
      <c r="E272" s="1" t="n">
        <v>46304</v>
      </c>
      <c r="F272" t="inlineStr">
        <is>
          <t>NORRBOTTENS LÄN</t>
        </is>
      </c>
      <c r="G272" t="inlineStr">
        <is>
          <t>ARVIDSJAUR</t>
        </is>
      </c>
      <c r="H272" t="inlineStr">
        <is>
          <t>Sveaskog</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29674-2024</t>
        </is>
      </c>
      <c r="B273" t="inlineStr">
        <is>
          <t>avverkningsanmälan</t>
        </is>
      </c>
      <c r="C273" t="inlineStr">
        <is>
          <t>Föryngringsavverkning</t>
        </is>
      </c>
      <c r="D273" s="1" t="n">
        <v>45484</v>
      </c>
      <c r="E273" s="1" t="n">
        <v>46304</v>
      </c>
      <c r="F273" t="inlineStr">
        <is>
          <t>NORRBOTTENS LÄN</t>
        </is>
      </c>
      <c r="G273" t="inlineStr">
        <is>
          <t>ARVIDSJAUR</t>
        </is>
      </c>
      <c r="H273" t="inlineStr">
        <is>
          <t>SCA</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29681-2024</t>
        </is>
      </c>
      <c r="B274" t="inlineStr">
        <is>
          <t>avverkningsanmälan</t>
        </is>
      </c>
      <c r="C274" t="inlineStr">
        <is>
          <t>Avverkning för att bevara och utveckla /försöksver</t>
        </is>
      </c>
      <c r="D274" s="1" t="n">
        <v>45484</v>
      </c>
      <c r="E274" s="1" t="n">
        <v>46304</v>
      </c>
      <c r="F274" t="inlineStr">
        <is>
          <t>NORRBOTTENS LÄN</t>
        </is>
      </c>
      <c r="G274" t="inlineStr">
        <is>
          <t>ARVIDSJAUR</t>
        </is>
      </c>
      <c r="H274" t="inlineStr">
        <is>
          <t>SCA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27944-2024</t>
        </is>
      </c>
      <c r="B275" t="inlineStr">
        <is>
          <t>avverkningsanmälan</t>
        </is>
      </c>
      <c r="C275" t="inlineStr">
        <is>
          <t>Avverkning för annat ändamål</t>
        </is>
      </c>
      <c r="D275" s="1" t="n">
        <v>45476</v>
      </c>
      <c r="E275" s="1" t="n">
        <v>46304</v>
      </c>
      <c r="F275" t="inlineStr">
        <is>
          <t>NORRBOTTENS LÄN</t>
        </is>
      </c>
      <c r="G275" t="inlineStr">
        <is>
          <t>ARVIDSJAUR</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21418-2026</t>
        </is>
      </c>
      <c r="B276" t="inlineStr">
        <is>
          <t>avverkningsanmälan</t>
        </is>
      </c>
      <c r="C276" t="inlineStr">
        <is>
          <t>Föryngringsavverkning</t>
        </is>
      </c>
      <c r="D276" s="1" t="n">
        <v>46148</v>
      </c>
      <c r="E276" s="1" t="n">
        <v>46304</v>
      </c>
      <c r="F276" t="inlineStr">
        <is>
          <t>NORRBOTTENS LÄN</t>
        </is>
      </c>
      <c r="G276" t="inlineStr">
        <is>
          <t>ARVIDSJAUR</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36815-2024</t>
        </is>
      </c>
      <c r="B277" t="inlineStr">
        <is>
          <t>avverkningsanmälan</t>
        </is>
      </c>
      <c r="C277" t="inlineStr">
        <is>
          <t>Föryngringsavverkning</t>
        </is>
      </c>
      <c r="D277" s="1" t="n">
        <v>45538</v>
      </c>
      <c r="E277" s="1" t="n">
        <v>46304</v>
      </c>
      <c r="F277" t="inlineStr">
        <is>
          <t>NORRBOTTENS LÄN</t>
        </is>
      </c>
      <c r="G277" t="inlineStr">
        <is>
          <t>ARVIDSJAUR</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58942-2024</t>
        </is>
      </c>
      <c r="B278" t="inlineStr">
        <is>
          <t>avverkningsanmälan</t>
        </is>
      </c>
      <c r="C278" t="inlineStr">
        <is>
          <t>Avverkning för annat ändamål</t>
        </is>
      </c>
      <c r="D278" s="1" t="n">
        <v>45636</v>
      </c>
      <c r="E278" s="1" t="n">
        <v>46304</v>
      </c>
      <c r="F278" t="inlineStr">
        <is>
          <t>NORRBOTTENS LÄN</t>
        </is>
      </c>
      <c r="G278" t="inlineStr">
        <is>
          <t>ARVIDSJAUR</t>
        </is>
      </c>
      <c r="H278" t="inlineStr">
        <is>
          <t>Sveaskog</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61133-2022</t>
        </is>
      </c>
      <c r="B279" t="inlineStr">
        <is>
          <t>avverkningsanmälan</t>
        </is>
      </c>
      <c r="C279" t="inlineStr">
        <is>
          <t>Föryngringsavverkning</t>
        </is>
      </c>
      <c r="D279" s="1" t="n">
        <v>44915</v>
      </c>
      <c r="E279" s="1" t="n">
        <v>46304</v>
      </c>
      <c r="F279" t="inlineStr">
        <is>
          <t>NORRBOTTENS LÄN</t>
        </is>
      </c>
      <c r="G279" t="inlineStr">
        <is>
          <t>ARVIDSJAUR</t>
        </is>
      </c>
      <c r="H279" t="inlineStr">
        <is>
          <t>Sveaskog</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28357-2025</t>
        </is>
      </c>
      <c r="B280" t="inlineStr">
        <is>
          <t>avverkningsanmälan</t>
        </is>
      </c>
      <c r="C280" t="inlineStr">
        <is>
          <t>Föryngringsavverkning</t>
        </is>
      </c>
      <c r="D280" s="1" t="n">
        <v>45818</v>
      </c>
      <c r="E280" s="1" t="n">
        <v>46304</v>
      </c>
      <c r="F280" t="inlineStr">
        <is>
          <t>NORRBOTTENS LÄN</t>
        </is>
      </c>
      <c r="G280" t="inlineStr">
        <is>
          <t>ARVIDSJAUR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48461-2024</t>
        </is>
      </c>
      <c r="B281" t="inlineStr">
        <is>
          <t>avverkningsanmälan</t>
        </is>
      </c>
      <c r="C281" t="inlineStr">
        <is>
          <t>Föryngringsavverkning</t>
        </is>
      </c>
      <c r="D281" s="1" t="n">
        <v>45590</v>
      </c>
      <c r="E281" s="1" t="n">
        <v>46304</v>
      </c>
      <c r="F281" t="inlineStr">
        <is>
          <t>NORRBOTTENS LÄN</t>
        </is>
      </c>
      <c r="G281" t="inlineStr">
        <is>
          <t>ARVIDSJAUR</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10664-2023</t>
        </is>
      </c>
      <c r="B282" t="inlineStr">
        <is>
          <t>avverkningsanmälan</t>
        </is>
      </c>
      <c r="C282" t="inlineStr">
        <is>
          <t>Avverkning för annat ändamål</t>
        </is>
      </c>
      <c r="D282" s="1" t="n">
        <v>44988</v>
      </c>
      <c r="E282" s="1" t="n">
        <v>46304</v>
      </c>
      <c r="F282" t="inlineStr">
        <is>
          <t>NORRBOTTENS LÄN</t>
        </is>
      </c>
      <c r="G282" t="inlineStr">
        <is>
          <t>ARVIDSJAUR</t>
        </is>
      </c>
      <c r="H282" t="inlineStr">
        <is>
          <t>Sveaskog</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39328-2023</t>
        </is>
      </c>
      <c r="B283" t="inlineStr">
        <is>
          <t>avverkningsanmälan</t>
        </is>
      </c>
      <c r="C283" t="inlineStr">
        <is>
          <t>Föryngringsavverkning</t>
        </is>
      </c>
      <c r="D283" s="1" t="n">
        <v>45166</v>
      </c>
      <c r="E283" s="1" t="n">
        <v>46304</v>
      </c>
      <c r="F283" t="inlineStr">
        <is>
          <t>NORRBOTTENS LÄN</t>
        </is>
      </c>
      <c r="G283" t="inlineStr">
        <is>
          <t>ARVIDSJAUR</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26686-2024</t>
        </is>
      </c>
      <c r="B284" t="inlineStr">
        <is>
          <t>avverkningsanmälan</t>
        </is>
      </c>
      <c r="C284" t="inlineStr">
        <is>
          <t>Föryngringsavverkning</t>
        </is>
      </c>
      <c r="D284" s="1" t="n">
        <v>45470</v>
      </c>
      <c r="E284" s="1" t="n">
        <v>46304</v>
      </c>
      <c r="F284" t="inlineStr">
        <is>
          <t>NORRBOTTENS LÄN</t>
        </is>
      </c>
      <c r="G284" t="inlineStr">
        <is>
          <t>ARVIDSJAUR</t>
        </is>
      </c>
      <c r="H284" t="inlineStr">
        <is>
          <t>Sveaskog</t>
        </is>
      </c>
      <c r="I284" t="n">
        <v>9.300000000000001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23647-2026</t>
        </is>
      </c>
      <c r="B285" t="inlineStr">
        <is>
          <t>avverkningsanmälan</t>
        </is>
      </c>
      <c r="C285" t="inlineStr">
        <is>
          <t>Avverkning för annat ändamål</t>
        </is>
      </c>
      <c r="D285" s="1" t="n">
        <v>46164</v>
      </c>
      <c r="E285" s="1" t="n">
        <v>46304</v>
      </c>
      <c r="F285" t="inlineStr">
        <is>
          <t>NORRBOTTENS LÄN</t>
        </is>
      </c>
      <c r="G285" t="inlineStr">
        <is>
          <t>ARVIDSJAUR</t>
        </is>
      </c>
      <c r="H285" t="inlineStr">
        <is>
          <t>Sveaskog</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24377-2026</t>
        </is>
      </c>
      <c r="B286" t="inlineStr">
        <is>
          <t>avverkningsanmälan</t>
        </is>
      </c>
      <c r="C286" t="inlineStr">
        <is>
          <t>Föryngringsavverkning</t>
        </is>
      </c>
      <c r="D286" s="1" t="n">
        <v>46169</v>
      </c>
      <c r="E286" s="1" t="n">
        <v>46304</v>
      </c>
      <c r="F286" t="inlineStr">
        <is>
          <t>NORRBOTTENS LÄN</t>
        </is>
      </c>
      <c r="G286" t="inlineStr">
        <is>
          <t>ARVIDSJAUR</t>
        </is>
      </c>
      <c r="H286" t="inlineStr">
        <is>
          <t>Sveaskog</t>
        </is>
      </c>
      <c r="I286" t="n">
        <v>12.3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33084-2024</t>
        </is>
      </c>
      <c r="B287" t="inlineStr">
        <is>
          <t>avverkningsanmälan</t>
        </is>
      </c>
      <c r="C287" t="inlineStr">
        <is>
          <t>Föryngringsavverkning</t>
        </is>
      </c>
      <c r="D287" s="1" t="n">
        <v>45517</v>
      </c>
      <c r="E287" s="1" t="n">
        <v>46304</v>
      </c>
      <c r="F287" t="inlineStr">
        <is>
          <t>NORRBOTTENS LÄN</t>
        </is>
      </c>
      <c r="G287" t="inlineStr">
        <is>
          <t>ARVIDSJAUR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24439-2026</t>
        </is>
      </c>
      <c r="B288" t="inlineStr">
        <is>
          <t>avverkningsanmälan</t>
        </is>
      </c>
      <c r="C288" t="inlineStr">
        <is>
          <t>Föryngringsavverkning</t>
        </is>
      </c>
      <c r="D288" s="1" t="n">
        <v>46170</v>
      </c>
      <c r="E288" s="1" t="n">
        <v>46304</v>
      </c>
      <c r="F288" t="inlineStr">
        <is>
          <t>NORRBOTTENS LÄN</t>
        </is>
      </c>
      <c r="G288" t="inlineStr">
        <is>
          <t>ARVIDSJAUR</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24440-2026</t>
        </is>
      </c>
      <c r="B289" t="inlineStr">
        <is>
          <t>avverkningsanmälan</t>
        </is>
      </c>
      <c r="C289" t="inlineStr">
        <is>
          <t>Föryngringsavverkning</t>
        </is>
      </c>
      <c r="D289" s="1" t="n">
        <v>46170</v>
      </c>
      <c r="E289" s="1" t="n">
        <v>46304</v>
      </c>
      <c r="F289" t="inlineStr">
        <is>
          <t>NORRBOTTENS LÄN</t>
        </is>
      </c>
      <c r="G289" t="inlineStr">
        <is>
          <t>ARVIDSJAUR</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24815-2026</t>
        </is>
      </c>
      <c r="B290" t="inlineStr">
        <is>
          <t>avverkningsanmälan</t>
        </is>
      </c>
      <c r="C290" t="inlineStr">
        <is>
          <t>Föryngringsavverkning</t>
        </is>
      </c>
      <c r="D290" s="1" t="n">
        <v>46173</v>
      </c>
      <c r="E290" s="1" t="n">
        <v>46304</v>
      </c>
      <c r="F290" t="inlineStr">
        <is>
          <t>NORRBOTTENS LÄN</t>
        </is>
      </c>
      <c r="G290" t="inlineStr">
        <is>
          <t>ARVIDSJAUR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24816-2026</t>
        </is>
      </c>
      <c r="B291" t="inlineStr">
        <is>
          <t>avverkningsanmälan</t>
        </is>
      </c>
      <c r="C291" t="inlineStr">
        <is>
          <t>Föryngringsavverkning</t>
        </is>
      </c>
      <c r="D291" s="1" t="n">
        <v>46173</v>
      </c>
      <c r="E291" s="1" t="n">
        <v>46304</v>
      </c>
      <c r="F291" t="inlineStr">
        <is>
          <t>NORRBOTTENS LÄN</t>
        </is>
      </c>
      <c r="G291" t="inlineStr">
        <is>
          <t>ARVIDSJAUR</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36403-2023</t>
        </is>
      </c>
      <c r="B292" t="inlineStr">
        <is>
          <t>avverkningsanmälan</t>
        </is>
      </c>
      <c r="C292" t="inlineStr">
        <is>
          <t>Avverkning för annat ändamål</t>
        </is>
      </c>
      <c r="D292" s="1" t="n">
        <v>45152</v>
      </c>
      <c r="E292" s="1" t="n">
        <v>46304</v>
      </c>
      <c r="F292" t="inlineStr">
        <is>
          <t>NORRBOTTENS LÄN</t>
        </is>
      </c>
      <c r="G292" t="inlineStr">
        <is>
          <t>ARVIDSJAUR</t>
        </is>
      </c>
      <c r="H292" t="inlineStr">
        <is>
          <t>Sveaskog</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36443-2023</t>
        </is>
      </c>
      <c r="B293" t="inlineStr">
        <is>
          <t>avverkningsanmälan</t>
        </is>
      </c>
      <c r="C293" t="inlineStr">
        <is>
          <t>Föryngringsavverkning</t>
        </is>
      </c>
      <c r="D293" s="1" t="n">
        <v>45152</v>
      </c>
      <c r="E293" s="1" t="n">
        <v>46304</v>
      </c>
      <c r="F293" t="inlineStr">
        <is>
          <t>NORRBOTTENS LÄN</t>
        </is>
      </c>
      <c r="G293" t="inlineStr">
        <is>
          <t>ARVIDSJAUR</t>
        </is>
      </c>
      <c r="H293" t="inlineStr">
        <is>
          <t>Sveaskog</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22996-2024</t>
        </is>
      </c>
      <c r="B294" t="inlineStr">
        <is>
          <t>avverkningsanmälan</t>
        </is>
      </c>
      <c r="C294" t="inlineStr">
        <is>
          <t>Föryngringsavverkning</t>
        </is>
      </c>
      <c r="D294" s="1" t="n">
        <v>45450</v>
      </c>
      <c r="E294" s="1" t="n">
        <v>46304</v>
      </c>
      <c r="F294" t="inlineStr">
        <is>
          <t>NORRBOTTENS LÄN</t>
        </is>
      </c>
      <c r="G294" t="inlineStr">
        <is>
          <t>ARVIDSJAUR</t>
        </is>
      </c>
      <c r="H294" t="inlineStr">
        <is>
          <t>Sveaskog</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23736-2024</t>
        </is>
      </c>
      <c r="B295" t="inlineStr">
        <is>
          <t>avverkningsanmälan</t>
        </is>
      </c>
      <c r="C295" t="inlineStr">
        <is>
          <t>Föryngringsavverkning</t>
        </is>
      </c>
      <c r="D295" s="1" t="n">
        <v>45454</v>
      </c>
      <c r="E295" s="1" t="n">
        <v>46304</v>
      </c>
      <c r="F295" t="inlineStr">
        <is>
          <t>NORRBOTTENS LÄN</t>
        </is>
      </c>
      <c r="G295" t="inlineStr">
        <is>
          <t>ARVIDSJAUR</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54311-2023</t>
        </is>
      </c>
      <c r="B296" t="inlineStr">
        <is>
          <t>avverkningsanmälan</t>
        </is>
      </c>
      <c r="C296" t="inlineStr">
        <is>
          <t>Avverkning för annat ändamål</t>
        </is>
      </c>
      <c r="D296" s="1" t="n">
        <v>45225</v>
      </c>
      <c r="E296" s="1" t="n">
        <v>46304</v>
      </c>
      <c r="F296" t="inlineStr">
        <is>
          <t>NORRBOTTENS LÄN</t>
        </is>
      </c>
      <c r="G296" t="inlineStr">
        <is>
          <t>ARVIDSJAUR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26673-2023</t>
        </is>
      </c>
      <c r="B297" t="inlineStr">
        <is>
          <t>avverkningsanmälan</t>
        </is>
      </c>
      <c r="C297" t="inlineStr">
        <is>
          <t>Föryngringsavverkning</t>
        </is>
      </c>
      <c r="D297" s="1" t="n">
        <v>45093</v>
      </c>
      <c r="E297" s="1" t="n">
        <v>46304</v>
      </c>
      <c r="F297" t="inlineStr">
        <is>
          <t>NORRBOTTENS LÄN</t>
        </is>
      </c>
      <c r="G297" t="inlineStr">
        <is>
          <t>ARVIDSJAUR</t>
        </is>
      </c>
      <c r="H297" t="inlineStr">
        <is>
          <t>Sveaskog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25928-2026</t>
        </is>
      </c>
      <c r="B298" t="inlineStr">
        <is>
          <t>avverkningsanmälan</t>
        </is>
      </c>
      <c r="C298" t="inlineStr">
        <is>
          <t>Föryngringsavverkning</t>
        </is>
      </c>
      <c r="D298" s="1" t="n">
        <v>46179</v>
      </c>
      <c r="E298" s="1" t="n">
        <v>46304</v>
      </c>
      <c r="F298" t="inlineStr">
        <is>
          <t>NORRBOTTENS LÄN</t>
        </is>
      </c>
      <c r="G298" t="inlineStr">
        <is>
          <t>ARVIDSJAUR</t>
        </is>
      </c>
      <c r="H298" t="inlineStr">
        <is>
          <t>SCA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25735-2026</t>
        </is>
      </c>
      <c r="B299" t="inlineStr">
        <is>
          <t>avverkningsanmälan</t>
        </is>
      </c>
      <c r="C299" t="inlineStr">
        <is>
          <t>Föryngringsavverkning</t>
        </is>
      </c>
      <c r="D299" s="1" t="n">
        <v>46178</v>
      </c>
      <c r="E299" s="1" t="n">
        <v>46304</v>
      </c>
      <c r="F299" t="inlineStr">
        <is>
          <t>NORRBOTTENS LÄN</t>
        </is>
      </c>
      <c r="G299" t="inlineStr">
        <is>
          <t>ARVIDSJAUR</t>
        </is>
      </c>
      <c r="H299" t="inlineStr">
        <is>
          <t>Sveaskog</t>
        </is>
      </c>
      <c r="I299" t="n">
        <v>16.5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25930-2026</t>
        </is>
      </c>
      <c r="B300" t="inlineStr">
        <is>
          <t>avverkningsanmälan</t>
        </is>
      </c>
      <c r="C300" t="inlineStr">
        <is>
          <t>Föryngringsavverkning</t>
        </is>
      </c>
      <c r="D300" s="1" t="n">
        <v>46179</v>
      </c>
      <c r="E300" s="1" t="n">
        <v>46304</v>
      </c>
      <c r="F300" t="inlineStr">
        <is>
          <t>NORRBOTTENS LÄN</t>
        </is>
      </c>
      <c r="G300" t="inlineStr">
        <is>
          <t>ARVIDSJAUR</t>
        </is>
      </c>
      <c r="H300" t="inlineStr">
        <is>
          <t>SCA</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26819-2024</t>
        </is>
      </c>
      <c r="B301" t="inlineStr">
        <is>
          <t>avverkningsanmälan</t>
        </is>
      </c>
      <c r="C301" t="inlineStr">
        <is>
          <t>Föryngringsavverkning</t>
        </is>
      </c>
      <c r="D301" s="1" t="n">
        <v>45470</v>
      </c>
      <c r="E301" s="1" t="n">
        <v>46304</v>
      </c>
      <c r="F301" t="inlineStr">
        <is>
          <t>NORRBOTTENS LÄN</t>
        </is>
      </c>
      <c r="G301" t="inlineStr">
        <is>
          <t>ARVIDSJAUR</t>
        </is>
      </c>
      <c r="H301" t="inlineStr">
        <is>
          <t>Sveaskog</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26173-2026</t>
        </is>
      </c>
      <c r="B302" t="inlineStr">
        <is>
          <t>avverkningsanmälan</t>
        </is>
      </c>
      <c r="C302" t="inlineStr">
        <is>
          <t>Föryngringsavverkning</t>
        </is>
      </c>
      <c r="D302" s="1" t="n">
        <v>46182</v>
      </c>
      <c r="E302" s="1" t="n">
        <v>46304</v>
      </c>
      <c r="F302" t="inlineStr">
        <is>
          <t>NORRBOTTENS LÄN</t>
        </is>
      </c>
      <c r="G302" t="inlineStr">
        <is>
          <t>ARVIDSJAUR</t>
        </is>
      </c>
      <c r="H302" t="inlineStr">
        <is>
          <t>Sveaskog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26806-2026</t>
        </is>
      </c>
      <c r="B303" t="inlineStr">
        <is>
          <t>avverkningsanmälan</t>
        </is>
      </c>
      <c r="C303" t="inlineStr">
        <is>
          <t>Föryngringsavverkning</t>
        </is>
      </c>
      <c r="D303" s="1" t="n">
        <v>46183</v>
      </c>
      <c r="E303" s="1" t="n">
        <v>46304</v>
      </c>
      <c r="F303" t="inlineStr">
        <is>
          <t>NORRBOTTENS LÄN</t>
        </is>
      </c>
      <c r="G303" t="inlineStr">
        <is>
          <t>ARVIDSJAUR</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26093-2026</t>
        </is>
      </c>
      <c r="B304" t="inlineStr">
        <is>
          <t>avverkningsanmälan</t>
        </is>
      </c>
      <c r="C304" t="inlineStr">
        <is>
          <t>Föryngringsavverkning</t>
        </is>
      </c>
      <c r="D304" s="1" t="n">
        <v>46181</v>
      </c>
      <c r="E304" s="1" t="n">
        <v>46304</v>
      </c>
      <c r="F304" t="inlineStr">
        <is>
          <t>NORRBOTTENS LÄN</t>
        </is>
      </c>
      <c r="G304" t="inlineStr">
        <is>
          <t>ARVIDSJAUR</t>
        </is>
      </c>
      <c r="I304" t="n">
        <v>11.9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26171-2026</t>
        </is>
      </c>
      <c r="B305" t="inlineStr">
        <is>
          <t>avverkningsanmälan</t>
        </is>
      </c>
      <c r="C305" t="inlineStr">
        <is>
          <t>Föryngringsavverkning</t>
        </is>
      </c>
      <c r="D305" s="1" t="n">
        <v>46182</v>
      </c>
      <c r="E305" s="1" t="n">
        <v>46304</v>
      </c>
      <c r="F305" t="inlineStr">
        <is>
          <t>NORRBOTTENS LÄN</t>
        </is>
      </c>
      <c r="G305" t="inlineStr">
        <is>
          <t>ARVIDSJAUR</t>
        </is>
      </c>
      <c r="H305" t="inlineStr">
        <is>
          <t>Sveaskog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24836-2024</t>
        </is>
      </c>
      <c r="B306" t="inlineStr">
        <is>
          <t>avverkningsanmälan</t>
        </is>
      </c>
      <c r="C306" t="inlineStr">
        <is>
          <t>Föryngringsavverkning</t>
        </is>
      </c>
      <c r="D306" s="1" t="n">
        <v>45461</v>
      </c>
      <c r="E306" s="1" t="n">
        <v>46304</v>
      </c>
      <c r="F306" t="inlineStr">
        <is>
          <t>NORRBOTTENS LÄN</t>
        </is>
      </c>
      <c r="G306" t="inlineStr">
        <is>
          <t>ARVIDSJAUR</t>
        </is>
      </c>
      <c r="H306" t="inlineStr">
        <is>
          <t>Allmännings- och besparingsskogar</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48616-2024</t>
        </is>
      </c>
      <c r="B307" t="inlineStr">
        <is>
          <t>avverkningsanmälan</t>
        </is>
      </c>
      <c r="C307" t="inlineStr">
        <is>
          <t>Föryngringsavverkning</t>
        </is>
      </c>
      <c r="D307" s="1" t="n">
        <v>45593</v>
      </c>
      <c r="E307" s="1" t="n">
        <v>46304</v>
      </c>
      <c r="F307" t="inlineStr">
        <is>
          <t>NORRBOTTENS LÄN</t>
        </is>
      </c>
      <c r="G307" t="inlineStr">
        <is>
          <t>ARVIDSJAUR</t>
        </is>
      </c>
      <c r="H307" t="inlineStr">
        <is>
          <t>Sveaskog</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26394-2026</t>
        </is>
      </c>
      <c r="B308" t="inlineStr">
        <is>
          <t>avverkningsanmälan</t>
        </is>
      </c>
      <c r="C308" t="inlineStr">
        <is>
          <t>Föryngringsavverkning</t>
        </is>
      </c>
      <c r="D308" s="1" t="n">
        <v>46182</v>
      </c>
      <c r="E308" s="1" t="n">
        <v>46304</v>
      </c>
      <c r="F308" t="inlineStr">
        <is>
          <t>NORRBOTTENS LÄN</t>
        </is>
      </c>
      <c r="G308" t="inlineStr">
        <is>
          <t>ARVIDSJAUR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27101-2026</t>
        </is>
      </c>
      <c r="B309" t="inlineStr">
        <is>
          <t>avverkningsanmälan</t>
        </is>
      </c>
      <c r="C309" t="inlineStr">
        <is>
          <t>Avverkning för annat ändamål</t>
        </is>
      </c>
      <c r="D309" s="1" t="n">
        <v>46188</v>
      </c>
      <c r="E309" s="1" t="n">
        <v>46304</v>
      </c>
      <c r="F309" t="inlineStr">
        <is>
          <t>NORRBOTTENS LÄN</t>
        </is>
      </c>
      <c r="G309" t="inlineStr">
        <is>
          <t>ARVIDSJAUR</t>
        </is>
      </c>
      <c r="H309" t="inlineStr">
        <is>
          <t>Sveaskog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27160-2026</t>
        </is>
      </c>
      <c r="B310" t="inlineStr">
        <is>
          <t>avverkningsanmälan</t>
        </is>
      </c>
      <c r="C310" t="inlineStr">
        <is>
          <t>Avverkning för annat ändamål</t>
        </is>
      </c>
      <c r="D310" s="1" t="n">
        <v>46188</v>
      </c>
      <c r="E310" s="1" t="n">
        <v>46304</v>
      </c>
      <c r="F310" t="inlineStr">
        <is>
          <t>NORRBOTTENS LÄN</t>
        </is>
      </c>
      <c r="G310" t="inlineStr">
        <is>
          <t>ARVIDSJAUR</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27142-2026</t>
        </is>
      </c>
      <c r="B311" t="inlineStr">
        <is>
          <t>avverkningsanmälan</t>
        </is>
      </c>
      <c r="C311" t="inlineStr">
        <is>
          <t>Avverkning för annat ändamål</t>
        </is>
      </c>
      <c r="D311" s="1" t="n">
        <v>46188</v>
      </c>
      <c r="E311" s="1" t="n">
        <v>46304</v>
      </c>
      <c r="F311" t="inlineStr">
        <is>
          <t>NORRBOTTENS LÄN</t>
        </is>
      </c>
      <c r="G311" t="inlineStr">
        <is>
          <t>ARVIDSJAUR</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27144-2026</t>
        </is>
      </c>
      <c r="B312" t="inlineStr">
        <is>
          <t>avverkningsanmälan</t>
        </is>
      </c>
      <c r="C312" t="inlineStr">
        <is>
          <t>Avverkning för annat ändamål</t>
        </is>
      </c>
      <c r="D312" s="1" t="n">
        <v>46188</v>
      </c>
      <c r="E312" s="1" t="n">
        <v>46304</v>
      </c>
      <c r="F312" t="inlineStr">
        <is>
          <t>NORRBOTTENS LÄN</t>
        </is>
      </c>
      <c r="G312" t="inlineStr">
        <is>
          <t>ARVIDSJAUR</t>
        </is>
      </c>
      <c r="H312" t="inlineStr">
        <is>
          <t>Sveaskog</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27157-2026</t>
        </is>
      </c>
      <c r="B313" t="inlineStr">
        <is>
          <t>avverkningsanmälan</t>
        </is>
      </c>
      <c r="C313" t="inlineStr">
        <is>
          <t>Avverkning för annat ändamål</t>
        </is>
      </c>
      <c r="D313" s="1" t="n">
        <v>46188</v>
      </c>
      <c r="E313" s="1" t="n">
        <v>46304</v>
      </c>
      <c r="F313" t="inlineStr">
        <is>
          <t>NORRBOTTENS LÄN</t>
        </is>
      </c>
      <c r="G313" t="inlineStr">
        <is>
          <t>ARVIDSJAUR</t>
        </is>
      </c>
      <c r="H313" t="inlineStr">
        <is>
          <t>Sveaskog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56980-2024</t>
        </is>
      </c>
      <c r="B314" t="inlineStr">
        <is>
          <t>avverkningsanmälan</t>
        </is>
      </c>
      <c r="C314" t="inlineStr">
        <is>
          <t>Föryngringsavverkning</t>
        </is>
      </c>
      <c r="D314" s="1" t="n">
        <v>45628</v>
      </c>
      <c r="E314" s="1" t="n">
        <v>46304</v>
      </c>
      <c r="F314" t="inlineStr">
        <is>
          <t>NORRBOTTENS LÄN</t>
        </is>
      </c>
      <c r="G314" t="inlineStr">
        <is>
          <t>ARVIDSJAUR</t>
        </is>
      </c>
      <c r="H314" t="inlineStr">
        <is>
          <t>Övriga Aktiebolag</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25790-2024</t>
        </is>
      </c>
      <c r="B315" t="inlineStr">
        <is>
          <t>avverkningsanmälan</t>
        </is>
      </c>
      <c r="C315" t="inlineStr">
        <is>
          <t>Föryngringsavverkning</t>
        </is>
      </c>
      <c r="D315" s="1" t="n">
        <v>45467</v>
      </c>
      <c r="E315" s="1" t="n">
        <v>46304</v>
      </c>
      <c r="F315" t="inlineStr">
        <is>
          <t>NORRBOTTENS LÄN</t>
        </is>
      </c>
      <c r="G315" t="inlineStr">
        <is>
          <t>ARVIDSJAUR</t>
        </is>
      </c>
      <c r="H315" t="inlineStr">
        <is>
          <t>Sveaskog</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29247-2026</t>
        </is>
      </c>
      <c r="B316" t="inlineStr">
        <is>
          <t>avverkningsanmälan</t>
        </is>
      </c>
      <c r="C316" t="inlineStr">
        <is>
          <t>Avverkning för annat ändamål</t>
        </is>
      </c>
      <c r="D316" s="1" t="n">
        <v>46197</v>
      </c>
      <c r="E316" s="1" t="n">
        <v>46304</v>
      </c>
      <c r="F316" t="inlineStr">
        <is>
          <t>NORRBOTTENS LÄN</t>
        </is>
      </c>
      <c r="G316" t="inlineStr">
        <is>
          <t>ARVIDSJAUR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62286-2025</t>
        </is>
      </c>
      <c r="B317" t="inlineStr">
        <is>
          <t>avverkningsanmälan</t>
        </is>
      </c>
      <c r="C317" t="inlineStr">
        <is>
          <t>Föryngringsavverkning</t>
        </is>
      </c>
      <c r="D317" s="1" t="n">
        <v>46006</v>
      </c>
      <c r="E317" s="1" t="n">
        <v>46304</v>
      </c>
      <c r="F317" t="inlineStr">
        <is>
          <t>NORRBOTTENS LÄN</t>
        </is>
      </c>
      <c r="G317" t="inlineStr">
        <is>
          <t>ARVIDSJAUR</t>
        </is>
      </c>
      <c r="H317" t="inlineStr">
        <is>
          <t>Allmännings- och besparingsskogar</t>
        </is>
      </c>
      <c r="I317" t="n">
        <v>15.1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10243-2024</t>
        </is>
      </c>
      <c r="B318" t="inlineStr">
        <is>
          <t>avverkningsanmälan</t>
        </is>
      </c>
      <c r="C318" t="inlineStr">
        <is>
          <t>Föryngringsavverkning</t>
        </is>
      </c>
      <c r="D318" s="1" t="n">
        <v>45365</v>
      </c>
      <c r="E318" s="1" t="n">
        <v>46304</v>
      </c>
      <c r="F318" t="inlineStr">
        <is>
          <t>NORRBOTTENS LÄN</t>
        </is>
      </c>
      <c r="G318" t="inlineStr">
        <is>
          <t>ARVIDSJAUR</t>
        </is>
      </c>
      <c r="H318" t="inlineStr">
        <is>
          <t>Sveaskog</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29332-2026</t>
        </is>
      </c>
      <c r="B319" t="inlineStr">
        <is>
          <t>avverkningsanmälan</t>
        </is>
      </c>
      <c r="C319" t="inlineStr">
        <is>
          <t>Föryngringsavverkning</t>
        </is>
      </c>
      <c r="D319" s="1" t="n">
        <v>46202</v>
      </c>
      <c r="E319" s="1" t="n">
        <v>46304</v>
      </c>
      <c r="F319" t="inlineStr">
        <is>
          <t>NORRBOTTENS LÄN</t>
        </is>
      </c>
      <c r="G319" t="inlineStr">
        <is>
          <t>ARVIDSJAUR</t>
        </is>
      </c>
      <c r="H319" t="inlineStr">
        <is>
          <t>Sveaskog</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8626-2023</t>
        </is>
      </c>
      <c r="B320" t="inlineStr">
        <is>
          <t>avverkningsanmälan</t>
        </is>
      </c>
      <c r="C320" t="inlineStr">
        <is>
          <t>Föryngringsavverkning</t>
        </is>
      </c>
      <c r="D320" s="1" t="n">
        <v>44977</v>
      </c>
      <c r="E320" s="1" t="n">
        <v>46304</v>
      </c>
      <c r="F320" t="inlineStr">
        <is>
          <t>NORRBOTTENS LÄN</t>
        </is>
      </c>
      <c r="G320" t="inlineStr">
        <is>
          <t>ARVIDSJAUR</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29327-2026</t>
        </is>
      </c>
      <c r="B321" t="inlineStr">
        <is>
          <t>avverkningsanmälan</t>
        </is>
      </c>
      <c r="C321" t="inlineStr">
        <is>
          <t>Föryngringsavverkning</t>
        </is>
      </c>
      <c r="D321" s="1" t="n">
        <v>46202</v>
      </c>
      <c r="E321" s="1" t="n">
        <v>46304</v>
      </c>
      <c r="F321" t="inlineStr">
        <is>
          <t>NORRBOTTENS LÄN</t>
        </is>
      </c>
      <c r="G321" t="inlineStr">
        <is>
          <t>ARVIDSJAUR</t>
        </is>
      </c>
      <c r="H321" t="inlineStr">
        <is>
          <t>Sveaskog</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56495-2024</t>
        </is>
      </c>
      <c r="B322" t="inlineStr">
        <is>
          <t>avverkningsanmälan</t>
        </is>
      </c>
      <c r="C322" t="inlineStr">
        <is>
          <t>Föryngringsavverkning</t>
        </is>
      </c>
      <c r="D322" s="1" t="n">
        <v>45625</v>
      </c>
      <c r="E322" s="1" t="n">
        <v>46304</v>
      </c>
      <c r="F322" t="inlineStr">
        <is>
          <t>NORRBOTTENS LÄN</t>
        </is>
      </c>
      <c r="G322" t="inlineStr">
        <is>
          <t>ARVIDSJAUR</t>
        </is>
      </c>
      <c r="I322" t="n">
        <v>14.1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15475-2023</t>
        </is>
      </c>
      <c r="B323" t="inlineStr">
        <is>
          <t>avverkningsanmälan</t>
        </is>
      </c>
      <c r="C323" t="inlineStr">
        <is>
          <t>Avverkning för annat ändamål</t>
        </is>
      </c>
      <c r="D323" s="1" t="n">
        <v>45020</v>
      </c>
      <c r="E323" s="1" t="n">
        <v>46304</v>
      </c>
      <c r="F323" t="inlineStr">
        <is>
          <t>NORRBOTTENS LÄN</t>
        </is>
      </c>
      <c r="G323" t="inlineStr">
        <is>
          <t>ARVIDSJAUR</t>
        </is>
      </c>
      <c r="H323" t="inlineStr">
        <is>
          <t>Sveaskog</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45794-2024</t>
        </is>
      </c>
      <c r="B324" t="inlineStr">
        <is>
          <t>avverkningsanmälan</t>
        </is>
      </c>
      <c r="C324" t="inlineStr">
        <is>
          <t>Föryngringsavverkning</t>
        </is>
      </c>
      <c r="D324" s="1" t="n">
        <v>45579</v>
      </c>
      <c r="E324" s="1" t="n">
        <v>46304</v>
      </c>
      <c r="F324" t="inlineStr">
        <is>
          <t>NORRBOTTENS LÄN</t>
        </is>
      </c>
      <c r="G324" t="inlineStr">
        <is>
          <t>ARVIDSJAUR</t>
        </is>
      </c>
      <c r="H324" t="inlineStr">
        <is>
          <t>Sveaskog</t>
        </is>
      </c>
      <c r="I324" t="n">
        <v>37.7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10851-2025</t>
        </is>
      </c>
      <c r="B325" t="inlineStr">
        <is>
          <t>avverkningsanmälan</t>
        </is>
      </c>
      <c r="C325" t="inlineStr">
        <is>
          <t>Föryngringsavverkning</t>
        </is>
      </c>
      <c r="D325" s="1" t="n">
        <v>45722</v>
      </c>
      <c r="E325" s="1" t="n">
        <v>46304</v>
      </c>
      <c r="F325" t="inlineStr">
        <is>
          <t>NORRBOTTENS LÄN</t>
        </is>
      </c>
      <c r="G325" t="inlineStr">
        <is>
          <t>ARVIDSJAUR</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30053-2026</t>
        </is>
      </c>
      <c r="B326" t="inlineStr">
        <is>
          <t>avverkningsanmälan</t>
        </is>
      </c>
      <c r="C326" t="inlineStr">
        <is>
          <t>Föryngringsavverkning</t>
        </is>
      </c>
      <c r="D326" s="1" t="n">
        <v>46206</v>
      </c>
      <c r="E326" s="1" t="n">
        <v>46304</v>
      </c>
      <c r="F326" t="inlineStr">
        <is>
          <t>NORRBOTTENS LÄN</t>
        </is>
      </c>
      <c r="G326" t="inlineStr">
        <is>
          <t>ARVIDSJAUR</t>
        </is>
      </c>
      <c r="H326" t="inlineStr">
        <is>
          <t>Sveaskog</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30749-2023</t>
        </is>
      </c>
      <c r="B327" t="inlineStr">
        <is>
          <t>avverkningsanmälan</t>
        </is>
      </c>
      <c r="C327" t="inlineStr">
        <is>
          <t>Föryngringsavverkning</t>
        </is>
      </c>
      <c r="D327" s="1" t="n">
        <v>45103</v>
      </c>
      <c r="E327" s="1" t="n">
        <v>46304</v>
      </c>
      <c r="F327" t="inlineStr">
        <is>
          <t>NORRBOTTENS LÄN</t>
        </is>
      </c>
      <c r="G327" t="inlineStr">
        <is>
          <t>ARVIDSJAUR</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30104-2026</t>
        </is>
      </c>
      <c r="B328" t="inlineStr">
        <is>
          <t>avverkningsanmälan</t>
        </is>
      </c>
      <c r="C328" t="inlineStr">
        <is>
          <t>Föryngringsavverkning</t>
        </is>
      </c>
      <c r="D328" s="1" t="n">
        <v>46206</v>
      </c>
      <c r="E328" s="1" t="n">
        <v>46304</v>
      </c>
      <c r="F328" t="inlineStr">
        <is>
          <t>NORRBOTTENS LÄN</t>
        </is>
      </c>
      <c r="G328" t="inlineStr">
        <is>
          <t>ARVIDSJAUR</t>
        </is>
      </c>
      <c r="H328" t="inlineStr">
        <is>
          <t>Sveaskog</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30100-2026</t>
        </is>
      </c>
      <c r="B329" t="inlineStr">
        <is>
          <t>avverkningsanmälan</t>
        </is>
      </c>
      <c r="C329" t="inlineStr">
        <is>
          <t>Föryngringsavverkning</t>
        </is>
      </c>
      <c r="D329" s="1" t="n">
        <v>46206</v>
      </c>
      <c r="E329" s="1" t="n">
        <v>46304</v>
      </c>
      <c r="F329" t="inlineStr">
        <is>
          <t>NORRBOTTENS LÄN</t>
        </is>
      </c>
      <c r="G329" t="inlineStr">
        <is>
          <t>ARVIDSJAUR</t>
        </is>
      </c>
      <c r="H329" t="inlineStr">
        <is>
          <t>Sveaskog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50472-2022</t>
        </is>
      </c>
      <c r="B330" t="inlineStr">
        <is>
          <t>avverkningsanmälan</t>
        </is>
      </c>
      <c r="C330" t="inlineStr">
        <is>
          <t>Föryngringsavverkning</t>
        </is>
      </c>
      <c r="D330" s="1" t="n">
        <v>44861</v>
      </c>
      <c r="E330" s="1" t="n">
        <v>46304</v>
      </c>
      <c r="F330" t="inlineStr">
        <is>
          <t>NORRBOTTENS LÄN</t>
        </is>
      </c>
      <c r="G330" t="inlineStr">
        <is>
          <t>ARVIDSJAUR</t>
        </is>
      </c>
      <c r="H330" t="inlineStr">
        <is>
          <t>Allmännings- och besparingsskogar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29921-2026</t>
        </is>
      </c>
      <c r="B331" t="inlineStr">
        <is>
          <t>avverkningsanmälan</t>
        </is>
      </c>
      <c r="C331" t="inlineStr">
        <is>
          <t>Föryngringsavverkning</t>
        </is>
      </c>
      <c r="D331" s="1" t="n">
        <v>46205</v>
      </c>
      <c r="E331" s="1" t="n">
        <v>46304</v>
      </c>
      <c r="F331" t="inlineStr">
        <is>
          <t>NORRBOTTENS LÄN</t>
        </is>
      </c>
      <c r="G331" t="inlineStr">
        <is>
          <t>ARVIDSJAUR</t>
        </is>
      </c>
      <c r="H331" t="inlineStr">
        <is>
          <t>Sveaskog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29931-2026</t>
        </is>
      </c>
      <c r="B332" t="inlineStr">
        <is>
          <t>avverkningsanmälan</t>
        </is>
      </c>
      <c r="C332" t="inlineStr">
        <is>
          <t>Föryngringsavverkning</t>
        </is>
      </c>
      <c r="D332" s="1" t="n">
        <v>46205</v>
      </c>
      <c r="E332" s="1" t="n">
        <v>46304</v>
      </c>
      <c r="F332" t="inlineStr">
        <is>
          <t>NORRBOTTENS LÄN</t>
        </is>
      </c>
      <c r="G332" t="inlineStr">
        <is>
          <t>ARVIDSJAUR</t>
        </is>
      </c>
      <c r="H332" t="inlineStr">
        <is>
          <t>Sveaskog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54211-2024</t>
        </is>
      </c>
      <c r="B333" t="inlineStr">
        <is>
          <t>avverkningsanmälan</t>
        </is>
      </c>
      <c r="C333" t="inlineStr">
        <is>
          <t>Föryngringsavverkning</t>
        </is>
      </c>
      <c r="D333" s="1" t="n">
        <v>45616</v>
      </c>
      <c r="E333" s="1" t="n">
        <v>46304</v>
      </c>
      <c r="F333" t="inlineStr">
        <is>
          <t>NORRBOTTENS LÄN</t>
        </is>
      </c>
      <c r="G333" t="inlineStr">
        <is>
          <t>ARVIDSJAUR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10126-2024</t>
        </is>
      </c>
      <c r="B334" t="inlineStr">
        <is>
          <t>avverkningsanmälan</t>
        </is>
      </c>
      <c r="C334" t="inlineStr">
        <is>
          <t>Föryngringsavverkning</t>
        </is>
      </c>
      <c r="D334" s="1" t="n">
        <v>45364</v>
      </c>
      <c r="E334" s="1" t="n">
        <v>46304</v>
      </c>
      <c r="F334" t="inlineStr">
        <is>
          <t>NORRBOTTENS LÄN</t>
        </is>
      </c>
      <c r="G334" t="inlineStr">
        <is>
          <t>ARVIDSJAUR</t>
        </is>
      </c>
      <c r="H334" t="inlineStr">
        <is>
          <t>Sveaskog</t>
        </is>
      </c>
      <c r="I334" t="n">
        <v>19.8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30110-2026</t>
        </is>
      </c>
      <c r="B335" t="inlineStr">
        <is>
          <t>avverkningsanmälan</t>
        </is>
      </c>
      <c r="C335" t="inlineStr">
        <is>
          <t>Föryngringsavverkning</t>
        </is>
      </c>
      <c r="D335" s="1" t="n">
        <v>46206</v>
      </c>
      <c r="E335" s="1" t="n">
        <v>46304</v>
      </c>
      <c r="F335" t="inlineStr">
        <is>
          <t>NORRBOTTENS LÄN</t>
        </is>
      </c>
      <c r="G335" t="inlineStr">
        <is>
          <t>ARVIDSJAUR</t>
        </is>
      </c>
      <c r="H335" t="inlineStr">
        <is>
          <t>Sveaskog</t>
        </is>
      </c>
      <c r="I335" t="n">
        <v>20.4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31239-2026</t>
        </is>
      </c>
      <c r="B336" t="inlineStr">
        <is>
          <t>avverkningsanmälan</t>
        </is>
      </c>
      <c r="C336" t="inlineStr">
        <is>
          <t>Föryngringsavverkning</t>
        </is>
      </c>
      <c r="D336" s="1" t="n">
        <v>46211</v>
      </c>
      <c r="E336" s="1" t="n">
        <v>46304</v>
      </c>
      <c r="F336" t="inlineStr">
        <is>
          <t>NORRBOTTENS LÄN</t>
        </is>
      </c>
      <c r="G336" t="inlineStr">
        <is>
          <t>ARVIDSJAUR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7327-2025</t>
        </is>
      </c>
      <c r="B337" t="inlineStr">
        <is>
          <t>avverkningsanmälan</t>
        </is>
      </c>
      <c r="C337" t="inlineStr">
        <is>
          <t>Föryngringsavverkning</t>
        </is>
      </c>
      <c r="D337" s="1" t="n">
        <v>45702</v>
      </c>
      <c r="E337" s="1" t="n">
        <v>46304</v>
      </c>
      <c r="F337" t="inlineStr">
        <is>
          <t>NORRBOTTENS LÄN</t>
        </is>
      </c>
      <c r="G337" t="inlineStr">
        <is>
          <t>ARVIDSJAUR</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11538-2025</t>
        </is>
      </c>
      <c r="B338" t="inlineStr">
        <is>
          <t>avverkningsanmälan</t>
        </is>
      </c>
      <c r="C338" t="inlineStr">
        <is>
          <t>Föryngringsavverkning</t>
        </is>
      </c>
      <c r="D338" s="1" t="n">
        <v>45726</v>
      </c>
      <c r="E338" s="1" t="n">
        <v>46304</v>
      </c>
      <c r="F338" t="inlineStr">
        <is>
          <t>NORRBOTTENS LÄN</t>
        </is>
      </c>
      <c r="G338" t="inlineStr">
        <is>
          <t>ARVIDSJAUR</t>
        </is>
      </c>
      <c r="H338" t="inlineStr">
        <is>
          <t>Allmännings- och besparingsskogar</t>
        </is>
      </c>
      <c r="I338" t="n">
        <v>15.3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30789-2026</t>
        </is>
      </c>
      <c r="B339" t="inlineStr">
        <is>
          <t>avverkningsanmälan</t>
        </is>
      </c>
      <c r="C339" t="inlineStr">
        <is>
          <t>Föryngringsavverkning</t>
        </is>
      </c>
      <c r="D339" s="1" t="n">
        <v>46212</v>
      </c>
      <c r="E339" s="1" t="n">
        <v>46304</v>
      </c>
      <c r="F339" t="inlineStr">
        <is>
          <t>NORRBOTTENS LÄN</t>
        </is>
      </c>
      <c r="G339" t="inlineStr">
        <is>
          <t>ARVIDSJAUR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30792-2026</t>
        </is>
      </c>
      <c r="B340" t="inlineStr">
        <is>
          <t>avverkningsanmälan</t>
        </is>
      </c>
      <c r="C340" t="inlineStr">
        <is>
          <t>Föryngringsavverkning</t>
        </is>
      </c>
      <c r="D340" s="1" t="n">
        <v>46212</v>
      </c>
      <c r="E340" s="1" t="n">
        <v>46304</v>
      </c>
      <c r="F340" t="inlineStr">
        <is>
          <t>NORRBOTTENS LÄN</t>
        </is>
      </c>
      <c r="G340" t="inlineStr">
        <is>
          <t>ARVIDSJAUR</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61625-2024</t>
        </is>
      </c>
      <c r="B341" t="inlineStr">
        <is>
          <t>avverkningsanmälan</t>
        </is>
      </c>
      <c r="C341" t="inlineStr">
        <is>
          <t>Föryngringsavverkning</t>
        </is>
      </c>
      <c r="D341" s="1" t="n">
        <v>45646</v>
      </c>
      <c r="E341" s="1" t="n">
        <v>46304</v>
      </c>
      <c r="F341" t="inlineStr">
        <is>
          <t>NORRBOTTENS LÄN</t>
        </is>
      </c>
      <c r="G341" t="inlineStr">
        <is>
          <t>ARVIDSJAUR</t>
        </is>
      </c>
      <c r="H341" t="inlineStr">
        <is>
          <t>Sveaskog</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22696-2024</t>
        </is>
      </c>
      <c r="B342" t="inlineStr">
        <is>
          <t>avverkningsanmälan</t>
        </is>
      </c>
      <c r="C342" t="inlineStr">
        <is>
          <t>Föryngringsavverkning</t>
        </is>
      </c>
      <c r="D342" s="1" t="n">
        <v>45448</v>
      </c>
      <c r="E342" s="1" t="n">
        <v>46304</v>
      </c>
      <c r="F342" t="inlineStr">
        <is>
          <t>NORRBOTTENS LÄN</t>
        </is>
      </c>
      <c r="G342" t="inlineStr">
        <is>
          <t>ARVIDSJAUR</t>
        </is>
      </c>
      <c r="H342" t="inlineStr">
        <is>
          <t>Sveaskog</t>
        </is>
      </c>
      <c r="I342" t="n">
        <v>23.1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58025-2023</t>
        </is>
      </c>
      <c r="B343" t="inlineStr">
        <is>
          <t>avverkningsanmälan</t>
        </is>
      </c>
      <c r="C343" t="inlineStr">
        <is>
          <t>Föryngringsavverkning</t>
        </is>
      </c>
      <c r="D343" s="1" t="n">
        <v>45244</v>
      </c>
      <c r="E343" s="1" t="n">
        <v>46304</v>
      </c>
      <c r="F343" t="inlineStr">
        <is>
          <t>NORRBOTTENS LÄN</t>
        </is>
      </c>
      <c r="G343" t="inlineStr">
        <is>
          <t>ARVIDSJAUR</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42695-2023</t>
        </is>
      </c>
      <c r="B344" t="inlineStr">
        <is>
          <t>avverkningsanmälan</t>
        </is>
      </c>
      <c r="C344" t="inlineStr">
        <is>
          <t>Föryngringsavverkning</t>
        </is>
      </c>
      <c r="D344" s="1" t="n">
        <v>45176</v>
      </c>
      <c r="E344" s="1" t="n">
        <v>46304</v>
      </c>
      <c r="F344" t="inlineStr">
        <is>
          <t>NORRBOTTENS LÄN</t>
        </is>
      </c>
      <c r="G344" t="inlineStr">
        <is>
          <t>ARVIDSJAUR</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35497-2026</t>
        </is>
      </c>
      <c r="B345" t="inlineStr">
        <is>
          <t>avverkningsanmälan</t>
        </is>
      </c>
      <c r="C345" t="inlineStr">
        <is>
          <t>Föryngringsavverkning</t>
        </is>
      </c>
      <c r="D345" s="1" t="n">
        <v>46262</v>
      </c>
      <c r="E345" s="1" t="n">
        <v>46304</v>
      </c>
      <c r="F345" t="inlineStr">
        <is>
          <t>NORRBOTTENS LÄN</t>
        </is>
      </c>
      <c r="G345" t="inlineStr">
        <is>
          <t>ARVIDSJAUR</t>
        </is>
      </c>
      <c r="H345" t="inlineStr">
        <is>
          <t>Övriga Aktiebolag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35463-2026</t>
        </is>
      </c>
      <c r="B346" t="inlineStr">
        <is>
          <t>avverkningsanmälan</t>
        </is>
      </c>
      <c r="C346" t="inlineStr">
        <is>
          <t>Föryngringsavverkning</t>
        </is>
      </c>
      <c r="D346" s="1" t="n">
        <v>46262</v>
      </c>
      <c r="E346" s="1" t="n">
        <v>46304</v>
      </c>
      <c r="F346" t="inlineStr">
        <is>
          <t>NORRBOTTENS LÄN</t>
        </is>
      </c>
      <c r="G346" t="inlineStr">
        <is>
          <t>ARVIDSJAUR</t>
        </is>
      </c>
      <c r="H346" t="inlineStr">
        <is>
          <t>Övriga Aktiebolag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35485-2026</t>
        </is>
      </c>
      <c r="B347" t="inlineStr">
        <is>
          <t>avverkningsanmälan</t>
        </is>
      </c>
      <c r="C347" t="inlineStr">
        <is>
          <t>Föryngringsavverkning</t>
        </is>
      </c>
      <c r="D347" s="1" t="n">
        <v>46262</v>
      </c>
      <c r="E347" s="1" t="n">
        <v>46304</v>
      </c>
      <c r="F347" t="inlineStr">
        <is>
          <t>NORRBOTTENS LÄN</t>
        </is>
      </c>
      <c r="G347" t="inlineStr">
        <is>
          <t>ARVIDSJAUR</t>
        </is>
      </c>
      <c r="H347" t="inlineStr">
        <is>
          <t>Sveaskog</t>
        </is>
      </c>
      <c r="I347" t="n">
        <v>31.3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35700-2026</t>
        </is>
      </c>
      <c r="B348" t="inlineStr">
        <is>
          <t>avverkningsanmälan</t>
        </is>
      </c>
      <c r="C348" t="inlineStr">
        <is>
          <t>Föryngringsavverkning</t>
        </is>
      </c>
      <c r="D348" s="1" t="n">
        <v>46265</v>
      </c>
      <c r="E348" s="1" t="n">
        <v>46304</v>
      </c>
      <c r="F348" t="inlineStr">
        <is>
          <t>NORRBOTTENS LÄN</t>
        </is>
      </c>
      <c r="G348" t="inlineStr">
        <is>
          <t>ARVIDSJAUR</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35756-2026</t>
        </is>
      </c>
      <c r="B349" t="inlineStr">
        <is>
          <t>avverkningsanmälan</t>
        </is>
      </c>
      <c r="C349" t="inlineStr">
        <is>
          <t>Föryngringsavverkning</t>
        </is>
      </c>
      <c r="D349" s="1" t="n">
        <v>46265</v>
      </c>
      <c r="E349" s="1" t="n">
        <v>46304</v>
      </c>
      <c r="F349" t="inlineStr">
        <is>
          <t>NORRBOTTENS LÄN</t>
        </is>
      </c>
      <c r="G349" t="inlineStr">
        <is>
          <t>ARVIDSJAUR</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35877-2026</t>
        </is>
      </c>
      <c r="B350" t="inlineStr">
        <is>
          <t>avverkningsanmälan</t>
        </is>
      </c>
      <c r="C350" t="inlineStr">
        <is>
          <t>Föryngringsavverkning</t>
        </is>
      </c>
      <c r="D350" s="1" t="n">
        <v>46266</v>
      </c>
      <c r="E350" s="1" t="n">
        <v>46304</v>
      </c>
      <c r="F350" t="inlineStr">
        <is>
          <t>NORRBOTTENS LÄN</t>
        </is>
      </c>
      <c r="G350" t="inlineStr">
        <is>
          <t>ARVIDSJAUR</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35928-2026</t>
        </is>
      </c>
      <c r="B351" t="inlineStr">
        <is>
          <t>avverkningsanmälan</t>
        </is>
      </c>
      <c r="C351" t="inlineStr">
        <is>
          <t>Föryngringsavverkning</t>
        </is>
      </c>
      <c r="D351" s="1" t="n">
        <v>46266</v>
      </c>
      <c r="E351" s="1" t="n">
        <v>46304</v>
      </c>
      <c r="F351" t="inlineStr">
        <is>
          <t>NORRBOTTENS LÄN</t>
        </is>
      </c>
      <c r="G351" t="inlineStr">
        <is>
          <t>ARVIDSJAUR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35875-2026</t>
        </is>
      </c>
      <c r="B352" t="inlineStr">
        <is>
          <t>avverkningsanmälan</t>
        </is>
      </c>
      <c r="C352" t="inlineStr">
        <is>
          <t>Föryngringsavverkning</t>
        </is>
      </c>
      <c r="D352" s="1" t="n">
        <v>46266</v>
      </c>
      <c r="E352" s="1" t="n">
        <v>46304</v>
      </c>
      <c r="F352" t="inlineStr">
        <is>
          <t>NORRBOTTENS LÄN</t>
        </is>
      </c>
      <c r="G352" t="inlineStr">
        <is>
          <t>ARVIDSJAUR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48373-2024</t>
        </is>
      </c>
      <c r="B353" t="inlineStr">
        <is>
          <t>avverkningsanmälan</t>
        </is>
      </c>
      <c r="C353" t="inlineStr">
        <is>
          <t>Föryngringsavverkning</t>
        </is>
      </c>
      <c r="D353" s="1" t="n">
        <v>45590</v>
      </c>
      <c r="E353" s="1" t="n">
        <v>46304</v>
      </c>
      <c r="F353" t="inlineStr">
        <is>
          <t>NORRBOTTENS LÄN</t>
        </is>
      </c>
      <c r="G353" t="inlineStr">
        <is>
          <t>ARVIDSJAUR</t>
        </is>
      </c>
      <c r="H353" t="inlineStr">
        <is>
          <t>Sveaskog</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35879-2026</t>
        </is>
      </c>
      <c r="B354" t="inlineStr">
        <is>
          <t>avverkningsanmälan</t>
        </is>
      </c>
      <c r="C354" t="inlineStr">
        <is>
          <t>Föryngringsavverkning</t>
        </is>
      </c>
      <c r="D354" s="1" t="n">
        <v>46266</v>
      </c>
      <c r="E354" s="1" t="n">
        <v>46304</v>
      </c>
      <c r="F354" t="inlineStr">
        <is>
          <t>NORRBOTTENS LÄN</t>
        </is>
      </c>
      <c r="G354" t="inlineStr">
        <is>
          <t>ARVIDSJAUR</t>
        </is>
      </c>
      <c r="I354" t="n">
        <v>17.6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10832-2025</t>
        </is>
      </c>
      <c r="B355" t="inlineStr">
        <is>
          <t>avverkningsanmälan</t>
        </is>
      </c>
      <c r="C355" t="inlineStr">
        <is>
          <t>Föryngringsavverkning</t>
        </is>
      </c>
      <c r="D355" s="1" t="n">
        <v>45722</v>
      </c>
      <c r="E355" s="1" t="n">
        <v>46304</v>
      </c>
      <c r="F355" t="inlineStr">
        <is>
          <t>NORRBOTTENS LÄN</t>
        </is>
      </c>
      <c r="G355" t="inlineStr">
        <is>
          <t>ARVIDSJAUR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36334-2026</t>
        </is>
      </c>
      <c r="B356" t="inlineStr">
        <is>
          <t>avverkningsanmälan</t>
        </is>
      </c>
      <c r="C356" t="inlineStr">
        <is>
          <t>Föryngringsavverkning</t>
        </is>
      </c>
      <c r="D356" s="1" t="n">
        <v>46268</v>
      </c>
      <c r="E356" s="1" t="n">
        <v>46304</v>
      </c>
      <c r="F356" t="inlineStr">
        <is>
          <t>NORRBOTTENS LÄN</t>
        </is>
      </c>
      <c r="G356" t="inlineStr">
        <is>
          <t>ARVIDSJAUR</t>
        </is>
      </c>
      <c r="H356" t="inlineStr">
        <is>
          <t>Sveaskog</t>
        </is>
      </c>
      <c r="I356" t="n">
        <v>29.4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30756-2023</t>
        </is>
      </c>
      <c r="B357" t="inlineStr">
        <is>
          <t>avverkningsanmälan</t>
        </is>
      </c>
      <c r="C357" t="inlineStr">
        <is>
          <t>Avverkning för annat ändamål</t>
        </is>
      </c>
      <c r="D357" s="1" t="n">
        <v>45103</v>
      </c>
      <c r="E357" s="1" t="n">
        <v>46304</v>
      </c>
      <c r="F357" t="inlineStr">
        <is>
          <t>NORRBOTTENS LÄN</t>
        </is>
      </c>
      <c r="G357" t="inlineStr">
        <is>
          <t>ARVIDSJAUR</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36224-2026</t>
        </is>
      </c>
      <c r="B358" t="inlineStr">
        <is>
          <t>avverkningsanmälan</t>
        </is>
      </c>
      <c r="C358" t="inlineStr">
        <is>
          <t>Föryngringsavverkning</t>
        </is>
      </c>
      <c r="D358" s="1" t="n">
        <v>46268</v>
      </c>
      <c r="E358" s="1" t="n">
        <v>46304</v>
      </c>
      <c r="F358" t="inlineStr">
        <is>
          <t>NORRBOTTENS LÄN</t>
        </is>
      </c>
      <c r="G358" t="inlineStr">
        <is>
          <t>ARVIDSJAUR</t>
        </is>
      </c>
      <c r="H358" t="inlineStr">
        <is>
          <t>Sveaskog</t>
        </is>
      </c>
      <c r="I358" t="n">
        <v>12.2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36226-2026</t>
        </is>
      </c>
      <c r="B359" t="inlineStr">
        <is>
          <t>avverkningsanmälan</t>
        </is>
      </c>
      <c r="C359" t="inlineStr">
        <is>
          <t>Föryngringsavverkning</t>
        </is>
      </c>
      <c r="D359" s="1" t="n">
        <v>46268</v>
      </c>
      <c r="E359" s="1" t="n">
        <v>46304</v>
      </c>
      <c r="F359" t="inlineStr">
        <is>
          <t>NORRBOTTENS LÄN</t>
        </is>
      </c>
      <c r="G359" t="inlineStr">
        <is>
          <t>ARVIDSJAUR</t>
        </is>
      </c>
      <c r="H359" t="inlineStr">
        <is>
          <t>Sveaskog</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36879-2026</t>
        </is>
      </c>
      <c r="B360" t="inlineStr">
        <is>
          <t>avverkningsanmälan</t>
        </is>
      </c>
      <c r="C360" t="inlineStr">
        <is>
          <t>Föryngringsavverkning</t>
        </is>
      </c>
      <c r="D360" s="1" t="n">
        <v>46273</v>
      </c>
      <c r="E360" s="1" t="n">
        <v>46304</v>
      </c>
      <c r="F360" t="inlineStr">
        <is>
          <t>NORRBOTTENS LÄN</t>
        </is>
      </c>
      <c r="G360" t="inlineStr">
        <is>
          <t>ARVIDSJAUR</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36227-2026</t>
        </is>
      </c>
      <c r="B361" t="inlineStr">
        <is>
          <t>avverkningsanmälan</t>
        </is>
      </c>
      <c r="C361" t="inlineStr">
        <is>
          <t>Föryngringsavverkning</t>
        </is>
      </c>
      <c r="D361" s="1" t="n">
        <v>46268</v>
      </c>
      <c r="E361" s="1" t="n">
        <v>46304</v>
      </c>
      <c r="F361" t="inlineStr">
        <is>
          <t>NORRBOTTENS LÄN</t>
        </is>
      </c>
      <c r="G361" t="inlineStr">
        <is>
          <t>ARVIDSJAUR</t>
        </is>
      </c>
      <c r="H361" t="inlineStr">
        <is>
          <t>Sveaskog</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36887-2026</t>
        </is>
      </c>
      <c r="B362" t="inlineStr">
        <is>
          <t>avverkningsanmälan</t>
        </is>
      </c>
      <c r="C362" t="inlineStr">
        <is>
          <t>Föryngringsavverkning</t>
        </is>
      </c>
      <c r="D362" s="1" t="n">
        <v>46273</v>
      </c>
      <c r="E362" s="1" t="n">
        <v>46304</v>
      </c>
      <c r="F362" t="inlineStr">
        <is>
          <t>NORRBOTTENS LÄN</t>
        </is>
      </c>
      <c r="G362" t="inlineStr">
        <is>
          <t>ARVIDSJAUR</t>
        </is>
      </c>
      <c r="H362" t="inlineStr">
        <is>
          <t>Sveaskog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36885-2026</t>
        </is>
      </c>
      <c r="B363" t="inlineStr">
        <is>
          <t>avverkningsanmälan</t>
        </is>
      </c>
      <c r="C363" t="inlineStr">
        <is>
          <t>Föryngringsavverkning</t>
        </is>
      </c>
      <c r="D363" s="1" t="n">
        <v>46273</v>
      </c>
      <c r="E363" s="1" t="n">
        <v>46304</v>
      </c>
      <c r="F363" t="inlineStr">
        <is>
          <t>NORRBOTTENS LÄN</t>
        </is>
      </c>
      <c r="G363" t="inlineStr">
        <is>
          <t>ARVIDSJAUR</t>
        </is>
      </c>
      <c r="H363" t="inlineStr">
        <is>
          <t>Sveaskog</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3265-2024</t>
        </is>
      </c>
      <c r="B364" t="inlineStr">
        <is>
          <t>avverkningsanmälan</t>
        </is>
      </c>
      <c r="C364" t="inlineStr">
        <is>
          <t>Föryngringsavverkning</t>
        </is>
      </c>
      <c r="D364" s="1" t="n">
        <v>45316</v>
      </c>
      <c r="E364" s="1" t="n">
        <v>46304</v>
      </c>
      <c r="F364" t="inlineStr">
        <is>
          <t>NORRBOTTENS LÄN</t>
        </is>
      </c>
      <c r="G364" t="inlineStr">
        <is>
          <t>ARVIDSJAUR</t>
        </is>
      </c>
      <c r="H364" t="inlineStr">
        <is>
          <t>Allmännings- och besparingsskogar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36229-2026</t>
        </is>
      </c>
      <c r="B365" t="inlineStr">
        <is>
          <t>avverkningsanmälan</t>
        </is>
      </c>
      <c r="C365" t="inlineStr">
        <is>
          <t>Föryngringsavverkning</t>
        </is>
      </c>
      <c r="D365" s="1" t="n">
        <v>46268</v>
      </c>
      <c r="E365" s="1" t="n">
        <v>46304</v>
      </c>
      <c r="F365" t="inlineStr">
        <is>
          <t>NORRBOTTENS LÄN</t>
        </is>
      </c>
      <c r="G365" t="inlineStr">
        <is>
          <t>ARVIDSJAUR</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36233-2026</t>
        </is>
      </c>
      <c r="B366" t="inlineStr">
        <is>
          <t>avverkningsanmälan</t>
        </is>
      </c>
      <c r="C366" t="inlineStr">
        <is>
          <t>Föryngringsavverkning</t>
        </is>
      </c>
      <c r="D366" s="1" t="n">
        <v>46268</v>
      </c>
      <c r="E366" s="1" t="n">
        <v>46304</v>
      </c>
      <c r="F366" t="inlineStr">
        <is>
          <t>NORRBOTTENS LÄN</t>
        </is>
      </c>
      <c r="G366" t="inlineStr">
        <is>
          <t>ARVIDSJAUR</t>
        </is>
      </c>
      <c r="H366" t="inlineStr">
        <is>
          <t>Sveaskog</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51631-2023</t>
        </is>
      </c>
      <c r="B367" t="inlineStr">
        <is>
          <t>avverkningsanmälan</t>
        </is>
      </c>
      <c r="C367" t="inlineStr">
        <is>
          <t>Föryngringsavverkning</t>
        </is>
      </c>
      <c r="D367" s="1" t="n">
        <v>45222</v>
      </c>
      <c r="E367" s="1" t="n">
        <v>46304</v>
      </c>
      <c r="F367" t="inlineStr">
        <is>
          <t>NORRBOTTENS LÄN</t>
        </is>
      </c>
      <c r="G367" t="inlineStr">
        <is>
          <t>ARVIDSJAUR</t>
        </is>
      </c>
      <c r="H367" t="inlineStr">
        <is>
          <t>Sveaskog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9621-2024</t>
        </is>
      </c>
      <c r="B368" t="inlineStr">
        <is>
          <t>avverkningsanmälan</t>
        </is>
      </c>
      <c r="C368" t="inlineStr">
        <is>
          <t>Avverkning för annat ändamål</t>
        </is>
      </c>
      <c r="D368" s="1" t="n">
        <v>45361</v>
      </c>
      <c r="E368" s="1" t="n">
        <v>46304</v>
      </c>
      <c r="F368" t="inlineStr">
        <is>
          <t>NORRBOTTENS LÄN</t>
        </is>
      </c>
      <c r="G368" t="inlineStr">
        <is>
          <t>ARVIDSJAUR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61202-2022</t>
        </is>
      </c>
      <c r="B369" t="inlineStr">
        <is>
          <t>avverkningsanmälan</t>
        </is>
      </c>
      <c r="C369" t="inlineStr">
        <is>
          <t>Föryngringsavverkning</t>
        </is>
      </c>
      <c r="D369" s="1" t="n">
        <v>44915</v>
      </c>
      <c r="E369" s="1" t="n">
        <v>46304</v>
      </c>
      <c r="F369" t="inlineStr">
        <is>
          <t>NORRBOTTENS LÄN</t>
        </is>
      </c>
      <c r="G369" t="inlineStr">
        <is>
          <t>ARVIDSJAUR</t>
        </is>
      </c>
      <c r="H369" t="inlineStr">
        <is>
          <t>Sveaskog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31876-2026</t>
        </is>
      </c>
      <c r="B370" t="inlineStr">
        <is>
          <t>avverkningsanmälan</t>
        </is>
      </c>
      <c r="C370" t="inlineStr">
        <is>
          <t>Föryngringsavverkning</t>
        </is>
      </c>
      <c r="D370" s="1" t="n">
        <v>46231</v>
      </c>
      <c r="E370" s="1" t="n">
        <v>46304</v>
      </c>
      <c r="F370" t="inlineStr">
        <is>
          <t>NORRBOTTENS LÄN</t>
        </is>
      </c>
      <c r="G370" t="inlineStr">
        <is>
          <t>ARVIDSJAUR</t>
        </is>
      </c>
      <c r="H370" t="inlineStr">
        <is>
          <t>Sveaskog</t>
        </is>
      </c>
      <c r="I370" t="n">
        <v>10.2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11571-2025</t>
        </is>
      </c>
      <c r="B371" t="inlineStr">
        <is>
          <t>avverkningsanmälan</t>
        </is>
      </c>
      <c r="C371" t="inlineStr">
        <is>
          <t>Föryngringsavverkning</t>
        </is>
      </c>
      <c r="D371" s="1" t="n">
        <v>45726</v>
      </c>
      <c r="E371" s="1" t="n">
        <v>46304</v>
      </c>
      <c r="F371" t="inlineStr">
        <is>
          <t>NORRBOTTENS LÄN</t>
        </is>
      </c>
      <c r="G371" t="inlineStr">
        <is>
          <t>ARVIDSJAUR</t>
        </is>
      </c>
      <c r="H371" t="inlineStr">
        <is>
          <t>Allmännings- och besparingsskogar</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38216-2026</t>
        </is>
      </c>
      <c r="B372" t="inlineStr">
        <is>
          <t>avverkningsanmälan</t>
        </is>
      </c>
      <c r="C372" t="inlineStr">
        <is>
          <t>Föryngringsavverkning</t>
        </is>
      </c>
      <c r="D372" s="1" t="n">
        <v>46281</v>
      </c>
      <c r="E372" s="1" t="n">
        <v>46304</v>
      </c>
      <c r="F372" t="inlineStr">
        <is>
          <t>NORRBOTTENS LÄN</t>
        </is>
      </c>
      <c r="G372" t="inlineStr">
        <is>
          <t>ARVIDSJAUR</t>
        </is>
      </c>
      <c r="H372" t="inlineStr">
        <is>
          <t>Sveaskog</t>
        </is>
      </c>
      <c r="I372" t="n">
        <v>12.1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26841-2024</t>
        </is>
      </c>
      <c r="B373" t="inlineStr">
        <is>
          <t>avverkningsanmälan</t>
        </is>
      </c>
      <c r="C373" t="inlineStr">
        <is>
          <t>Föryngringsavverkning</t>
        </is>
      </c>
      <c r="D373" s="1" t="n">
        <v>45470</v>
      </c>
      <c r="E373" s="1" t="n">
        <v>46304</v>
      </c>
      <c r="F373" t="inlineStr">
        <is>
          <t>NORRBOTTENS LÄN</t>
        </is>
      </c>
      <c r="G373" t="inlineStr">
        <is>
          <t>ARVIDSJAUR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26835-2024</t>
        </is>
      </c>
      <c r="B374" t="inlineStr">
        <is>
          <t>avverkningsanmälan</t>
        </is>
      </c>
      <c r="C374" t="inlineStr">
        <is>
          <t>Föryngringsavverkning</t>
        </is>
      </c>
      <c r="D374" s="1" t="n">
        <v>45470</v>
      </c>
      <c r="E374" s="1" t="n">
        <v>46304</v>
      </c>
      <c r="F374" t="inlineStr">
        <is>
          <t>NORRBOTTENS LÄN</t>
        </is>
      </c>
      <c r="G374" t="inlineStr">
        <is>
          <t>ARVIDSJAUR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2908-2024</t>
        </is>
      </c>
      <c r="B375" t="inlineStr">
        <is>
          <t>avverkningsanmälan</t>
        </is>
      </c>
      <c r="C375" t="inlineStr">
        <is>
          <t>Föryngringsavverkning</t>
        </is>
      </c>
      <c r="D375" s="1" t="n">
        <v>45315</v>
      </c>
      <c r="E375" s="1" t="n">
        <v>46304</v>
      </c>
      <c r="F375" t="inlineStr">
        <is>
          <t>NORRBOTTENS LÄN</t>
        </is>
      </c>
      <c r="G375" t="inlineStr">
        <is>
          <t>ARVIDSJAUR</t>
        </is>
      </c>
      <c r="H375" t="inlineStr">
        <is>
          <t>Allmännings- och besparingsskogar</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33134-2023</t>
        </is>
      </c>
      <c r="B376" t="inlineStr">
        <is>
          <t>avverkningsanmälan</t>
        </is>
      </c>
      <c r="C376" t="inlineStr">
        <is>
          <t>Föryngringsavverkning</t>
        </is>
      </c>
      <c r="D376" s="1" t="n">
        <v>45114</v>
      </c>
      <c r="E376" s="1" t="n">
        <v>46304</v>
      </c>
      <c r="F376" t="inlineStr">
        <is>
          <t>NORRBOTTENS LÄN</t>
        </is>
      </c>
      <c r="G376" t="inlineStr">
        <is>
          <t>ARVIDSJAUR</t>
        </is>
      </c>
      <c r="I376" t="n">
        <v>16.3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38157-2026</t>
        </is>
      </c>
      <c r="B377" t="inlineStr">
        <is>
          <t>avverkningsanmälan</t>
        </is>
      </c>
      <c r="C377" t="inlineStr">
        <is>
          <t>Föryngringsavverkning</t>
        </is>
      </c>
      <c r="D377" s="1" t="n">
        <v>46281</v>
      </c>
      <c r="E377" s="1" t="n">
        <v>46304</v>
      </c>
      <c r="F377" t="inlineStr">
        <is>
          <t>NORRBOTTENS LÄN</t>
        </is>
      </c>
      <c r="G377" t="inlineStr">
        <is>
          <t>ARVIDSJAUR</t>
        </is>
      </c>
      <c r="H377" t="inlineStr">
        <is>
          <t>Sveaskog</t>
        </is>
      </c>
      <c r="I377" t="n">
        <v>14.4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32615-2026</t>
        </is>
      </c>
      <c r="B378" t="inlineStr">
        <is>
          <t>avverkningsanmälan</t>
        </is>
      </c>
      <c r="C378" t="inlineStr">
        <is>
          <t>Föryngringsavverkning</t>
        </is>
      </c>
      <c r="D378" s="1" t="n">
        <v>46240</v>
      </c>
      <c r="E378" s="1" t="n">
        <v>46304</v>
      </c>
      <c r="F378" t="inlineStr">
        <is>
          <t>NORRBOTTENS LÄN</t>
        </is>
      </c>
      <c r="G378" t="inlineStr">
        <is>
          <t>ARVIDSJAUR</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32439-2026</t>
        </is>
      </c>
      <c r="B379" t="inlineStr">
        <is>
          <t>avverkningsanmälan</t>
        </is>
      </c>
      <c r="C379" t="inlineStr">
        <is>
          <t>Föryngringsavverkning</t>
        </is>
      </c>
      <c r="D379" s="1" t="n">
        <v>46239</v>
      </c>
      <c r="E379" s="1" t="n">
        <v>46304</v>
      </c>
      <c r="F379" t="inlineStr">
        <is>
          <t>NORRBOTTENS LÄN</t>
        </is>
      </c>
      <c r="G379" t="inlineStr">
        <is>
          <t>ARVIDSJAUR</t>
        </is>
      </c>
      <c r="H379" t="inlineStr">
        <is>
          <t>Sveaskog</t>
        </is>
      </c>
      <c r="I379" t="n">
        <v>13.7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40937-2023</t>
        </is>
      </c>
      <c r="B380" t="inlineStr">
        <is>
          <t>avverkningsanmälan</t>
        </is>
      </c>
      <c r="C380" t="inlineStr">
        <is>
          <t>Föryngringsavverkning</t>
        </is>
      </c>
      <c r="D380" s="1" t="n">
        <v>45173</v>
      </c>
      <c r="E380" s="1" t="n">
        <v>46304</v>
      </c>
      <c r="F380" t="inlineStr">
        <is>
          <t>NORRBOTTENS LÄN</t>
        </is>
      </c>
      <c r="G380" t="inlineStr">
        <is>
          <t>ARVIDSJAUR</t>
        </is>
      </c>
      <c r="H380" t="inlineStr">
        <is>
          <t>Övriga Aktiebolag</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38037-2026</t>
        </is>
      </c>
      <c r="B381" t="inlineStr">
        <is>
          <t>avverkningsanmälan</t>
        </is>
      </c>
      <c r="C381" t="inlineStr">
        <is>
          <t>Avverkning för annat ändamål</t>
        </is>
      </c>
      <c r="D381" s="1" t="n">
        <v>46280</v>
      </c>
      <c r="E381" s="1" t="n">
        <v>46304</v>
      </c>
      <c r="F381" t="inlineStr">
        <is>
          <t>NORRBOTTENS LÄN</t>
        </is>
      </c>
      <c r="G381" t="inlineStr">
        <is>
          <t>ARVIDSJAUR</t>
        </is>
      </c>
      <c r="H381" t="inlineStr">
        <is>
          <t>Övriga Aktiebolag</t>
        </is>
      </c>
      <c r="I381" t="n">
        <v>49.2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10852-2025</t>
        </is>
      </c>
      <c r="B382" t="inlineStr">
        <is>
          <t>avverkningsanmälan</t>
        </is>
      </c>
      <c r="C382" t="inlineStr">
        <is>
          <t>Avverkning för annat ändamål</t>
        </is>
      </c>
      <c r="D382" s="1" t="n">
        <v>45722</v>
      </c>
      <c r="E382" s="1" t="n">
        <v>46304</v>
      </c>
      <c r="F382" t="inlineStr">
        <is>
          <t>NORRBOTTENS LÄN</t>
        </is>
      </c>
      <c r="G382" t="inlineStr">
        <is>
          <t>ARVIDSJAUR</t>
        </is>
      </c>
      <c r="H382" t="inlineStr">
        <is>
          <t>Sveaskog</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38978-2026</t>
        </is>
      </c>
      <c r="B383" t="inlineStr">
        <is>
          <t>avverkningsanmälan</t>
        </is>
      </c>
      <c r="C383" t="inlineStr">
        <is>
          <t>Föryngringsavverkning</t>
        </is>
      </c>
      <c r="D383" s="1" t="n">
        <v>46286</v>
      </c>
      <c r="E383" s="1" t="n">
        <v>46304</v>
      </c>
      <c r="F383" t="inlineStr">
        <is>
          <t>NORRBOTTENS LÄN</t>
        </is>
      </c>
      <c r="G383" t="inlineStr">
        <is>
          <t>ARVIDSJAUR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11670-2026</t>
        </is>
      </c>
      <c r="B384" t="inlineStr">
        <is>
          <t>avverkningsanmälan</t>
        </is>
      </c>
      <c r="C384" t="inlineStr">
        <is>
          <t>Föryngringsavverkning</t>
        </is>
      </c>
      <c r="D384" s="1" t="n">
        <v>46084</v>
      </c>
      <c r="E384" s="1" t="n">
        <v>46304</v>
      </c>
      <c r="F384" t="inlineStr">
        <is>
          <t>NORRBOTTENS LÄN</t>
        </is>
      </c>
      <c r="G384" t="inlineStr">
        <is>
          <t>ARVIDSJAUR</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38980-2026</t>
        </is>
      </c>
      <c r="B385" t="inlineStr">
        <is>
          <t>avverkningsanmälan</t>
        </is>
      </c>
      <c r="C385" t="inlineStr">
        <is>
          <t>Föryngringsavverkning</t>
        </is>
      </c>
      <c r="D385" s="1" t="n">
        <v>46286</v>
      </c>
      <c r="E385" s="1" t="n">
        <v>46304</v>
      </c>
      <c r="F385" t="inlineStr">
        <is>
          <t>NORRBOTTENS LÄN</t>
        </is>
      </c>
      <c r="G385" t="inlineStr">
        <is>
          <t>ARVIDSJAUR</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39845-2023</t>
        </is>
      </c>
      <c r="B386" t="inlineStr">
        <is>
          <t>avverkningsanmälan</t>
        </is>
      </c>
      <c r="C386" t="inlineStr">
        <is>
          <t>Föryngringsavverkning</t>
        </is>
      </c>
      <c r="D386" s="1" t="n">
        <v>45166</v>
      </c>
      <c r="E386" s="1" t="n">
        <v>46304</v>
      </c>
      <c r="F386" t="inlineStr">
        <is>
          <t>NORRBOTTENS LÄN</t>
        </is>
      </c>
      <c r="G386" t="inlineStr">
        <is>
          <t>ARVIDSJAUR</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10852-2025</t>
        </is>
      </c>
      <c r="B387" t="inlineStr">
        <is>
          <t>avverkningsanmälan</t>
        </is>
      </c>
      <c r="C387" t="inlineStr">
        <is>
          <t>Avverkning för annat ändamål</t>
        </is>
      </c>
      <c r="D387" s="1" t="n">
        <v>45722</v>
      </c>
      <c r="E387" s="1" t="n">
        <v>46304</v>
      </c>
      <c r="F387" t="inlineStr">
        <is>
          <t>NORRBOTTENS LÄN</t>
        </is>
      </c>
      <c r="G387" t="inlineStr">
        <is>
          <t>ARVIDSJAUR</t>
        </is>
      </c>
      <c r="H387" t="inlineStr">
        <is>
          <t>Sveaskog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11539-2025</t>
        </is>
      </c>
      <c r="B388" t="inlineStr">
        <is>
          <t>avverkningsanmälan</t>
        </is>
      </c>
      <c r="C388" t="inlineStr">
        <is>
          <t>Föryngringsavverkning</t>
        </is>
      </c>
      <c r="D388" s="1" t="n">
        <v>45726</v>
      </c>
      <c r="E388" s="1" t="n">
        <v>46304</v>
      </c>
      <c r="F388" t="inlineStr">
        <is>
          <t>NORRBOTTENS LÄN</t>
        </is>
      </c>
      <c r="G388" t="inlineStr">
        <is>
          <t>ARVIDSJAUR</t>
        </is>
      </c>
      <c r="H388" t="inlineStr">
        <is>
          <t>Allmännings- och besparingsskogar</t>
        </is>
      </c>
      <c r="I388" t="n">
        <v>14.3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11674-2026</t>
        </is>
      </c>
      <c r="B389" t="inlineStr">
        <is>
          <t>avverkningsanmälan</t>
        </is>
      </c>
      <c r="C389" t="inlineStr">
        <is>
          <t>Föryngringsavverkning</t>
        </is>
      </c>
      <c r="D389" s="1" t="n">
        <v>46084</v>
      </c>
      <c r="E389" s="1" t="n">
        <v>46304</v>
      </c>
      <c r="F389" t="inlineStr">
        <is>
          <t>NORRBOTTENS LÄN</t>
        </is>
      </c>
      <c r="G389" t="inlineStr">
        <is>
          <t>ARVIDSJAUR</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32761-2026</t>
        </is>
      </c>
      <c r="B390" t="inlineStr">
        <is>
          <t>avverkningsanmälan</t>
        </is>
      </c>
      <c r="C390" t="inlineStr">
        <is>
          <t>Föryngringsavverkning</t>
        </is>
      </c>
      <c r="D390" s="1" t="n">
        <v>46241</v>
      </c>
      <c r="E390" s="1" t="n">
        <v>46304</v>
      </c>
      <c r="F390" t="inlineStr">
        <is>
          <t>NORRBOTTENS LÄN</t>
        </is>
      </c>
      <c r="G390" t="inlineStr">
        <is>
          <t>ARVIDSJAUR</t>
        </is>
      </c>
      <c r="H390" t="inlineStr">
        <is>
          <t>Sveaskog</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11620-2025</t>
        </is>
      </c>
      <c r="B391" t="inlineStr">
        <is>
          <t>avverkningsanmälan</t>
        </is>
      </c>
      <c r="C391" t="inlineStr">
        <is>
          <t>Föryngringsavverkning</t>
        </is>
      </c>
      <c r="D391" s="1" t="n">
        <v>45726</v>
      </c>
      <c r="E391" s="1" t="n">
        <v>46304</v>
      </c>
      <c r="F391" t="inlineStr">
        <is>
          <t>NORRBOTTENS LÄN</t>
        </is>
      </c>
      <c r="G391" t="inlineStr">
        <is>
          <t>ARVIDSJAUR</t>
        </is>
      </c>
      <c r="H391" t="inlineStr">
        <is>
          <t>Allmännings- och besparingsskogar</t>
        </is>
      </c>
      <c r="I391" t="n">
        <v>14.1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23592-2024</t>
        </is>
      </c>
      <c r="B392" t="inlineStr">
        <is>
          <t>avverkningsanmälan</t>
        </is>
      </c>
      <c r="C392" t="inlineStr">
        <is>
          <t>Föryngringsavverkning</t>
        </is>
      </c>
      <c r="D392" s="1" t="n">
        <v>45454</v>
      </c>
      <c r="E392" s="1" t="n">
        <v>46304</v>
      </c>
      <c r="F392" t="inlineStr">
        <is>
          <t>NORRBOTTENS LÄN</t>
        </is>
      </c>
      <c r="G392" t="inlineStr">
        <is>
          <t>ARVIDSJAUR</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38772-2026</t>
        </is>
      </c>
      <c r="B393" t="inlineStr">
        <is>
          <t>avverkningsanmälan</t>
        </is>
      </c>
      <c r="C393" t="inlineStr">
        <is>
          <t>Föryngringsavverkning</t>
        </is>
      </c>
      <c r="D393" s="1" t="n">
        <v>46286</v>
      </c>
      <c r="E393" s="1" t="n">
        <v>46304</v>
      </c>
      <c r="F393" t="inlineStr">
        <is>
          <t>NORRBOTTENS LÄN</t>
        </is>
      </c>
      <c r="G393" t="inlineStr">
        <is>
          <t>ARVIDSJAUR</t>
        </is>
      </c>
      <c r="H393" t="inlineStr">
        <is>
          <t>Sveaskog</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36400-2022</t>
        </is>
      </c>
      <c r="B394" t="inlineStr">
        <is>
          <t>avverkningsanmälan</t>
        </is>
      </c>
      <c r="C394" t="inlineStr">
        <is>
          <t>Föryngringsavverkning</t>
        </is>
      </c>
      <c r="D394" s="1" t="n">
        <v>44804</v>
      </c>
      <c r="E394" s="1" t="n">
        <v>46304</v>
      </c>
      <c r="F394" t="inlineStr">
        <is>
          <t>NORRBOTTENS LÄN</t>
        </is>
      </c>
      <c r="G394" t="inlineStr">
        <is>
          <t>ARVIDSJAUR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38981-2026</t>
        </is>
      </c>
      <c r="B395" t="inlineStr">
        <is>
          <t>avverkningsanmälan</t>
        </is>
      </c>
      <c r="C395" t="inlineStr">
        <is>
          <t>Föryngringsavverkning</t>
        </is>
      </c>
      <c r="D395" s="1" t="n">
        <v>46286</v>
      </c>
      <c r="E395" s="1" t="n">
        <v>46304</v>
      </c>
      <c r="F395" t="inlineStr">
        <is>
          <t>NORRBOTTENS LÄN</t>
        </is>
      </c>
      <c r="G395" t="inlineStr">
        <is>
          <t>ARVIDSJAUR</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32779-2026</t>
        </is>
      </c>
      <c r="B396" t="inlineStr">
        <is>
          <t>avverkningsanmälan</t>
        </is>
      </c>
      <c r="C396" t="inlineStr">
        <is>
          <t>Föryngringsavverkning</t>
        </is>
      </c>
      <c r="D396" s="1" t="n">
        <v>46241</v>
      </c>
      <c r="E396" s="1" t="n">
        <v>46304</v>
      </c>
      <c r="F396" t="inlineStr">
        <is>
          <t>NORRBOTTENS LÄN</t>
        </is>
      </c>
      <c r="G396" t="inlineStr">
        <is>
          <t>ARVIDSJAUR</t>
        </is>
      </c>
      <c r="H396" t="inlineStr">
        <is>
          <t>Sveaskog</t>
        </is>
      </c>
      <c r="I396" t="n">
        <v>27.3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38977-2026</t>
        </is>
      </c>
      <c r="B397" t="inlineStr">
        <is>
          <t>avverkningsanmälan</t>
        </is>
      </c>
      <c r="C397" t="inlineStr">
        <is>
          <t>Föryngringsavverkning</t>
        </is>
      </c>
      <c r="D397" s="1" t="n">
        <v>46286</v>
      </c>
      <c r="E397" s="1" t="n">
        <v>46304</v>
      </c>
      <c r="F397" t="inlineStr">
        <is>
          <t>NORRBOTTENS LÄN</t>
        </is>
      </c>
      <c r="G397" t="inlineStr">
        <is>
          <t>ARVIDSJAUR</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38778-2026</t>
        </is>
      </c>
      <c r="B398" t="inlineStr">
        <is>
          <t>avverkningsanmälan</t>
        </is>
      </c>
      <c r="C398" t="inlineStr">
        <is>
          <t>Föryngringsavverkning</t>
        </is>
      </c>
      <c r="D398" s="1" t="n">
        <v>46286</v>
      </c>
      <c r="E398" s="1" t="n">
        <v>46304</v>
      </c>
      <c r="F398" t="inlineStr">
        <is>
          <t>NORRBOTTENS LÄN</t>
        </is>
      </c>
      <c r="G398" t="inlineStr">
        <is>
          <t>ARVIDSJAUR</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33103-2026</t>
        </is>
      </c>
      <c r="B399" t="inlineStr">
        <is>
          <t>avverkningsanmälan</t>
        </is>
      </c>
      <c r="C399" t="inlineStr">
        <is>
          <t>Föryngringsavverkning</t>
        </is>
      </c>
      <c r="D399" s="1" t="n">
        <v>46245</v>
      </c>
      <c r="E399" s="1" t="n">
        <v>46304</v>
      </c>
      <c r="F399" t="inlineStr">
        <is>
          <t>NORRBOTTENS LÄN</t>
        </is>
      </c>
      <c r="G399" t="inlineStr">
        <is>
          <t>ARVIDSJAUR</t>
        </is>
      </c>
      <c r="I399" t="n">
        <v>11.9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39331-2026</t>
        </is>
      </c>
      <c r="B400" t="inlineStr">
        <is>
          <t>avverkningsanmälan</t>
        </is>
      </c>
      <c r="C400" t="inlineStr">
        <is>
          <t>Föryngringsavverkning</t>
        </is>
      </c>
      <c r="D400" s="1" t="n">
        <v>46288</v>
      </c>
      <c r="E400" s="1" t="n">
        <v>46304</v>
      </c>
      <c r="F400" t="inlineStr">
        <is>
          <t>NORRBOTTENS LÄN</t>
        </is>
      </c>
      <c r="G400" t="inlineStr">
        <is>
          <t>ARVIDSJAUR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39268-2026</t>
        </is>
      </c>
      <c r="B401" t="inlineStr">
        <is>
          <t>avverkningsanmälan</t>
        </is>
      </c>
      <c r="C401" t="inlineStr">
        <is>
          <t>Föryngringsavverkning</t>
        </is>
      </c>
      <c r="D401" s="1" t="n">
        <v>46288</v>
      </c>
      <c r="E401" s="1" t="n">
        <v>46304</v>
      </c>
      <c r="F401" t="inlineStr">
        <is>
          <t>NORRBOTTENS LÄN</t>
        </is>
      </c>
      <c r="G401" t="inlineStr">
        <is>
          <t>ARVIDSJAUR</t>
        </is>
      </c>
      <c r="I401" t="n">
        <v>12.6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24506-2025</t>
        </is>
      </c>
      <c r="B402" t="inlineStr">
        <is>
          <t>avverkningsanmälan</t>
        </is>
      </c>
      <c r="C402" t="inlineStr">
        <is>
          <t>Föryngringsavverkning</t>
        </is>
      </c>
      <c r="D402" s="1" t="n">
        <v>45798</v>
      </c>
      <c r="E402" s="1" t="n">
        <v>46304</v>
      </c>
      <c r="F402" t="inlineStr">
        <is>
          <t>NORRBOTTENS LÄN</t>
        </is>
      </c>
      <c r="G402" t="inlineStr">
        <is>
          <t>ARVIDSJAUR</t>
        </is>
      </c>
      <c r="H402" t="inlineStr">
        <is>
          <t>Sveaskog</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2773-2025</t>
        </is>
      </c>
      <c r="B403" t="inlineStr">
        <is>
          <t>avverkningsanmälan</t>
        </is>
      </c>
      <c r="C403" t="inlineStr">
        <is>
          <t>Föryngringsavverkning</t>
        </is>
      </c>
      <c r="D403" s="1" t="n">
        <v>45677</v>
      </c>
      <c r="E403" s="1" t="n">
        <v>46304</v>
      </c>
      <c r="F403" t="inlineStr">
        <is>
          <t>NORRBOTTENS LÄN</t>
        </is>
      </c>
      <c r="G403" t="inlineStr">
        <is>
          <t>ARVIDSJAUR</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48363-2024</t>
        </is>
      </c>
      <c r="B404" t="inlineStr">
        <is>
          <t>avverkningsanmälan</t>
        </is>
      </c>
      <c r="C404" t="inlineStr">
        <is>
          <t>Föryngringsavverkning</t>
        </is>
      </c>
      <c r="D404" s="1" t="n">
        <v>45590</v>
      </c>
      <c r="E404" s="1" t="n">
        <v>46304</v>
      </c>
      <c r="F404" t="inlineStr">
        <is>
          <t>NORRBOTTENS LÄN</t>
        </is>
      </c>
      <c r="G404" t="inlineStr">
        <is>
          <t>ARVIDSJAUR</t>
        </is>
      </c>
      <c r="H404" t="inlineStr">
        <is>
          <t>Sveaskog</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25395-2022</t>
        </is>
      </c>
      <c r="B405" t="inlineStr">
        <is>
          <t>avverkningsanmälan</t>
        </is>
      </c>
      <c r="C405" t="inlineStr">
        <is>
          <t>Föryngringsavverkning</t>
        </is>
      </c>
      <c r="D405" s="1" t="n">
        <v>44732</v>
      </c>
      <c r="E405" s="1" t="n">
        <v>46304</v>
      </c>
      <c r="F405" t="inlineStr">
        <is>
          <t>NORRBOTTENS LÄN</t>
        </is>
      </c>
      <c r="G405" t="inlineStr">
        <is>
          <t>ARVIDSJAUR</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26218-2025</t>
        </is>
      </c>
      <c r="B406" t="inlineStr">
        <is>
          <t>avverkningsanmälan</t>
        </is>
      </c>
      <c r="C406" t="inlineStr">
        <is>
          <t>Föryngringsavverkning</t>
        </is>
      </c>
      <c r="D406" s="1" t="n">
        <v>45805</v>
      </c>
      <c r="E406" s="1" t="n">
        <v>46304</v>
      </c>
      <c r="F406" t="inlineStr">
        <is>
          <t>NORRBOTTENS LÄN</t>
        </is>
      </c>
      <c r="G406" t="inlineStr">
        <is>
          <t>ARVIDSJAUR</t>
        </is>
      </c>
      <c r="H406" t="inlineStr">
        <is>
          <t>Sveaskog</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20403-2022</t>
        </is>
      </c>
      <c r="B407" t="inlineStr">
        <is>
          <t>avverkningsanmälan</t>
        </is>
      </c>
      <c r="C407" t="inlineStr">
        <is>
          <t>Föryngringsavverkning</t>
        </is>
      </c>
      <c r="D407" s="1" t="n">
        <v>44699</v>
      </c>
      <c r="E407" s="1" t="n">
        <v>46304</v>
      </c>
      <c r="F407" t="inlineStr">
        <is>
          <t>NORRBOTTENS LÄN</t>
        </is>
      </c>
      <c r="G407" t="inlineStr">
        <is>
          <t>ARVIDSJAUR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48005-2025</t>
        </is>
      </c>
      <c r="B408" t="inlineStr">
        <is>
          <t>avverkningsanmälan</t>
        </is>
      </c>
      <c r="C408" t="inlineStr">
        <is>
          <t>Föryngringsavverkning</t>
        </is>
      </c>
      <c r="D408" s="1" t="n">
        <v>45932</v>
      </c>
      <c r="E408" s="1" t="n">
        <v>46304</v>
      </c>
      <c r="F408" t="inlineStr">
        <is>
          <t>NORRBOTTENS LÄN</t>
        </is>
      </c>
      <c r="G408" t="inlineStr">
        <is>
          <t>ARVIDSJAUR</t>
        </is>
      </c>
      <c r="H408" t="inlineStr">
        <is>
          <t>Sveaskog</t>
        </is>
      </c>
      <c r="I408" t="n">
        <v>24.3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36417-2022</t>
        </is>
      </c>
      <c r="B409" t="inlineStr">
        <is>
          <t>avverkningsanmälan</t>
        </is>
      </c>
      <c r="C409" t="inlineStr">
        <is>
          <t>Föryngringsavverkning</t>
        </is>
      </c>
      <c r="D409" s="1" t="n">
        <v>44804</v>
      </c>
      <c r="E409" s="1" t="n">
        <v>46304</v>
      </c>
      <c r="F409" t="inlineStr">
        <is>
          <t>NORRBOTTENS LÄN</t>
        </is>
      </c>
      <c r="G409" t="inlineStr">
        <is>
          <t>ARVIDSJAUR</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26217-2025</t>
        </is>
      </c>
      <c r="B410" t="inlineStr">
        <is>
          <t>avverkningsanmälan</t>
        </is>
      </c>
      <c r="C410" t="inlineStr">
        <is>
          <t>Föryngringsavverkning</t>
        </is>
      </c>
      <c r="D410" s="1" t="n">
        <v>45805</v>
      </c>
      <c r="E410" s="1" t="n">
        <v>46304</v>
      </c>
      <c r="F410" t="inlineStr">
        <is>
          <t>NORRBOTTENS LÄN</t>
        </is>
      </c>
      <c r="G410" t="inlineStr">
        <is>
          <t>ARVIDSJAUR</t>
        </is>
      </c>
      <c r="H410" t="inlineStr">
        <is>
          <t>Sveaskog</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26211-2025</t>
        </is>
      </c>
      <c r="B411" t="inlineStr">
        <is>
          <t>avverkningsanmälan</t>
        </is>
      </c>
      <c r="C411" t="inlineStr">
        <is>
          <t>Föryngringsavverkning</t>
        </is>
      </c>
      <c r="D411" s="1" t="n">
        <v>45805</v>
      </c>
      <c r="E411" s="1" t="n">
        <v>46304</v>
      </c>
      <c r="F411" t="inlineStr">
        <is>
          <t>NORRBOTTENS LÄN</t>
        </is>
      </c>
      <c r="G411" t="inlineStr">
        <is>
          <t>ARVIDSJAUR</t>
        </is>
      </c>
      <c r="H411" t="inlineStr">
        <is>
          <t>Sveaskog</t>
        </is>
      </c>
      <c r="I411" t="n">
        <v>8.199999999999999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26213-2025</t>
        </is>
      </c>
      <c r="B412" t="inlineStr">
        <is>
          <t>avverkningsanmälan</t>
        </is>
      </c>
      <c r="C412" t="inlineStr">
        <is>
          <t>Föryngringsavverkning</t>
        </is>
      </c>
      <c r="D412" s="1" t="n">
        <v>45805</v>
      </c>
      <c r="E412" s="1" t="n">
        <v>46304</v>
      </c>
      <c r="F412" t="inlineStr">
        <is>
          <t>NORRBOTTENS LÄN</t>
        </is>
      </c>
      <c r="G412" t="inlineStr">
        <is>
          <t>ARVIDSJAUR</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26214-2025</t>
        </is>
      </c>
      <c r="B413" t="inlineStr">
        <is>
          <t>avverkningsanmälan</t>
        </is>
      </c>
      <c r="C413" t="inlineStr">
        <is>
          <t>Föryngringsavverkning</t>
        </is>
      </c>
      <c r="D413" s="1" t="n">
        <v>45805</v>
      </c>
      <c r="E413" s="1" t="n">
        <v>46304</v>
      </c>
      <c r="F413" t="inlineStr">
        <is>
          <t>NORRBOTTENS LÄN</t>
        </is>
      </c>
      <c r="G413" t="inlineStr">
        <is>
          <t>ARVIDSJAUR</t>
        </is>
      </c>
      <c r="H413" t="inlineStr">
        <is>
          <t>Sveaskog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33407-2026</t>
        </is>
      </c>
      <c r="B414" t="inlineStr">
        <is>
          <t>avverkningsanmälan</t>
        </is>
      </c>
      <c r="C414" t="inlineStr">
        <is>
          <t>Föryngringsavverkning</t>
        </is>
      </c>
      <c r="D414" s="1" t="n">
        <v>46247</v>
      </c>
      <c r="E414" s="1" t="n">
        <v>46304</v>
      </c>
      <c r="F414" t="inlineStr">
        <is>
          <t>NORRBOTTENS LÄN</t>
        </is>
      </c>
      <c r="G414" t="inlineStr">
        <is>
          <t>ARVIDSJAUR</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50303-2022</t>
        </is>
      </c>
      <c r="B415" t="inlineStr">
        <is>
          <t>avverkningsanmälan</t>
        </is>
      </c>
      <c r="C415" t="inlineStr">
        <is>
          <t>Föryngringsavverkning</t>
        </is>
      </c>
      <c r="D415" s="1" t="n">
        <v>44865</v>
      </c>
      <c r="E415" s="1" t="n">
        <v>46304</v>
      </c>
      <c r="F415" t="inlineStr">
        <is>
          <t>NORRBOTTENS LÄN</t>
        </is>
      </c>
      <c r="G415" t="inlineStr">
        <is>
          <t>ARVIDSJAUR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60888-2021</t>
        </is>
      </c>
      <c r="B416" t="inlineStr">
        <is>
          <t>avverkningsanmälan</t>
        </is>
      </c>
      <c r="C416" t="inlineStr">
        <is>
          <t>Avverkning för annat ändamål</t>
        </is>
      </c>
      <c r="D416" s="1" t="n">
        <v>44497</v>
      </c>
      <c r="E416" s="1" t="n">
        <v>46304</v>
      </c>
      <c r="F416" t="inlineStr">
        <is>
          <t>NORRBOTTENS LÄN</t>
        </is>
      </c>
      <c r="G416" t="inlineStr">
        <is>
          <t>ARVIDSJAUR</t>
        </is>
      </c>
      <c r="H416" t="inlineStr">
        <is>
          <t>Sveaskog</t>
        </is>
      </c>
      <c r="I416" t="n">
        <v>12.1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33108-2026</t>
        </is>
      </c>
      <c r="B417" t="inlineStr">
        <is>
          <t>avverkningsanmälan</t>
        </is>
      </c>
      <c r="C417" t="inlineStr">
        <is>
          <t>Föryngringsavverkning</t>
        </is>
      </c>
      <c r="D417" s="1" t="n">
        <v>46245</v>
      </c>
      <c r="E417" s="1" t="n">
        <v>46304</v>
      </c>
      <c r="F417" t="inlineStr">
        <is>
          <t>NORRBOTTENS LÄN</t>
        </is>
      </c>
      <c r="G417" t="inlineStr">
        <is>
          <t>ARVIDSJAUR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4934-2024</t>
        </is>
      </c>
      <c r="B418" t="inlineStr">
        <is>
          <t>avverkningsanmälan</t>
        </is>
      </c>
      <c r="C418" t="inlineStr">
        <is>
          <t>Avverkning för annat ändamål</t>
        </is>
      </c>
      <c r="D418" s="1" t="n">
        <v>45329</v>
      </c>
      <c r="E418" s="1" t="n">
        <v>46304</v>
      </c>
      <c r="F418" t="inlineStr">
        <is>
          <t>NORRBOTTENS LÄN</t>
        </is>
      </c>
      <c r="G418" t="inlineStr">
        <is>
          <t>ARVIDSJAUR</t>
        </is>
      </c>
      <c r="H418" t="inlineStr">
        <is>
          <t>Sveaskog</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34188-2026</t>
        </is>
      </c>
      <c r="B419" t="inlineStr">
        <is>
          <t>avverkningsanmälan</t>
        </is>
      </c>
      <c r="C419" t="inlineStr">
        <is>
          <t>Föryngringsavverkning</t>
        </is>
      </c>
      <c r="D419" s="1" t="n">
        <v>46252</v>
      </c>
      <c r="E419" s="1" t="n">
        <v>46304</v>
      </c>
      <c r="F419" t="inlineStr">
        <is>
          <t>NORRBOTTENS LÄN</t>
        </is>
      </c>
      <c r="G419" t="inlineStr">
        <is>
          <t>ARVIDSJAUR</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28353-2025</t>
        </is>
      </c>
      <c r="B420" t="inlineStr">
        <is>
          <t>avverkningsanmälan</t>
        </is>
      </c>
      <c r="C420" t="inlineStr">
        <is>
          <t>Föryngringsavverkning</t>
        </is>
      </c>
      <c r="D420" s="1" t="n">
        <v>45818</v>
      </c>
      <c r="E420" s="1" t="n">
        <v>46304</v>
      </c>
      <c r="F420" t="inlineStr">
        <is>
          <t>NORRBOTTENS LÄN</t>
        </is>
      </c>
      <c r="G420" t="inlineStr">
        <is>
          <t>ARVIDSJAUR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33937-2026</t>
        </is>
      </c>
      <c r="B421" t="inlineStr">
        <is>
          <t>avverkningsanmälan</t>
        </is>
      </c>
      <c r="C421" t="inlineStr">
        <is>
          <t>Föryngringsavverkning</t>
        </is>
      </c>
      <c r="D421" s="1" t="n">
        <v>46252</v>
      </c>
      <c r="E421" s="1" t="n">
        <v>46304</v>
      </c>
      <c r="F421" t="inlineStr">
        <is>
          <t>NORRBOTTENS LÄN</t>
        </is>
      </c>
      <c r="G421" t="inlineStr">
        <is>
          <t>ARVIDSJAUR</t>
        </is>
      </c>
      <c r="H421" t="inlineStr">
        <is>
          <t>Sveaskog</t>
        </is>
      </c>
      <c r="I421" t="n">
        <v>16.7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28892-2025</t>
        </is>
      </c>
      <c r="B422" t="inlineStr">
        <is>
          <t>avverkningsanmälan</t>
        </is>
      </c>
      <c r="C422" t="inlineStr">
        <is>
          <t>Föryngringsavverkning</t>
        </is>
      </c>
      <c r="D422" s="1" t="n">
        <v>45820</v>
      </c>
      <c r="E422" s="1" t="n">
        <v>46304</v>
      </c>
      <c r="F422" t="inlineStr">
        <is>
          <t>NORRBOTTENS LÄN</t>
        </is>
      </c>
      <c r="G422" t="inlineStr">
        <is>
          <t>ARVIDSJAUR</t>
        </is>
      </c>
      <c r="H422" t="inlineStr">
        <is>
          <t>Sveaskog</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29516-2025</t>
        </is>
      </c>
      <c r="B423" t="inlineStr">
        <is>
          <t>avverkningsanmälan</t>
        </is>
      </c>
      <c r="C423" t="inlineStr">
        <is>
          <t>Föryngringsavverkning</t>
        </is>
      </c>
      <c r="D423" s="1" t="n">
        <v>45825</v>
      </c>
      <c r="E423" s="1" t="n">
        <v>46304</v>
      </c>
      <c r="F423" t="inlineStr">
        <is>
          <t>NORRBOTTENS LÄN</t>
        </is>
      </c>
      <c r="G423" t="inlineStr">
        <is>
          <t>ARVIDSJAUR</t>
        </is>
      </c>
      <c r="H423" t="inlineStr">
        <is>
          <t>Sveaskog</t>
        </is>
      </c>
      <c r="I423" t="n">
        <v>17.1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33940-2026</t>
        </is>
      </c>
      <c r="B424" t="inlineStr">
        <is>
          <t>avverkningsanmälan</t>
        </is>
      </c>
      <c r="C424" t="inlineStr">
        <is>
          <t>Föryngringsavverkning</t>
        </is>
      </c>
      <c r="D424" s="1" t="n">
        <v>46252</v>
      </c>
      <c r="E424" s="1" t="n">
        <v>46304</v>
      </c>
      <c r="F424" t="inlineStr">
        <is>
          <t>NORRBOTTENS LÄN</t>
        </is>
      </c>
      <c r="G424" t="inlineStr">
        <is>
          <t>ARVIDSJAUR</t>
        </is>
      </c>
      <c r="H424" t="inlineStr">
        <is>
          <t>Sveaskog</t>
        </is>
      </c>
      <c r="I424" t="n">
        <v>26.7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29504-2025</t>
        </is>
      </c>
      <c r="B425" t="inlineStr">
        <is>
          <t>avverkningsanmälan</t>
        </is>
      </c>
      <c r="C425" t="inlineStr">
        <is>
          <t>Avverkning för annat ändamål</t>
        </is>
      </c>
      <c r="D425" s="1" t="n">
        <v>45825</v>
      </c>
      <c r="E425" s="1" t="n">
        <v>46304</v>
      </c>
      <c r="F425" t="inlineStr">
        <is>
          <t>NORRBOTTENS LÄN</t>
        </is>
      </c>
      <c r="G425" t="inlineStr">
        <is>
          <t>ARVIDSJAUR</t>
        </is>
      </c>
      <c r="H425" t="inlineStr">
        <is>
          <t>Sveaskog</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30383-2025</t>
        </is>
      </c>
      <c r="B426" t="inlineStr">
        <is>
          <t>avverkningsanmälan</t>
        </is>
      </c>
      <c r="C426" t="inlineStr">
        <is>
          <t>Föryngringsavverkning</t>
        </is>
      </c>
      <c r="D426" s="1" t="n">
        <v>45827</v>
      </c>
      <c r="E426" s="1" t="n">
        <v>46304</v>
      </c>
      <c r="F426" t="inlineStr">
        <is>
          <t>NORRBOTTENS LÄN</t>
        </is>
      </c>
      <c r="G426" t="inlineStr">
        <is>
          <t>ARVIDSJAUR</t>
        </is>
      </c>
      <c r="I426" t="n">
        <v>20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33918-2026</t>
        </is>
      </c>
      <c r="B427" t="inlineStr">
        <is>
          <t>avverkningsanmälan</t>
        </is>
      </c>
      <c r="C427" t="inlineStr">
        <is>
          <t>Föryngringsavverkning</t>
        </is>
      </c>
      <c r="D427" s="1" t="n">
        <v>46252</v>
      </c>
      <c r="E427" s="1" t="n">
        <v>46304</v>
      </c>
      <c r="F427" t="inlineStr">
        <is>
          <t>NORRBOTTENS LÄN</t>
        </is>
      </c>
      <c r="G427" t="inlineStr">
        <is>
          <t>ARVIDSJAUR</t>
        </is>
      </c>
      <c r="H427" t="inlineStr">
        <is>
          <t>SCA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33917-2026</t>
        </is>
      </c>
      <c r="B428" t="inlineStr">
        <is>
          <t>avverkningsanmälan</t>
        </is>
      </c>
      <c r="C428" t="inlineStr">
        <is>
          <t>Föryngringsavverkning</t>
        </is>
      </c>
      <c r="D428" s="1" t="n">
        <v>46252</v>
      </c>
      <c r="E428" s="1" t="n">
        <v>46304</v>
      </c>
      <c r="F428" t="inlineStr">
        <is>
          <t>NORRBOTTENS LÄN</t>
        </is>
      </c>
      <c r="G428" t="inlineStr">
        <is>
          <t>ARVIDSJAUR</t>
        </is>
      </c>
      <c r="H428" t="inlineStr">
        <is>
          <t>SCA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34136-2026</t>
        </is>
      </c>
      <c r="B429" t="inlineStr">
        <is>
          <t>avverkningsanmälan</t>
        </is>
      </c>
      <c r="C429" t="inlineStr">
        <is>
          <t>Föryngringsavverkning</t>
        </is>
      </c>
      <c r="D429" s="1" t="n">
        <v>46253</v>
      </c>
      <c r="E429" s="1" t="n">
        <v>46304</v>
      </c>
      <c r="F429" t="inlineStr">
        <is>
          <t>NORRBOTTENS LÄN</t>
        </is>
      </c>
      <c r="G429" t="inlineStr">
        <is>
          <t>ARVIDSJAUR</t>
        </is>
      </c>
      <c r="H429" t="inlineStr">
        <is>
          <t>Sveaskog</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37788-2025</t>
        </is>
      </c>
      <c r="B430" t="inlineStr">
        <is>
          <t>avverkningsanmälan</t>
        </is>
      </c>
      <c r="C430" t="inlineStr">
        <is>
          <t>Föryngringsavverkning</t>
        </is>
      </c>
      <c r="D430" s="1" t="n">
        <v>45881</v>
      </c>
      <c r="E430" s="1" t="n">
        <v>46304</v>
      </c>
      <c r="F430" t="inlineStr">
        <is>
          <t>NORRBOTTENS LÄN</t>
        </is>
      </c>
      <c r="G430" t="inlineStr">
        <is>
          <t>ARVIDSJAUR</t>
        </is>
      </c>
      <c r="H430" t="inlineStr">
        <is>
          <t>Sveaskog</t>
        </is>
      </c>
      <c r="I430" t="n">
        <v>13.8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10317-2026</t>
        </is>
      </c>
      <c r="B431" t="inlineStr">
        <is>
          <t>avverkningsanmälan</t>
        </is>
      </c>
      <c r="C431" t="inlineStr">
        <is>
          <t>Föryngringsavverkning</t>
        </is>
      </c>
      <c r="D431" s="1" t="n">
        <v>46076</v>
      </c>
      <c r="E431" s="1" t="n">
        <v>46304</v>
      </c>
      <c r="F431" t="inlineStr">
        <is>
          <t>NORRBOTTENS LÄN</t>
        </is>
      </c>
      <c r="G431" t="inlineStr">
        <is>
          <t>ARVIDSJAUR</t>
        </is>
      </c>
      <c r="H431" t="inlineStr">
        <is>
          <t>Sveaskog</t>
        </is>
      </c>
      <c r="I431" t="n">
        <v>9.1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34132-2026</t>
        </is>
      </c>
      <c r="B432" t="inlineStr">
        <is>
          <t>avverkningsanmälan</t>
        </is>
      </c>
      <c r="C432" t="inlineStr">
        <is>
          <t>Föryngringsavverkning</t>
        </is>
      </c>
      <c r="D432" s="1" t="n">
        <v>46253</v>
      </c>
      <c r="E432" s="1" t="n">
        <v>46304</v>
      </c>
      <c r="F432" t="inlineStr">
        <is>
          <t>NORRBOTTENS LÄN</t>
        </is>
      </c>
      <c r="G432" t="inlineStr">
        <is>
          <t>ARVIDSJAUR</t>
        </is>
      </c>
      <c r="H432" t="inlineStr">
        <is>
          <t>Sveaskog</t>
        </is>
      </c>
      <c r="I432" t="n">
        <v>10.8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41756-2026</t>
        </is>
      </c>
      <c r="B433" t="inlineStr">
        <is>
          <t>avverkningsanmälan</t>
        </is>
      </c>
      <c r="C433" t="inlineStr">
        <is>
          <t>Föryngringsavverkning</t>
        </is>
      </c>
      <c r="D433" s="1" t="n">
        <v>46302</v>
      </c>
      <c r="E433" s="1" t="n">
        <v>46304</v>
      </c>
      <c r="F433" t="inlineStr">
        <is>
          <t>NORRBOTTENS LÄN</t>
        </is>
      </c>
      <c r="G433" t="inlineStr">
        <is>
          <t>ARVIDSJAUR</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35282-2026</t>
        </is>
      </c>
      <c r="B434" t="inlineStr">
        <is>
          <t>avverkningsanmälan</t>
        </is>
      </c>
      <c r="C434" t="inlineStr">
        <is>
          <t>Föryngringsavverkning</t>
        </is>
      </c>
      <c r="D434" s="1" t="n">
        <v>46261</v>
      </c>
      <c r="E434" s="1" t="n">
        <v>46304</v>
      </c>
      <c r="F434" t="inlineStr">
        <is>
          <t>NORRBOTTENS LÄN</t>
        </is>
      </c>
      <c r="G434" t="inlineStr">
        <is>
          <t>ARVIDSJAUR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34948-2026</t>
        </is>
      </c>
      <c r="B435" t="inlineStr">
        <is>
          <t>avverkningsanmälan</t>
        </is>
      </c>
      <c r="C435" t="inlineStr">
        <is>
          <t>Avverkning för annat ändamål</t>
        </is>
      </c>
      <c r="D435" s="1" t="n">
        <v>46259</v>
      </c>
      <c r="E435" s="1" t="n">
        <v>46304</v>
      </c>
      <c r="F435" t="inlineStr">
        <is>
          <t>NORRBOTTENS LÄN</t>
        </is>
      </c>
      <c r="G435" t="inlineStr">
        <is>
          <t>ARVIDSJAUR</t>
        </is>
      </c>
      <c r="H435" t="inlineStr">
        <is>
          <t>Sveaskog</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34952-2026</t>
        </is>
      </c>
      <c r="B436" t="inlineStr">
        <is>
          <t>avverkningsanmälan</t>
        </is>
      </c>
      <c r="C436" t="inlineStr">
        <is>
          <t>Avverkning för annat ändamål</t>
        </is>
      </c>
      <c r="D436" s="1" t="n">
        <v>46259</v>
      </c>
      <c r="E436" s="1" t="n">
        <v>46304</v>
      </c>
      <c r="F436" t="inlineStr">
        <is>
          <t>NORRBOTTENS LÄN</t>
        </is>
      </c>
      <c r="G436" t="inlineStr">
        <is>
          <t>ARVIDSJAUR</t>
        </is>
      </c>
      <c r="H436" t="inlineStr">
        <is>
          <t>Sveaskog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41754-2026</t>
        </is>
      </c>
      <c r="B437" t="inlineStr">
        <is>
          <t>avverkningsanmälan</t>
        </is>
      </c>
      <c r="C437" t="inlineStr">
        <is>
          <t>Föryngringsavverkning</t>
        </is>
      </c>
      <c r="D437" s="1" t="n">
        <v>46302</v>
      </c>
      <c r="E437" s="1" t="n">
        <v>46304</v>
      </c>
      <c r="F437" t="inlineStr">
        <is>
          <t>NORRBOTTENS LÄN</t>
        </is>
      </c>
      <c r="G437" t="inlineStr">
        <is>
          <t>ARVIDSJAUR</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35274-2026</t>
        </is>
      </c>
      <c r="B438" t="inlineStr">
        <is>
          <t>avverkningsanmälan</t>
        </is>
      </c>
      <c r="C438" t="inlineStr">
        <is>
          <t>Föryngringsavverkning</t>
        </is>
      </c>
      <c r="D438" s="1" t="n">
        <v>46261</v>
      </c>
      <c r="E438" s="1" t="n">
        <v>46304</v>
      </c>
      <c r="F438" t="inlineStr">
        <is>
          <t>NORRBOTTENS LÄN</t>
        </is>
      </c>
      <c r="G438" t="inlineStr">
        <is>
          <t>ARVIDSJAUR</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1157-2024</t>
        </is>
      </c>
      <c r="B439" t="inlineStr">
        <is>
          <t>samrådsanmälan</t>
        </is>
      </c>
      <c r="C439" t="inlineStr">
        <is>
          <t>Skogsgödsling</t>
        </is>
      </c>
      <c r="D439" s="1" t="n">
        <v>45394</v>
      </c>
      <c r="E439" s="1" t="n">
        <v>46304</v>
      </c>
      <c r="F439" t="inlineStr">
        <is>
          <t>NORRBOTTENS LÄN</t>
        </is>
      </c>
      <c r="G439" t="inlineStr">
        <is>
          <t>ARVIDSJAUR</t>
        </is>
      </c>
      <c r="H439" t="inlineStr">
        <is>
          <t>Sveaskog</t>
        </is>
      </c>
      <c r="I439" t="n">
        <v>277.1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1300-2024</t>
        </is>
      </c>
      <c r="B440" t="inlineStr">
        <is>
          <t>samrådsanmälan</t>
        </is>
      </c>
      <c r="C440" t="inlineStr">
        <is>
          <t>Skogsgödsling</t>
        </is>
      </c>
      <c r="D440" s="1" t="n">
        <v>45404</v>
      </c>
      <c r="E440" s="1" t="n">
        <v>46304</v>
      </c>
      <c r="F440" t="inlineStr">
        <is>
          <t>NORRBOTTENS LÄN</t>
        </is>
      </c>
      <c r="G440" t="inlineStr">
        <is>
          <t>ARVIDSJAUR</t>
        </is>
      </c>
      <c r="I440" t="n">
        <v>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1299-2024</t>
        </is>
      </c>
      <c r="B441" t="inlineStr">
        <is>
          <t>samrådsanmälan</t>
        </is>
      </c>
      <c r="C441" t="inlineStr">
        <is>
          <t>Skogsgödsling</t>
        </is>
      </c>
      <c r="D441" s="1" t="n">
        <v>45404</v>
      </c>
      <c r="E441" s="1" t="n">
        <v>46304</v>
      </c>
      <c r="F441" t="inlineStr">
        <is>
          <t>NORRBOTTENS LÄN</t>
        </is>
      </c>
      <c r="G441" t="inlineStr">
        <is>
          <t>ARVIDSJAUR</t>
        </is>
      </c>
      <c r="I441" t="n">
        <v>17.7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2024-2024</t>
        </is>
      </c>
      <c r="B442" t="inlineStr">
        <is>
          <t>samrådsanmälan</t>
        </is>
      </c>
      <c r="C442" t="inlineStr">
        <is>
          <t>Skogsgödsling</t>
        </is>
      </c>
      <c r="D442" s="1" t="n">
        <v>45448</v>
      </c>
      <c r="E442" s="1" t="n">
        <v>46304</v>
      </c>
      <c r="F442" t="inlineStr">
        <is>
          <t>NORRBOTTENS LÄN</t>
        </is>
      </c>
      <c r="G442" t="inlineStr">
        <is>
          <t>ARVIDSJAUR</t>
        </is>
      </c>
      <c r="H442" t="inlineStr">
        <is>
          <t>Sveaskog</t>
        </is>
      </c>
      <c r="I442" t="n">
        <v>14.5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2025-2024</t>
        </is>
      </c>
      <c r="B443" t="inlineStr">
        <is>
          <t>samrådsanmälan</t>
        </is>
      </c>
      <c r="C443" t="inlineStr">
        <is>
          <t>Skogsgödsling</t>
        </is>
      </c>
      <c r="D443" s="1" t="n">
        <v>45448</v>
      </c>
      <c r="E443" s="1" t="n">
        <v>46304</v>
      </c>
      <c r="F443" t="inlineStr">
        <is>
          <t>NORRBOTTENS LÄN</t>
        </is>
      </c>
      <c r="G443" t="inlineStr">
        <is>
          <t>ARVIDSJAUR</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1397-2024</t>
        </is>
      </c>
      <c r="B444" t="inlineStr">
        <is>
          <t>samrådsanmälan</t>
        </is>
      </c>
      <c r="C444" t="inlineStr">
        <is>
          <t>Skogsgödsling</t>
        </is>
      </c>
      <c r="D444" s="1" t="n">
        <v>45412</v>
      </c>
      <c r="E444" s="1" t="n">
        <v>46304</v>
      </c>
      <c r="F444" t="inlineStr">
        <is>
          <t>NORRBOTTENS LÄN</t>
        </is>
      </c>
      <c r="G444" t="inlineStr">
        <is>
          <t>ARVIDSJAUR</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1684-2024</t>
        </is>
      </c>
      <c r="B445" t="inlineStr">
        <is>
          <t>samrådsanmälan</t>
        </is>
      </c>
      <c r="C445" t="inlineStr">
        <is>
          <t>Skogsgödsling</t>
        </is>
      </c>
      <c r="D445" s="1" t="n">
        <v>45433</v>
      </c>
      <c r="E445" s="1" t="n">
        <v>46304</v>
      </c>
      <c r="F445" t="inlineStr">
        <is>
          <t>NORRBOTTENS LÄN</t>
        </is>
      </c>
      <c r="G445" t="inlineStr">
        <is>
          <t>ARVIDSJAUR</t>
        </is>
      </c>
      <c r="H445" t="inlineStr">
        <is>
          <t>Allmännings- och besparingsskogar</t>
        </is>
      </c>
      <c r="I445" t="n">
        <v>103.2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1073-2023</t>
        </is>
      </c>
      <c r="B446" t="inlineStr">
        <is>
          <t>samrådsanmälan</t>
        </is>
      </c>
      <c r="C446" t="inlineStr">
        <is>
          <t>Skogsgödsling</t>
        </is>
      </c>
      <c r="D446" s="1" t="n">
        <v>45012</v>
      </c>
      <c r="E446" s="1" t="n">
        <v>46304</v>
      </c>
      <c r="F446" t="inlineStr">
        <is>
          <t>NORRBOTTENS LÄN</t>
        </is>
      </c>
      <c r="G446" t="inlineStr">
        <is>
          <t>ARVIDSJAUR</t>
        </is>
      </c>
      <c r="I446" t="n">
        <v>28.9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3604-2023</t>
        </is>
      </c>
      <c r="B447" t="inlineStr">
        <is>
          <t>samrådsanmälan</t>
        </is>
      </c>
      <c r="C447" t="inlineStr">
        <is>
          <t>Annan skogsbruksåtgärd</t>
        </is>
      </c>
      <c r="D447" s="1" t="n">
        <v>45219</v>
      </c>
      <c r="E447" s="1" t="n">
        <v>46304</v>
      </c>
      <c r="F447" t="inlineStr">
        <is>
          <t>NORRBOTTENS LÄN</t>
        </is>
      </c>
      <c r="G447" t="inlineStr">
        <is>
          <t>ARVIDSJAUR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1297-2024</t>
        </is>
      </c>
      <c r="B448" t="inlineStr">
        <is>
          <t>samrådsanmälan</t>
        </is>
      </c>
      <c r="C448" t="inlineStr">
        <is>
          <t>Skogsgödsling</t>
        </is>
      </c>
      <c r="D448" s="1" t="n">
        <v>45404</v>
      </c>
      <c r="E448" s="1" t="n">
        <v>46304</v>
      </c>
      <c r="F448" t="inlineStr">
        <is>
          <t>NORRBOTTENS LÄN</t>
        </is>
      </c>
      <c r="G448" t="inlineStr">
        <is>
          <t>ARVIDSJAUR</t>
        </is>
      </c>
      <c r="I448" t="n">
        <v>11.8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1355-2024</t>
        </is>
      </c>
      <c r="B449" t="inlineStr">
        <is>
          <t>samrådsanmälan</t>
        </is>
      </c>
      <c r="C449" t="inlineStr">
        <is>
          <t>Skogsgödsling</t>
        </is>
      </c>
      <c r="D449" s="1" t="n">
        <v>45408</v>
      </c>
      <c r="E449" s="1" t="n">
        <v>46304</v>
      </c>
      <c r="F449" t="inlineStr">
        <is>
          <t>NORRBOTTENS LÄN</t>
        </is>
      </c>
      <c r="G449" t="inlineStr">
        <is>
          <t>ARVIDSJAUR</t>
        </is>
      </c>
      <c r="I449" t="n">
        <v>28.4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2013-2024</t>
        </is>
      </c>
      <c r="B450" t="inlineStr">
        <is>
          <t>samrådsanmälan</t>
        </is>
      </c>
      <c r="C450" t="inlineStr">
        <is>
          <t>Skogsgödsling</t>
        </is>
      </c>
      <c r="D450" s="1" t="n">
        <v>45447</v>
      </c>
      <c r="E450" s="1" t="n">
        <v>46304</v>
      </c>
      <c r="F450" t="inlineStr">
        <is>
          <t>NORRBOTTENS LÄN</t>
        </is>
      </c>
      <c r="G450" t="inlineStr">
        <is>
          <t>ARVIDSJAUR</t>
        </is>
      </c>
      <c r="I450" t="n">
        <v>27.2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2026-2024</t>
        </is>
      </c>
      <c r="B451" t="inlineStr">
        <is>
          <t>samrådsanmälan</t>
        </is>
      </c>
      <c r="C451" t="inlineStr">
        <is>
          <t>Skogsgödsling</t>
        </is>
      </c>
      <c r="D451" s="1" t="n">
        <v>45448</v>
      </c>
      <c r="E451" s="1" t="n">
        <v>46304</v>
      </c>
      <c r="F451" t="inlineStr">
        <is>
          <t>NORRBOTTENS LÄN</t>
        </is>
      </c>
      <c r="G451" t="inlineStr">
        <is>
          <t>ARVIDSJAUR</t>
        </is>
      </c>
      <c r="I451" t="n">
        <v>17.5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1087-2023</t>
        </is>
      </c>
      <c r="B452" t="inlineStr">
        <is>
          <t>samrådsanmälan</t>
        </is>
      </c>
      <c r="C452" t="inlineStr">
        <is>
          <t>Skogsgödsling</t>
        </is>
      </c>
      <c r="D452" s="1" t="n">
        <v>45013</v>
      </c>
      <c r="E452" s="1" t="n">
        <v>46304</v>
      </c>
      <c r="F452" t="inlineStr">
        <is>
          <t>NORRBOTTENS LÄN</t>
        </is>
      </c>
      <c r="G452" t="inlineStr">
        <is>
          <t>ARVIDSJAUR</t>
        </is>
      </c>
      <c r="H452" t="inlineStr">
        <is>
          <t>SCA</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1398-2024</t>
        </is>
      </c>
      <c r="B453" t="inlineStr">
        <is>
          <t>samrådsanmälan</t>
        </is>
      </c>
      <c r="C453" t="inlineStr">
        <is>
          <t>Skogsgödsling</t>
        </is>
      </c>
      <c r="D453" s="1" t="n">
        <v>45412</v>
      </c>
      <c r="E453" s="1" t="n">
        <v>46304</v>
      </c>
      <c r="F453" t="inlineStr">
        <is>
          <t>NORRBOTTENS LÄN</t>
        </is>
      </c>
      <c r="G453" t="inlineStr">
        <is>
          <t>ARVIDSJAUR</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1449-2025</t>
        </is>
      </c>
      <c r="B454" t="inlineStr">
        <is>
          <t>samrådsanmälan</t>
        </is>
      </c>
      <c r="C454" t="inlineStr">
        <is>
          <t>Skogsgödsling</t>
        </is>
      </c>
      <c r="D454" s="1" t="n">
        <v>45785</v>
      </c>
      <c r="E454" s="1" t="n">
        <v>46304</v>
      </c>
      <c r="F454" t="inlineStr">
        <is>
          <t>NORRBOTTENS LÄN</t>
        </is>
      </c>
      <c r="G454" t="inlineStr">
        <is>
          <t>ARVIDSJAUR</t>
        </is>
      </c>
      <c r="I454" t="n">
        <v>19.7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1621-2025</t>
        </is>
      </c>
      <c r="B455" t="inlineStr">
        <is>
          <t>samrådsanmälan</t>
        </is>
      </c>
      <c r="C455" t="inlineStr">
        <is>
          <t>Skogsgödsling</t>
        </is>
      </c>
      <c r="D455" s="1" t="n">
        <v>45799</v>
      </c>
      <c r="E455" s="1" t="n">
        <v>46304</v>
      </c>
      <c r="F455" t="inlineStr">
        <is>
          <t>NORRBOTTENS LÄN</t>
        </is>
      </c>
      <c r="G455" t="inlineStr">
        <is>
          <t>ARVIDSJAUR</t>
        </is>
      </c>
      <c r="H455" t="inlineStr">
        <is>
          <t>Allmännings- och besparingsskogar</t>
        </is>
      </c>
      <c r="I455" t="n">
        <v>98.59999999999999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1630-2025</t>
        </is>
      </c>
      <c r="B456" t="inlineStr">
        <is>
          <t>samrådsanmälan</t>
        </is>
      </c>
      <c r="C456" t="inlineStr">
        <is>
          <t>Skogsgödsling</t>
        </is>
      </c>
      <c r="D456" s="1" t="n">
        <v>45799</v>
      </c>
      <c r="E456" s="1" t="n">
        <v>46304</v>
      </c>
      <c r="F456" t="inlineStr">
        <is>
          <t>NORRBOTTENS LÄN</t>
        </is>
      </c>
      <c r="G456" t="inlineStr">
        <is>
          <t>ARVIDSJAUR</t>
        </is>
      </c>
      <c r="H456" t="inlineStr">
        <is>
          <t>Allmännings- och besparingsskogar</t>
        </is>
      </c>
      <c r="I456" t="n">
        <v>47.3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1623-2025</t>
        </is>
      </c>
      <c r="B457" t="inlineStr">
        <is>
          <t>samrådsanmälan</t>
        </is>
      </c>
      <c r="C457" t="inlineStr">
        <is>
          <t>Skogsgödsling</t>
        </is>
      </c>
      <c r="D457" s="1" t="n">
        <v>45799</v>
      </c>
      <c r="E457" s="1" t="n">
        <v>46304</v>
      </c>
      <c r="F457" t="inlineStr">
        <is>
          <t>NORRBOTTENS LÄN</t>
        </is>
      </c>
      <c r="G457" t="inlineStr">
        <is>
          <t>ARVIDSJAUR</t>
        </is>
      </c>
      <c r="H457" t="inlineStr">
        <is>
          <t>Allmännings- och besparingsskogar</t>
        </is>
      </c>
      <c r="I457" t="n">
        <v>79.09999999999999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1624-2025</t>
        </is>
      </c>
      <c r="B458" t="inlineStr">
        <is>
          <t>samrådsanmälan</t>
        </is>
      </c>
      <c r="C458" t="inlineStr">
        <is>
          <t>Skogsgödsling</t>
        </is>
      </c>
      <c r="D458" s="1" t="n">
        <v>45799</v>
      </c>
      <c r="E458" s="1" t="n">
        <v>46304</v>
      </c>
      <c r="F458" t="inlineStr">
        <is>
          <t>NORRBOTTENS LÄN</t>
        </is>
      </c>
      <c r="G458" t="inlineStr">
        <is>
          <t>ARVIDSJAUR</t>
        </is>
      </c>
      <c r="H458" t="inlineStr">
        <is>
          <t>Allmännings- och besparingsskogar</t>
        </is>
      </c>
      <c r="I458" t="n">
        <v>93.3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2637-2025</t>
        </is>
      </c>
      <c r="B459" t="inlineStr">
        <is>
          <t>samrådsanmälan</t>
        </is>
      </c>
      <c r="C459" t="inlineStr">
        <is>
          <t>Annan skogsbruksåtgärd</t>
        </is>
      </c>
      <c r="D459" s="1" t="n">
        <v>45919</v>
      </c>
      <c r="E459" s="1" t="n">
        <v>46304</v>
      </c>
      <c r="F459" t="inlineStr">
        <is>
          <t>NORRBOTTENS LÄN</t>
        </is>
      </c>
      <c r="G459" t="inlineStr">
        <is>
          <t>ARVIDSJAUR</t>
        </is>
      </c>
      <c r="H459" t="inlineStr">
        <is>
          <t>Sveaskog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1310-2026</t>
        </is>
      </c>
      <c r="B460" t="inlineStr">
        <is>
          <t>samrådsanmälan</t>
        </is>
      </c>
      <c r="C460" t="inlineStr">
        <is>
          <t>Skogsgödsling</t>
        </is>
      </c>
      <c r="D460" s="1" t="n">
        <v>46146</v>
      </c>
      <c r="E460" s="1" t="n">
        <v>46304</v>
      </c>
      <c r="F460" t="inlineStr">
        <is>
          <t>NORRBOTTENS LÄN</t>
        </is>
      </c>
      <c r="G460" t="inlineStr">
        <is>
          <t>ARVIDSJAUR</t>
        </is>
      </c>
      <c r="I460" t="n">
        <v>15.9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1305-2026</t>
        </is>
      </c>
      <c r="B461" t="inlineStr">
        <is>
          <t>samrådsanmälan</t>
        </is>
      </c>
      <c r="C461" t="inlineStr">
        <is>
          <t>Skogsgödsling</t>
        </is>
      </c>
      <c r="D461" s="1" t="n">
        <v>46146</v>
      </c>
      <c r="E461" s="1" t="n">
        <v>46304</v>
      </c>
      <c r="F461" t="inlineStr">
        <is>
          <t>NORRBOTTENS LÄN</t>
        </is>
      </c>
      <c r="G461" t="inlineStr">
        <is>
          <t>ARVIDSJAUR</t>
        </is>
      </c>
      <c r="I461" t="n">
        <v>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1311-2026</t>
        </is>
      </c>
      <c r="B462" t="inlineStr">
        <is>
          <t>samrådsanmälan</t>
        </is>
      </c>
      <c r="C462" t="inlineStr">
        <is>
          <t>Skogsgödsling</t>
        </is>
      </c>
      <c r="D462" s="1" t="n">
        <v>46146</v>
      </c>
      <c r="E462" s="1" t="n">
        <v>46304</v>
      </c>
      <c r="F462" t="inlineStr">
        <is>
          <t>NORRBOTTENS LÄN</t>
        </is>
      </c>
      <c r="G462" t="inlineStr">
        <is>
          <t>ARVIDSJAUR</t>
        </is>
      </c>
      <c r="I462" t="n">
        <v>12.7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1306-2026</t>
        </is>
      </c>
      <c r="B463" t="inlineStr">
        <is>
          <t>samrådsanmälan</t>
        </is>
      </c>
      <c r="C463" t="inlineStr">
        <is>
          <t>Skogsgödsling</t>
        </is>
      </c>
      <c r="D463" s="1" t="n">
        <v>46146</v>
      </c>
      <c r="E463" s="1" t="n">
        <v>46304</v>
      </c>
      <c r="F463" t="inlineStr">
        <is>
          <t>NORRBOTTENS LÄN</t>
        </is>
      </c>
      <c r="G463" t="inlineStr">
        <is>
          <t>ARVIDSJAUR</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1290-2026</t>
        </is>
      </c>
      <c r="B464" t="inlineStr">
        <is>
          <t>samrådsanmälan</t>
        </is>
      </c>
      <c r="C464" t="inlineStr">
        <is>
          <t>Skogsgödsling</t>
        </is>
      </c>
      <c r="D464" s="1" t="n">
        <v>46146</v>
      </c>
      <c r="E464" s="1" t="n">
        <v>46304</v>
      </c>
      <c r="F464" t="inlineStr">
        <is>
          <t>NORRBOTTENS LÄN</t>
        </is>
      </c>
      <c r="G464" t="inlineStr">
        <is>
          <t>ARVIDSJAUR</t>
        </is>
      </c>
      <c r="I464" t="n">
        <v>30.5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1236-2026</t>
        </is>
      </c>
      <c r="B465" t="inlineStr">
        <is>
          <t>samrådsanmälan</t>
        </is>
      </c>
      <c r="C465" t="inlineStr">
        <is>
          <t>Skogsgödsling</t>
        </is>
      </c>
      <c r="D465" s="1" t="n">
        <v>46146</v>
      </c>
      <c r="E465" s="1" t="n">
        <v>46304</v>
      </c>
      <c r="F465" t="inlineStr">
        <is>
          <t>NORRBOTTENS LÄN</t>
        </is>
      </c>
      <c r="G465" t="inlineStr">
        <is>
          <t>ARVIDSJAUR</t>
        </is>
      </c>
      <c r="I465" t="n">
        <v>14.4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1343-2026</t>
        </is>
      </c>
      <c r="B466" t="inlineStr">
        <is>
          <t>samrådsanmälan</t>
        </is>
      </c>
      <c r="C466" t="inlineStr">
        <is>
          <t>Skogsgödsling</t>
        </is>
      </c>
      <c r="D466" s="1" t="n">
        <v>46148</v>
      </c>
      <c r="E466" s="1" t="n">
        <v>46304</v>
      </c>
      <c r="F466" t="inlineStr">
        <is>
          <t>NORRBOTTENS LÄN</t>
        </is>
      </c>
      <c r="G466" t="inlineStr">
        <is>
          <t>ARVIDSJAUR</t>
        </is>
      </c>
      <c r="I466" t="n">
        <v>21.8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1337-2026</t>
        </is>
      </c>
      <c r="B467" t="inlineStr">
        <is>
          <t>samrådsanmälan</t>
        </is>
      </c>
      <c r="C467" t="inlineStr">
        <is>
          <t>Skogsgödsling</t>
        </is>
      </c>
      <c r="D467" s="1" t="n">
        <v>46148</v>
      </c>
      <c r="E467" s="1" t="n">
        <v>46304</v>
      </c>
      <c r="F467" t="inlineStr">
        <is>
          <t>NORRBOTTENS LÄN</t>
        </is>
      </c>
      <c r="G467" t="inlineStr">
        <is>
          <t>ARVIDSJAUR</t>
        </is>
      </c>
      <c r="H467" t="inlineStr">
        <is>
          <t>Övriga Aktiebolag</t>
        </is>
      </c>
      <c r="I467" t="n">
        <v>24.8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1342-2026</t>
        </is>
      </c>
      <c r="B468" t="inlineStr">
        <is>
          <t>samrådsanmälan</t>
        </is>
      </c>
      <c r="C468" t="inlineStr">
        <is>
          <t>Skogsgödsling</t>
        </is>
      </c>
      <c r="D468" s="1" t="n">
        <v>46148</v>
      </c>
      <c r="E468" s="1" t="n">
        <v>46304</v>
      </c>
      <c r="F468" t="inlineStr">
        <is>
          <t>NORRBOTTENS LÄN</t>
        </is>
      </c>
      <c r="G468" t="inlineStr">
        <is>
          <t>ARVIDSJAUR</t>
        </is>
      </c>
      <c r="H468" t="inlineStr">
        <is>
          <t>Övriga Aktiebolag</t>
        </is>
      </c>
      <c r="I468" t="n">
        <v>16.3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1359-2026</t>
        </is>
      </c>
      <c r="B469" t="inlineStr">
        <is>
          <t>samrådsanmälan</t>
        </is>
      </c>
      <c r="C469" t="inlineStr">
        <is>
          <t>Skogsgödsling</t>
        </is>
      </c>
      <c r="D469" s="1" t="n">
        <v>46149</v>
      </c>
      <c r="E469" s="1" t="n">
        <v>46304</v>
      </c>
      <c r="F469" t="inlineStr">
        <is>
          <t>NORRBOTTENS LÄN</t>
        </is>
      </c>
      <c r="G469" t="inlineStr">
        <is>
          <t>ARVIDSJAUR</t>
        </is>
      </c>
      <c r="I469" t="n">
        <v>65.59999999999999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1333-2026</t>
        </is>
      </c>
      <c r="B470" t="inlineStr">
        <is>
          <t>samrådsanmälan</t>
        </is>
      </c>
      <c r="C470" t="inlineStr">
        <is>
          <t>Skogsgödsling</t>
        </is>
      </c>
      <c r="D470" s="1" t="n">
        <v>46148</v>
      </c>
      <c r="E470" s="1" t="n">
        <v>46304</v>
      </c>
      <c r="F470" t="inlineStr">
        <is>
          <t>NORRBOTTENS LÄN</t>
        </is>
      </c>
      <c r="G470" t="inlineStr">
        <is>
          <t>ARVIDSJAUR</t>
        </is>
      </c>
      <c r="I470" t="n">
        <v>65.90000000000001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1782-2026</t>
        </is>
      </c>
      <c r="B471" t="inlineStr">
        <is>
          <t>samrådsanmälan</t>
        </is>
      </c>
      <c r="C471" t="inlineStr">
        <is>
          <t>Skogsgödsling</t>
        </is>
      </c>
      <c r="D471" s="1" t="n">
        <v>46167</v>
      </c>
      <c r="E471" s="1" t="n">
        <v>46304</v>
      </c>
      <c r="F471" t="inlineStr">
        <is>
          <t>NORRBOTTENS LÄN</t>
        </is>
      </c>
      <c r="G471" t="inlineStr">
        <is>
          <t>ARVIDSJAUR</t>
        </is>
      </c>
      <c r="I471" t="n">
        <v>25.2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1571-2026</t>
        </is>
      </c>
      <c r="B472" t="inlineStr">
        <is>
          <t>samrådsanmälan</t>
        </is>
      </c>
      <c r="C472" t="inlineStr">
        <is>
          <t>Skogsgödsling</t>
        </is>
      </c>
      <c r="D472" s="1" t="n">
        <v>46168</v>
      </c>
      <c r="E472" s="1" t="n">
        <v>46304</v>
      </c>
      <c r="F472" t="inlineStr">
        <is>
          <t>NORRBOTTENS LÄN</t>
        </is>
      </c>
      <c r="G472" t="inlineStr">
        <is>
          <t>ARVIDSJAUR</t>
        </is>
      </c>
      <c r="I472" t="n">
        <v>20.7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1563-2026</t>
        </is>
      </c>
      <c r="B473" t="inlineStr">
        <is>
          <t>samrådsanmälan</t>
        </is>
      </c>
      <c r="C473" t="inlineStr">
        <is>
          <t>Skogsgödsling</t>
        </is>
      </c>
      <c r="D473" s="1" t="n">
        <v>46168</v>
      </c>
      <c r="E473" s="1" t="n">
        <v>46304</v>
      </c>
      <c r="F473" t="inlineStr">
        <is>
          <t>NORRBOTTENS LÄN</t>
        </is>
      </c>
      <c r="G473" t="inlineStr">
        <is>
          <t>ARVIDSJAUR</t>
        </is>
      </c>
      <c r="I473" t="n">
        <v>37.3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1576-2026</t>
        </is>
      </c>
      <c r="B474" t="inlineStr">
        <is>
          <t>samrådsanmälan</t>
        </is>
      </c>
      <c r="C474" t="inlineStr">
        <is>
          <t>Skogsgödsling</t>
        </is>
      </c>
      <c r="D474" s="1" t="n">
        <v>46168</v>
      </c>
      <c r="E474" s="1" t="n">
        <v>46304</v>
      </c>
      <c r="F474" t="inlineStr">
        <is>
          <t>NORRBOTTENS LÄN</t>
        </is>
      </c>
      <c r="G474" t="inlineStr">
        <is>
          <t>ARVIDSJAUR</t>
        </is>
      </c>
      <c r="I474" t="n">
        <v>57.9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1569-2026</t>
        </is>
      </c>
      <c r="B475" t="inlineStr">
        <is>
          <t>samrådsanmälan</t>
        </is>
      </c>
      <c r="C475" t="inlineStr">
        <is>
          <t>Skogsgödsling</t>
        </is>
      </c>
      <c r="D475" s="1" t="n">
        <v>46168</v>
      </c>
      <c r="E475" s="1" t="n">
        <v>46304</v>
      </c>
      <c r="F475" t="inlineStr">
        <is>
          <t>NORRBOTTENS LÄN</t>
        </is>
      </c>
      <c r="G475" t="inlineStr">
        <is>
          <t>ARVIDSJAUR</t>
        </is>
      </c>
      <c r="I475" t="n">
        <v>30.4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1632-2026</t>
        </is>
      </c>
      <c r="B476" t="inlineStr">
        <is>
          <t>samrådsanmälan</t>
        </is>
      </c>
      <c r="C476" t="inlineStr">
        <is>
          <t>Skogsgödsling</t>
        </is>
      </c>
      <c r="D476" s="1" t="n">
        <v>46175</v>
      </c>
      <c r="E476" s="1" t="n">
        <v>46304</v>
      </c>
      <c r="F476" t="inlineStr">
        <is>
          <t>NORRBOTTENS LÄN</t>
        </is>
      </c>
      <c r="G476" t="inlineStr">
        <is>
          <t>ARVIDSJAUR</t>
        </is>
      </c>
      <c r="H476" t="inlineStr">
        <is>
          <t>Övriga Aktiebolag</t>
        </is>
      </c>
      <c r="I476" t="n">
        <v>55.2</v>
      </c>
      <c r="J476" t="n">
        <v>0</v>
      </c>
      <c r="K476" t="n">
        <v>0</v>
      </c>
      <c r="L476" t="n">
        <v>0</v>
      </c>
      <c r="M476" t="n">
        <v>0</v>
      </c>
      <c r="N476" t="n">
        <v>0</v>
      </c>
      <c r="O476" t="n">
        <v>0</v>
      </c>
      <c r="P476" t="n">
        <v>0</v>
      </c>
      <c r="Q476" t="n">
        <v>0</v>
      </c>
      <c r="R476" t="n">
        <v>0</v>
      </c>
      <c r="S476" t="n">
        <v>0</v>
      </c>
      <c r="T476" t="n">
        <v>0</v>
      </c>
      <c r="U476" t="n">
        <v>0</v>
      </c>
      <c r="V476" s="2" t="inlineStr"/>
    </row>
    <row r="477">
      <c r="A477" t="inlineStr">
        <is>
          <t>S 2030-2026</t>
        </is>
      </c>
      <c r="B477" t="inlineStr">
        <is>
          <t>samrådsanmälan</t>
        </is>
      </c>
      <c r="C477" t="inlineStr">
        <is>
          <t>Annan skogsbruksåtgärd</t>
        </is>
      </c>
      <c r="D477" s="1" t="n">
        <v>46211</v>
      </c>
      <c r="E477" s="1" t="n">
        <v>46304</v>
      </c>
      <c r="F477" t="inlineStr">
        <is>
          <t>NORRBOTTENS LÄN</t>
        </is>
      </c>
      <c r="G477" t="inlineStr">
        <is>
          <t>ARVIDSJAUR</t>
        </is>
      </c>
      <c r="I477" t="n">
        <v>0.5</v>
      </c>
      <c r="J477" t="n">
        <v>0</v>
      </c>
      <c r="K477" t="n">
        <v>0</v>
      </c>
      <c r="L477" t="n">
        <v>0</v>
      </c>
      <c r="M477" t="n">
        <v>0</v>
      </c>
      <c r="N477" t="n">
        <v>0</v>
      </c>
      <c r="O477" t="n">
        <v>0</v>
      </c>
      <c r="P477" t="n">
        <v>0</v>
      </c>
      <c r="Q477" t="n">
        <v>0</v>
      </c>
      <c r="R477" t="n">
        <v>0</v>
      </c>
      <c r="S477" t="n">
        <v>0</v>
      </c>
      <c r="T477" t="n">
        <v>0</v>
      </c>
      <c r="U477" t="n">
        <v>0</v>
      </c>
      <c r="V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2026-10-09T02:04:36Z</dcterms:created>
  <dcterms:modified xmlns:dcterms="http://purl.org/dc/terms/" xmlns:xsi="http://www.w3.org/2001/XMLSchema-instance" xsi:type="dcterms:W3CDTF">2026-10-09T02:04:36Z</dcterms:modified>
</cp:coreProperties>
</file>