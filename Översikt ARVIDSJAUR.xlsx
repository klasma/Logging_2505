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45739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45739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45739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45739</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45739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45739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45739</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45739</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45739</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45739</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45739</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45739</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45739</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45739</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45739</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45739</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45739</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45739</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45739</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45739</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45739</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45739</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45739</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45739</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45739</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45739</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45739</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45739</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45739</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HYPERLINK("https://klasma.github.io/Logging_2505/artfynd/A 11534-2025 artfynd.xlsx", "A 11534-2025")</f>
        <v/>
      </c>
      <c r="T30">
        <f>HYPERLINK("https://klasma.github.io/Logging_2505/kartor/A 11534-2025 karta.png", "A 11534-2025")</f>
        <v/>
      </c>
      <c r="V30">
        <f>HYPERLINK("https://klasma.github.io/Logging_2505/klagomål/A 11534-2025 FSC-klagomål.docx", "A 11534-2025")</f>
        <v/>
      </c>
      <c r="W30">
        <f>HYPERLINK("https://klasma.github.io/Logging_2505/klagomålsmail/A 11534-2025 FSC-klagomål mail.docx", "A 11534-2025")</f>
        <v/>
      </c>
      <c r="X30">
        <f>HYPERLINK("https://klasma.github.io/Logging_2505/tillsyn/A 11534-2025 tillsynsbegäran.docx", "A 11534-2025")</f>
        <v/>
      </c>
      <c r="Y30">
        <f>HYPERLINK("https://klasma.github.io/Logging_2505/tillsynsmail/A 11534-2025 tillsynsbegäran mail.docx", "A 11534-2025")</f>
        <v/>
      </c>
    </row>
    <row r="31" ht="15" customHeight="1">
      <c r="A31" t="inlineStr">
        <is>
          <t>A 31593-2020</t>
        </is>
      </c>
      <c r="B31" s="1" t="n">
        <v>44013</v>
      </c>
      <c r="C31" s="1" t="n">
        <v>45739</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45739</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45739</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45739</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45739</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HYPERLINK("https://klasma.github.io/Logging_2505/artfynd/A 11630-2025 artfynd.xlsx", "A 11630-2025")</f>
        <v/>
      </c>
      <c r="T35">
        <f>HYPERLINK("https://klasma.github.io/Logging_2505/kartor/A 11630-2025 karta.png", "A 11630-2025")</f>
        <v/>
      </c>
      <c r="V35">
        <f>HYPERLINK("https://klasma.github.io/Logging_2505/klagomål/A 11630-2025 FSC-klagomål.docx", "A 11630-2025")</f>
        <v/>
      </c>
      <c r="W35">
        <f>HYPERLINK("https://klasma.github.io/Logging_2505/klagomålsmail/A 11630-2025 FSC-klagomål mail.docx", "A 11630-2025")</f>
        <v/>
      </c>
      <c r="X35">
        <f>HYPERLINK("https://klasma.github.io/Logging_2505/tillsyn/A 11630-2025 tillsynsbegäran.docx", "A 11630-2025")</f>
        <v/>
      </c>
      <c r="Y35">
        <f>HYPERLINK("https://klasma.github.io/Logging_2505/tillsynsmail/A 11630-2025 tillsynsbegäran mail.docx", "A 11630-2025")</f>
        <v/>
      </c>
    </row>
    <row r="36" ht="15" customHeight="1">
      <c r="A36" t="inlineStr">
        <is>
          <t>A 33453-2022</t>
        </is>
      </c>
      <c r="B36" s="1" t="n">
        <v>44788</v>
      </c>
      <c r="C36" s="1" t="n">
        <v>45739</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45739</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45739</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45739</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45739</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45739</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HYPERLINK("https://klasma.github.io/Logging_2505/artfynd/A 11564-2025 artfynd.xlsx", "A 11564-2025")</f>
        <v/>
      </c>
      <c r="T41">
        <f>HYPERLINK("https://klasma.github.io/Logging_2505/kartor/A 11564-2025 karta.png", "A 11564-2025")</f>
        <v/>
      </c>
      <c r="V41">
        <f>HYPERLINK("https://klasma.github.io/Logging_2505/klagomål/A 11564-2025 FSC-klagomål.docx", "A 11564-2025")</f>
        <v/>
      </c>
      <c r="W41">
        <f>HYPERLINK("https://klasma.github.io/Logging_2505/klagomålsmail/A 11564-2025 FSC-klagomål mail.docx", "A 11564-2025")</f>
        <v/>
      </c>
      <c r="X41">
        <f>HYPERLINK("https://klasma.github.io/Logging_2505/tillsyn/A 11564-2025 tillsynsbegäran.docx", "A 11564-2025")</f>
        <v/>
      </c>
      <c r="Y41">
        <f>HYPERLINK("https://klasma.github.io/Logging_2505/tillsynsmail/A 11564-2025 tillsynsbegäran mail.docx", "A 11564-2025")</f>
        <v/>
      </c>
    </row>
    <row r="42" ht="15" customHeight="1">
      <c r="A42" t="inlineStr">
        <is>
          <t>A 43753-2019</t>
        </is>
      </c>
      <c r="B42" s="1" t="n">
        <v>43707</v>
      </c>
      <c r="C42" s="1" t="n">
        <v>45739</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45739</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45739</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45739</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45739</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45739</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45739</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45739</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HYPERLINK("https://klasma.github.io/Logging_2505/artfynd/A 11634-2025 artfynd.xlsx", "A 11634-2025")</f>
        <v/>
      </c>
      <c r="T49">
        <f>HYPERLINK("https://klasma.github.io/Logging_2505/kartor/A 11634-2025 karta.png", "A 11634-2025")</f>
        <v/>
      </c>
      <c r="V49">
        <f>HYPERLINK("https://klasma.github.io/Logging_2505/klagomål/A 11634-2025 FSC-klagomål.docx", "A 11634-2025")</f>
        <v/>
      </c>
      <c r="W49">
        <f>HYPERLINK("https://klasma.github.io/Logging_2505/klagomålsmail/A 11634-2025 FSC-klagomål mail.docx", "A 11634-2025")</f>
        <v/>
      </c>
      <c r="X49">
        <f>HYPERLINK("https://klasma.github.io/Logging_2505/tillsyn/A 11634-2025 tillsynsbegäran.docx", "A 11634-2025")</f>
        <v/>
      </c>
      <c r="Y49">
        <f>HYPERLINK("https://klasma.github.io/Logging_2505/tillsynsmail/A 11634-2025 tillsynsbegäran mail.docx", "A 11634-2025")</f>
        <v/>
      </c>
    </row>
    <row r="50" ht="15" customHeight="1">
      <c r="A50" t="inlineStr">
        <is>
          <t>A 18136-2019</t>
        </is>
      </c>
      <c r="B50" s="1" t="n">
        <v>43556</v>
      </c>
      <c r="C50" s="1" t="n">
        <v>45739</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45739</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45739</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45739</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45739</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45739</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45739</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45739</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45739</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45739</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45739</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45739</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45739</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45739</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45739</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45739</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45739</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45739</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45739</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45739</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45739</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45739</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45739</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45739</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45739</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45739</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45739</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45739</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45739</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45739</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45739</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45739</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45739</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45739</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45739</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45739</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45739</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45739</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45739</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45739</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45739</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45739</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45739</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45739</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45739</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45739</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45739</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45739</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45739</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45739</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45739</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45739</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45739</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45739</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45739</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45739</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45739</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45739</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45739</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45739</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45739</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45739</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45739</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45739</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45739</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45739</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45739</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45739</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45739</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45739</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45739</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45739</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45739</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45739</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45739</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45739</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45739</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45739</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45739</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45739</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45739</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45739</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45739</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45739</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45739</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45739</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45739</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45739</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45739</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45739</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45739</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45739</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45739</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45739</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45739</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45739</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45739</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45739</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45739</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45739</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45739</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45739</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45739</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45739</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45739</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45739</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45739</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45739</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45739</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45739</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45739</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45739</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45739</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45739</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45739</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45739</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45739</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45739</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45739</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45739</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45739</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45739</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45739</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45739</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45739</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45739</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45739</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45739</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45739</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45739</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45739</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45739</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45739</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45739</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45739</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45739</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45739</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45739</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45739</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45739</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45739</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45739</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45739</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45739</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45739</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45739</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45739</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45739</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45739</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45739</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45739</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45739</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45739</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45739</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45739</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45739</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45739</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45739</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45739</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45739</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45739</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45739</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45739</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45739</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45739</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45739</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45739</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45739</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45739</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45739</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45739</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45739</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45739</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45739</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45739</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45739</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45739</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45739</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45739</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45739</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45739</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45739</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45739</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45739</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45739</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45739</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45739</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45739</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45739</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45739</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45739</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45739</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45739</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45739</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45739</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45739</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45739</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45739</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45739</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45739</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45739</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45739</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45739</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45739</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45739</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45739</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45739</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45739</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45739</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45739</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45739</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45739</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45739</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45739</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45739</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45739</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45739</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45739</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45739</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45739</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45739</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45739</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45739</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45739</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45739</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45739</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45739</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45739</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45739</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45739</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45739</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45739</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45739</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45739</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45739</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45739</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45739</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45739</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45739</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45739</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45739</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45739</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45739</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45739</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45739</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45739</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45739</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45739</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45739</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45739</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45739</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45739</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45739</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45739</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45739</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45739</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45739</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45739</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45739</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45739</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45739</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45739</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45739</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45739</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45739</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45739</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45739</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45739</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45739</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45739</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45739</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45739</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45739</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45739</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45739</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45739</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45739</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45739</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45739</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45739</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45739</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45739</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45739</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45739</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45739</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45739</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45739</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45739</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45739</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45739</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45739</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45739</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45739</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45739</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45739</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45739</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45739</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45739</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45739</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45739</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45739</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45739</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45739</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45739</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45739</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45739</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45739</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45739</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45739</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45739</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45739</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45739</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45739</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45739</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45739</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45739</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45739</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45739</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45739</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45739</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45739</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45739</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45739</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45739</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45739</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45739</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45739</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45739</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45739</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45739</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45739</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45739</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45739</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45739</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45739</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45739</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45739</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45739</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45739</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45739</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45739</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45739</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45739</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45739</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45739</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45739</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45739</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45739</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45739</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45739</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45739</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45739</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45739</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45739</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45739</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45739</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45739</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45739</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45739</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45739</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45739</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45739</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45739</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45739</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45739</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45739</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45739</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45739</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45739</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45739</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45739</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45739</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45739</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45739</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45739</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45739</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45739</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45739</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45739</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45739</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45739</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45739</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45739</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45739</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45739</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45739</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45739</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45739</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45739</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45739</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45739</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45739</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45739</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45739</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45739</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45739</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45739</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45739</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45739</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45739</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45739</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45739</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45739</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45739</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45739</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45739</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45739</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45739</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45739</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45739</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45739</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45739</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45739</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45739</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45739</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45739</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45739</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45739</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45739</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45739</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45739</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45739</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45739</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45739</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45739</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45739</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45739</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45739</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45739</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45739</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45739</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45739</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45739</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45739</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45739</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45739</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45739</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45739</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45739</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45739</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45739</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45739</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45739</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45739</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45739</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45739</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45739</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45739</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45739</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45739</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45739</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45739</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45739</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45739</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45739</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45739</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45739</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45739</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45739</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45739</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45739</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45739</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45739</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45739</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45739</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45739</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45739</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45739</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45739</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45739</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45739</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45739</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45739</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45739</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45739</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45739</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45739</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45739</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45739</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45739</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45739</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45739</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45739</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45739</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45739</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45739</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45739</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45739</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45739</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45739</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45739</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45739</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45739</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45739</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45739</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45739</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45739</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45739</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45739</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45739</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45739</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45739</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45739</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45739</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45739</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45739</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45739</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45739</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45739</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45739</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45739</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45739</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45739</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45739</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45739</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45739</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45739</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45739</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45739</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45739</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45739</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45739</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45739</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45739</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45739</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45739</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45739</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45739</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45739</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45739</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45739</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45739</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45739</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45739</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45739</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45739</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45739</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45739</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45739</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45739</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45739</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45739</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45739</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45739</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45739</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45739</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45739</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45739</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45739</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45739</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45739</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45739</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45739</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45739</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45739</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45739</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45739</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45739</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45739</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45739</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45739</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45739</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45739</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45739</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45739</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45739</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45739</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45739</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45739</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45739</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45739</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45739</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45739</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45739</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45739</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45739</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45739</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45739</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45739</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45739</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45739</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45739</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45739</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45739</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45739</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45739</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45739</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45739</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45739</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45739</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45739</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45739</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45739</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45739</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45739</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45739</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45739</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45739</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45739</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45739</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45739</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45739</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45739</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45739</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45739</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45739</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45739</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45739</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45739</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45739</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45739</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45739</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45739</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45739</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45739</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45739</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45739</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45739</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45739</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45739</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45739</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45739</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45739</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45739</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45739</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45739</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45739</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45739</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45739</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45739</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45739</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45739</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45739</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45739</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45739</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45739</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45739</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45739</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10852-2025</t>
        </is>
      </c>
      <c r="B688" s="1" t="n">
        <v>45722</v>
      </c>
      <c r="C688" s="1" t="n">
        <v>45739</v>
      </c>
      <c r="D688" t="inlineStr">
        <is>
          <t>NORRBOTTENS LÄN</t>
        </is>
      </c>
      <c r="E688" t="inlineStr">
        <is>
          <t>ARVIDSJAUR</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10851-2025</t>
        </is>
      </c>
      <c r="B689" s="1" t="n">
        <v>45722</v>
      </c>
      <c r="C689" s="1" t="n">
        <v>45739</v>
      </c>
      <c r="D689" t="inlineStr">
        <is>
          <t>NORRBOTTENS LÄN</t>
        </is>
      </c>
      <c r="E689" t="inlineStr">
        <is>
          <t>ARVIDSJAUR</t>
        </is>
      </c>
      <c r="G689" t="n">
        <v>2</v>
      </c>
      <c r="H689" t="n">
        <v>0</v>
      </c>
      <c r="I689" t="n">
        <v>0</v>
      </c>
      <c r="J689" t="n">
        <v>0</v>
      </c>
      <c r="K689" t="n">
        <v>0</v>
      </c>
      <c r="L689" t="n">
        <v>0</v>
      </c>
      <c r="M689" t="n">
        <v>0</v>
      </c>
      <c r="N689" t="n">
        <v>0</v>
      </c>
      <c r="O689" t="n">
        <v>0</v>
      </c>
      <c r="P689" t="n">
        <v>0</v>
      </c>
      <c r="Q689" t="n">
        <v>0</v>
      </c>
      <c r="R689" s="2" t="inlineStr"/>
    </row>
    <row r="690" ht="15" customHeight="1">
      <c r="A690" t="inlineStr">
        <is>
          <t>A 10832-2025</t>
        </is>
      </c>
      <c r="B690" s="1" t="n">
        <v>45722</v>
      </c>
      <c r="C690" s="1" t="n">
        <v>45739</v>
      </c>
      <c r="D690" t="inlineStr">
        <is>
          <t>NORRBOTTENS LÄN</t>
        </is>
      </c>
      <c r="E690" t="inlineStr">
        <is>
          <t>ARVIDSJAUR</t>
        </is>
      </c>
      <c r="G690" t="n">
        <v>1</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45739</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45739</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45739</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11494-2025</t>
        </is>
      </c>
      <c r="B694" s="1" t="n">
        <v>45726</v>
      </c>
      <c r="C694" s="1" t="n">
        <v>45739</v>
      </c>
      <c r="D694" t="inlineStr">
        <is>
          <t>NORRBOTTENS LÄN</t>
        </is>
      </c>
      <c r="E694" t="inlineStr">
        <is>
          <t>ARVIDSJAUR</t>
        </is>
      </c>
      <c r="F694" t="inlineStr">
        <is>
          <t>Allmännings- och besparingsskogar</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11591-2025</t>
        </is>
      </c>
      <c r="B695" s="1" t="n">
        <v>45726</v>
      </c>
      <c r="C695" s="1" t="n">
        <v>45739</v>
      </c>
      <c r="D695" t="inlineStr">
        <is>
          <t>NORRBOTTENS LÄN</t>
        </is>
      </c>
      <c r="E695" t="inlineStr">
        <is>
          <t>ARVIDSJAUR</t>
        </is>
      </c>
      <c r="F695" t="inlineStr">
        <is>
          <t>Allmännings- och besparingsskogar</t>
        </is>
      </c>
      <c r="G695" t="n">
        <v>10.9</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45739</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11538-2025</t>
        </is>
      </c>
      <c r="B697" s="1" t="n">
        <v>45726</v>
      </c>
      <c r="C697" s="1" t="n">
        <v>45739</v>
      </c>
      <c r="D697" t="inlineStr">
        <is>
          <t>NORRBOTTENS LÄN</t>
        </is>
      </c>
      <c r="E697" t="inlineStr">
        <is>
          <t>ARVIDSJAUR</t>
        </is>
      </c>
      <c r="F697" t="inlineStr">
        <is>
          <t>Allmännings- och besparingsskogar</t>
        </is>
      </c>
      <c r="G697" t="n">
        <v>15.3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45739</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11536-2025</t>
        </is>
      </c>
      <c r="B699" s="1" t="n">
        <v>45726</v>
      </c>
      <c r="C699" s="1" t="n">
        <v>45739</v>
      </c>
      <c r="D699" t="inlineStr">
        <is>
          <t>NORRBOTTENS LÄN</t>
        </is>
      </c>
      <c r="E699" t="inlineStr">
        <is>
          <t>ARVIDSJAUR</t>
        </is>
      </c>
      <c r="F699" t="inlineStr">
        <is>
          <t>Allmännings- och besparingsskogar</t>
        </is>
      </c>
      <c r="G699" t="n">
        <v>1.9</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45739</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11574-2025</t>
        </is>
      </c>
      <c r="B701" s="1" t="n">
        <v>45726</v>
      </c>
      <c r="C701" s="1" t="n">
        <v>45739</v>
      </c>
      <c r="D701" t="inlineStr">
        <is>
          <t>NORRBOTTENS LÄN</t>
        </is>
      </c>
      <c r="E701" t="inlineStr">
        <is>
          <t>ARVIDSJAUR</t>
        </is>
      </c>
      <c r="F701" t="inlineStr">
        <is>
          <t>Allmännings- och besparingsskogar</t>
        </is>
      </c>
      <c r="G701" t="n">
        <v>3.6</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45739</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11542-2025</t>
        </is>
      </c>
      <c r="B703" s="1" t="n">
        <v>45726</v>
      </c>
      <c r="C703" s="1" t="n">
        <v>45739</v>
      </c>
      <c r="D703" t="inlineStr">
        <is>
          <t>NORRBOTTENS LÄN</t>
        </is>
      </c>
      <c r="E703" t="inlineStr">
        <is>
          <t>ARVIDSJAUR</t>
        </is>
      </c>
      <c r="F703" t="inlineStr">
        <is>
          <t>Allmännings- och besparingsskogar</t>
        </is>
      </c>
      <c r="G703" t="n">
        <v>14.2</v>
      </c>
      <c r="H703" t="n">
        <v>0</v>
      </c>
      <c r="I703" t="n">
        <v>0</v>
      </c>
      <c r="J703" t="n">
        <v>0</v>
      </c>
      <c r="K703" t="n">
        <v>0</v>
      </c>
      <c r="L703" t="n">
        <v>0</v>
      </c>
      <c r="M703" t="n">
        <v>0</v>
      </c>
      <c r="N703" t="n">
        <v>0</v>
      </c>
      <c r="O703" t="n">
        <v>0</v>
      </c>
      <c r="P703" t="n">
        <v>0</v>
      </c>
      <c r="Q703" t="n">
        <v>0</v>
      </c>
      <c r="R703" s="2" t="inlineStr"/>
    </row>
    <row r="704" ht="15" customHeight="1">
      <c r="A704" t="inlineStr">
        <is>
          <t>A 11582-2025</t>
        </is>
      </c>
      <c r="B704" s="1" t="n">
        <v>45726</v>
      </c>
      <c r="C704" s="1" t="n">
        <v>45739</v>
      </c>
      <c r="D704" t="inlineStr">
        <is>
          <t>NORRBOTTENS LÄN</t>
        </is>
      </c>
      <c r="E704" t="inlineStr">
        <is>
          <t>ARVIDSJAUR</t>
        </is>
      </c>
      <c r="F704" t="inlineStr">
        <is>
          <t>Allmännings- och besparingsskogar</t>
        </is>
      </c>
      <c r="G704" t="n">
        <v>7.1</v>
      </c>
      <c r="H704" t="n">
        <v>0</v>
      </c>
      <c r="I704" t="n">
        <v>0</v>
      </c>
      <c r="J704" t="n">
        <v>0</v>
      </c>
      <c r="K704" t="n">
        <v>0</v>
      </c>
      <c r="L704" t="n">
        <v>0</v>
      </c>
      <c r="M704" t="n">
        <v>0</v>
      </c>
      <c r="N704" t="n">
        <v>0</v>
      </c>
      <c r="O704" t="n">
        <v>0</v>
      </c>
      <c r="P704" t="n">
        <v>0</v>
      </c>
      <c r="Q704" t="n">
        <v>0</v>
      </c>
      <c r="R704" s="2" t="inlineStr"/>
    </row>
    <row r="705" ht="15" customHeight="1">
      <c r="A705" t="inlineStr">
        <is>
          <t>A 11623-2025</t>
        </is>
      </c>
      <c r="B705" s="1" t="n">
        <v>45726</v>
      </c>
      <c r="C705" s="1" t="n">
        <v>45739</v>
      </c>
      <c r="D705" t="inlineStr">
        <is>
          <t>NORRBOTTENS LÄN</t>
        </is>
      </c>
      <c r="E705" t="inlineStr">
        <is>
          <t>ARVIDSJAUR</t>
        </is>
      </c>
      <c r="F705" t="inlineStr">
        <is>
          <t>Allmännings- och besparingsskogar</t>
        </is>
      </c>
      <c r="G705" t="n">
        <v>1.3</v>
      </c>
      <c r="H705" t="n">
        <v>0</v>
      </c>
      <c r="I705" t="n">
        <v>0</v>
      </c>
      <c r="J705" t="n">
        <v>0</v>
      </c>
      <c r="K705" t="n">
        <v>0</v>
      </c>
      <c r="L705" t="n">
        <v>0</v>
      </c>
      <c r="M705" t="n">
        <v>0</v>
      </c>
      <c r="N705" t="n">
        <v>0</v>
      </c>
      <c r="O705" t="n">
        <v>0</v>
      </c>
      <c r="P705" t="n">
        <v>0</v>
      </c>
      <c r="Q705" t="n">
        <v>0</v>
      </c>
      <c r="R705" s="2" t="inlineStr"/>
    </row>
    <row r="706" ht="15" customHeight="1">
      <c r="A706" t="inlineStr">
        <is>
          <t>A 11537-2025</t>
        </is>
      </c>
      <c r="B706" s="1" t="n">
        <v>45726</v>
      </c>
      <c r="C706" s="1" t="n">
        <v>45739</v>
      </c>
      <c r="D706" t="inlineStr">
        <is>
          <t>NORRBOTTENS LÄN</t>
        </is>
      </c>
      <c r="E706" t="inlineStr">
        <is>
          <t>ARVIDSJAUR</t>
        </is>
      </c>
      <c r="F706" t="inlineStr">
        <is>
          <t>Allmännings- och besparingsskogar</t>
        </is>
      </c>
      <c r="G706" t="n">
        <v>9.1</v>
      </c>
      <c r="H706" t="n">
        <v>0</v>
      </c>
      <c r="I706" t="n">
        <v>0</v>
      </c>
      <c r="J706" t="n">
        <v>0</v>
      </c>
      <c r="K706" t="n">
        <v>0</v>
      </c>
      <c r="L706" t="n">
        <v>0</v>
      </c>
      <c r="M706" t="n">
        <v>0</v>
      </c>
      <c r="N706" t="n">
        <v>0</v>
      </c>
      <c r="O706" t="n">
        <v>0</v>
      </c>
      <c r="P706" t="n">
        <v>0</v>
      </c>
      <c r="Q706" t="n">
        <v>0</v>
      </c>
      <c r="R706" s="2" t="inlineStr"/>
    </row>
    <row r="707" ht="15" customHeight="1">
      <c r="A707" t="inlineStr">
        <is>
          <t>A 11535-2025</t>
        </is>
      </c>
      <c r="B707" s="1" t="n">
        <v>45726</v>
      </c>
      <c r="C707" s="1" t="n">
        <v>45739</v>
      </c>
      <c r="D707" t="inlineStr">
        <is>
          <t>NORRBOTTENS LÄN</t>
        </is>
      </c>
      <c r="E707" t="inlineStr">
        <is>
          <t>ARVIDSJAUR</t>
        </is>
      </c>
      <c r="F707" t="inlineStr">
        <is>
          <t>Allmännings- och besparingsskogar</t>
        </is>
      </c>
      <c r="G707" t="n">
        <v>10.3</v>
      </c>
      <c r="H707" t="n">
        <v>0</v>
      </c>
      <c r="I707" t="n">
        <v>0</v>
      </c>
      <c r="J707" t="n">
        <v>0</v>
      </c>
      <c r="K707" t="n">
        <v>0</v>
      </c>
      <c r="L707" t="n">
        <v>0</v>
      </c>
      <c r="M707" t="n">
        <v>0</v>
      </c>
      <c r="N707" t="n">
        <v>0</v>
      </c>
      <c r="O707" t="n">
        <v>0</v>
      </c>
      <c r="P707" t="n">
        <v>0</v>
      </c>
      <c r="Q707" t="n">
        <v>0</v>
      </c>
      <c r="R707" s="2" t="inlineStr"/>
    </row>
    <row r="708" ht="15" customHeight="1">
      <c r="A708" t="inlineStr">
        <is>
          <t>A 11539-2025</t>
        </is>
      </c>
      <c r="B708" s="1" t="n">
        <v>45726</v>
      </c>
      <c r="C708" s="1" t="n">
        <v>45739</v>
      </c>
      <c r="D708" t="inlineStr">
        <is>
          <t>NORRBOTTENS LÄN</t>
        </is>
      </c>
      <c r="E708" t="inlineStr">
        <is>
          <t>ARVIDSJAUR</t>
        </is>
      </c>
      <c r="F708" t="inlineStr">
        <is>
          <t>Allmännings- och besparingsskogar</t>
        </is>
      </c>
      <c r="G708" t="n">
        <v>14.3</v>
      </c>
      <c r="H708" t="n">
        <v>0</v>
      </c>
      <c r="I708" t="n">
        <v>0</v>
      </c>
      <c r="J708" t="n">
        <v>0</v>
      </c>
      <c r="K708" t="n">
        <v>0</v>
      </c>
      <c r="L708" t="n">
        <v>0</v>
      </c>
      <c r="M708" t="n">
        <v>0</v>
      </c>
      <c r="N708" t="n">
        <v>0</v>
      </c>
      <c r="O708" t="n">
        <v>0</v>
      </c>
      <c r="P708" t="n">
        <v>0</v>
      </c>
      <c r="Q708" t="n">
        <v>0</v>
      </c>
      <c r="R708" s="2" t="inlineStr"/>
    </row>
    <row r="709" ht="15" customHeight="1">
      <c r="A709" t="inlineStr">
        <is>
          <t>A 11571-2025</t>
        </is>
      </c>
      <c r="B709" s="1" t="n">
        <v>45726</v>
      </c>
      <c r="C709" s="1" t="n">
        <v>45739</v>
      </c>
      <c r="D709" t="inlineStr">
        <is>
          <t>NORRBOTTENS LÄN</t>
        </is>
      </c>
      <c r="E709" t="inlineStr">
        <is>
          <t>ARVIDSJAUR</t>
        </is>
      </c>
      <c r="F709" t="inlineStr">
        <is>
          <t>Allmännings- och besparingsskogar</t>
        </is>
      </c>
      <c r="G709" t="n">
        <v>1.3</v>
      </c>
      <c r="H709" t="n">
        <v>0</v>
      </c>
      <c r="I709" t="n">
        <v>0</v>
      </c>
      <c r="J709" t="n">
        <v>0</v>
      </c>
      <c r="K709" t="n">
        <v>0</v>
      </c>
      <c r="L709" t="n">
        <v>0</v>
      </c>
      <c r="M709" t="n">
        <v>0</v>
      </c>
      <c r="N709" t="n">
        <v>0</v>
      </c>
      <c r="O709" t="n">
        <v>0</v>
      </c>
      <c r="P709" t="n">
        <v>0</v>
      </c>
      <c r="Q709" t="n">
        <v>0</v>
      </c>
      <c r="R709" s="2" t="inlineStr"/>
    </row>
    <row r="710" ht="15" customHeight="1">
      <c r="A710" t="inlineStr">
        <is>
          <t>A 11615-2025</t>
        </is>
      </c>
      <c r="B710" s="1" t="n">
        <v>45726</v>
      </c>
      <c r="C710" s="1" t="n">
        <v>45739</v>
      </c>
      <c r="D710" t="inlineStr">
        <is>
          <t>NORRBOTTENS LÄN</t>
        </is>
      </c>
      <c r="E710" t="inlineStr">
        <is>
          <t>ARVIDSJAUR</t>
        </is>
      </c>
      <c r="F710" t="inlineStr">
        <is>
          <t>Allmännings- och besparingsskogar</t>
        </is>
      </c>
      <c r="G710" t="n">
        <v>9.699999999999999</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45739</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11998-2025</t>
        </is>
      </c>
      <c r="B712" s="1" t="n">
        <v>45728</v>
      </c>
      <c r="C712" s="1" t="n">
        <v>45739</v>
      </c>
      <c r="D712" t="inlineStr">
        <is>
          <t>NORRBOTTENS LÄN</t>
        </is>
      </c>
      <c r="E712" t="inlineStr">
        <is>
          <t>ARVIDSJAUR</t>
        </is>
      </c>
      <c r="F712" t="inlineStr">
        <is>
          <t>Allmännings- och besparingsskogar</t>
        </is>
      </c>
      <c r="G712" t="n">
        <v>1.6</v>
      </c>
      <c r="H712" t="n">
        <v>0</v>
      </c>
      <c r="I712" t="n">
        <v>0</v>
      </c>
      <c r="J712" t="n">
        <v>0</v>
      </c>
      <c r="K712" t="n">
        <v>0</v>
      </c>
      <c r="L712" t="n">
        <v>0</v>
      </c>
      <c r="M712" t="n">
        <v>0</v>
      </c>
      <c r="N712" t="n">
        <v>0</v>
      </c>
      <c r="O712" t="n">
        <v>0</v>
      </c>
      <c r="P712" t="n">
        <v>0</v>
      </c>
      <c r="Q712" t="n">
        <v>0</v>
      </c>
      <c r="R712" s="2" t="inlineStr"/>
    </row>
    <row r="713">
      <c r="A713" t="inlineStr">
        <is>
          <t>A 12023-2025</t>
        </is>
      </c>
      <c r="B713" s="1" t="n">
        <v>45728</v>
      </c>
      <c r="C713" s="1" t="n">
        <v>45739</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2025-03-23T17:28:22Z</dcterms:created>
  <dcterms:modified xmlns:dcterms="http://purl.org/dc/terms/" xmlns:xsi="http://www.w3.org/2001/XMLSchema-instance" xsi:type="dcterms:W3CDTF">2025-03-23T17:28:23Z</dcterms:modified>
</cp:coreProperties>
</file>