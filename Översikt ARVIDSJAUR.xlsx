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45845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45845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45845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45845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45845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45845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45845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45845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31153-2025</t>
        </is>
      </c>
      <c r="B10" s="1" t="n">
        <v>45832</v>
      </c>
      <c r="C10" s="1" t="n">
        <v>45845</v>
      </c>
      <c r="D10" t="inlineStr">
        <is>
          <t>NORRBOTTENS LÄN</t>
        </is>
      </c>
      <c r="E10" t="inlineStr">
        <is>
          <t>ARVIDSJAUR</t>
        </is>
      </c>
      <c r="F10" t="inlineStr">
        <is>
          <t>Sveaskog</t>
        </is>
      </c>
      <c r="G10" t="n">
        <v>15.2</v>
      </c>
      <c r="H10" t="n">
        <v>5</v>
      </c>
      <c r="I10" t="n">
        <v>4</v>
      </c>
      <c r="J10" t="n">
        <v>11</v>
      </c>
      <c r="K10" t="n">
        <v>2</v>
      </c>
      <c r="L10" t="n">
        <v>0</v>
      </c>
      <c r="M10" t="n">
        <v>0</v>
      </c>
      <c r="N10" t="n">
        <v>0</v>
      </c>
      <c r="O10" t="n">
        <v>13</v>
      </c>
      <c r="P10" t="n">
        <v>2</v>
      </c>
      <c r="Q10" t="n">
        <v>20</v>
      </c>
      <c r="R1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10">
        <f>HYPERLINK("https://klasma.github.io/Logging_252505/artfynd/A 31153-2025 artfynd.xlsx", "A 31153-2025")</f>
        <v/>
      </c>
      <c r="T10">
        <f>HYPERLINK("https://klasma.github.io/Logging_252505/kartor/A 31153-2025 karta.png", "A 31153-2025")</f>
        <v/>
      </c>
      <c r="U10">
        <f>HYPERLINK("https://klasma.github.io/Logging_252505/knärot/A 31153-2025 karta knärot.png", "A 31153-2025")</f>
        <v/>
      </c>
      <c r="V10">
        <f>HYPERLINK("https://klasma.github.io/Logging_252505/klagomål/A 31153-2025 FSC-klagomål.docx", "A 31153-2025")</f>
        <v/>
      </c>
      <c r="W10">
        <f>HYPERLINK("https://klasma.github.io/Logging_252505/klagomålsmail/A 31153-2025 FSC-klagomål mail.docx", "A 31153-2025")</f>
        <v/>
      </c>
      <c r="X10">
        <f>HYPERLINK("https://klasma.github.io/Logging_252505/tillsyn/A 31153-2025 tillsynsbegäran.docx", "A 31153-2025")</f>
        <v/>
      </c>
      <c r="Y10">
        <f>HYPERLINK("https://klasma.github.io/Logging_252505/tillsynsmail/A 31153-2025 tillsynsbegäran mail.docx", "A 31153-2025")</f>
        <v/>
      </c>
      <c r="Z10">
        <f>HYPERLINK("https://klasma.github.io/Logging_252505/fåglar/A 31153-2025 prioriterade fågelarter.docx", "A 31153-2025")</f>
        <v/>
      </c>
    </row>
    <row r="11" ht="15" customHeight="1">
      <c r="A11" t="inlineStr">
        <is>
          <t>A 9860-2021</t>
        </is>
      </c>
      <c r="B11" s="1" t="n">
        <v>44252</v>
      </c>
      <c r="C11" s="1" t="n">
        <v>45845</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45845</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45845</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45845</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45845</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45845</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45845</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45845</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45845</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53150-2022</t>
        </is>
      </c>
      <c r="B20" s="1" t="n">
        <v>44876</v>
      </c>
      <c r="C20" s="1" t="n">
        <v>45845</v>
      </c>
      <c r="D20" t="inlineStr">
        <is>
          <t>NORRBOTTENS LÄN</t>
        </is>
      </c>
      <c r="E20" t="inlineStr">
        <is>
          <t>ARVIDSJAUR</t>
        </is>
      </c>
      <c r="F20" t="inlineStr">
        <is>
          <t>Sveaskog</t>
        </is>
      </c>
      <c r="G20" t="n">
        <v>2.5</v>
      </c>
      <c r="H20" t="n">
        <v>1</v>
      </c>
      <c r="I20" t="n">
        <v>1</v>
      </c>
      <c r="J20" t="n">
        <v>5</v>
      </c>
      <c r="K20" t="n">
        <v>3</v>
      </c>
      <c r="L20" t="n">
        <v>0</v>
      </c>
      <c r="M20" t="n">
        <v>0</v>
      </c>
      <c r="N20" t="n">
        <v>0</v>
      </c>
      <c r="O20" t="n">
        <v>8</v>
      </c>
      <c r="P20" t="n">
        <v>3</v>
      </c>
      <c r="Q20" t="n">
        <v>10</v>
      </c>
      <c r="R20" s="2" t="inlineStr">
        <is>
          <t>Smalfotad taggsvamp
Spadskinn
Tajgataggsvamp
Garnlav
Gränsticka
Talltaggsvamp
Tallticka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28793-2023</t>
        </is>
      </c>
      <c r="B21" s="1" t="n">
        <v>45104</v>
      </c>
      <c r="C21" s="1" t="n">
        <v>45845</v>
      </c>
      <c r="D21" t="inlineStr">
        <is>
          <t>NORRBOTTENS LÄN</t>
        </is>
      </c>
      <c r="E21" t="inlineStr">
        <is>
          <t>ARVIDSJAUR</t>
        </is>
      </c>
      <c r="F21" t="inlineStr">
        <is>
          <t>Övriga Aktiebolag</t>
        </is>
      </c>
      <c r="G21" t="n">
        <v>19</v>
      </c>
      <c r="H21" t="n">
        <v>1</v>
      </c>
      <c r="I21" t="n">
        <v>2</v>
      </c>
      <c r="J21" t="n">
        <v>8</v>
      </c>
      <c r="K21" t="n">
        <v>0</v>
      </c>
      <c r="L21" t="n">
        <v>0</v>
      </c>
      <c r="M21" t="n">
        <v>0</v>
      </c>
      <c r="N21" t="n">
        <v>0</v>
      </c>
      <c r="O21" t="n">
        <v>8</v>
      </c>
      <c r="P21" t="n">
        <v>0</v>
      </c>
      <c r="Q21" t="n">
        <v>10</v>
      </c>
      <c r="R21" s="2" t="inlineStr">
        <is>
          <t>Blå taggsvamp
Kolflarnlav
Motaggsvamp
Nordtagging
Orange taggsvamp
Skrovlig taggsvamp
Talltaggsvamp
Vedskivlav
Plattlummer
Skarp dropptaggsvamp</t>
        </is>
      </c>
      <c r="S21">
        <f>HYPERLINK("https://klasma.github.io/Logging_2505/artfynd/A 28793-2023 artfynd.xlsx", "A 28793-2023")</f>
        <v/>
      </c>
      <c r="T21">
        <f>HYPERLINK("https://klasma.github.io/Logging_2505/kartor/A 28793-2023 karta.png", "A 28793-2023")</f>
        <v/>
      </c>
      <c r="V21">
        <f>HYPERLINK("https://klasma.github.io/Logging_2505/klagomål/A 28793-2023 FSC-klagomål.docx", "A 28793-2023")</f>
        <v/>
      </c>
      <c r="W21">
        <f>HYPERLINK("https://klasma.github.io/Logging_2505/klagomålsmail/A 28793-2023 FSC-klagomål mail.docx", "A 28793-2023")</f>
        <v/>
      </c>
      <c r="X21">
        <f>HYPERLINK("https://klasma.github.io/Logging_2505/tillsyn/A 28793-2023 tillsynsbegäran.docx", "A 28793-2023")</f>
        <v/>
      </c>
      <c r="Y21">
        <f>HYPERLINK("https://klasma.github.io/Logging_2505/tillsynsmail/A 28793-2023 tillsynsbegäran mail.docx", "A 28793-2023")</f>
        <v/>
      </c>
    </row>
    <row r="22" ht="15" customHeight="1">
      <c r="A22" t="inlineStr">
        <is>
          <t>A 49168-2024</t>
        </is>
      </c>
      <c r="B22" s="1" t="n">
        <v>45595</v>
      </c>
      <c r="C22" s="1" t="n">
        <v>45845</v>
      </c>
      <c r="D22" t="inlineStr">
        <is>
          <t>NORRBOTTENS LÄN</t>
        </is>
      </c>
      <c r="E22" t="inlineStr">
        <is>
          <t>ARVIDSJAUR</t>
        </is>
      </c>
      <c r="F22" t="inlineStr">
        <is>
          <t>Sveaskog</t>
        </is>
      </c>
      <c r="G22" t="n">
        <v>25.4</v>
      </c>
      <c r="H22" t="n">
        <v>1</v>
      </c>
      <c r="I22" t="n">
        <v>1</v>
      </c>
      <c r="J22" t="n">
        <v>9</v>
      </c>
      <c r="K22" t="n">
        <v>0</v>
      </c>
      <c r="L22" t="n">
        <v>0</v>
      </c>
      <c r="M22" t="n">
        <v>0</v>
      </c>
      <c r="N22" t="n">
        <v>0</v>
      </c>
      <c r="O22" t="n">
        <v>9</v>
      </c>
      <c r="P22" t="n">
        <v>0</v>
      </c>
      <c r="Q22" t="n">
        <v>10</v>
      </c>
      <c r="R22" s="2" t="inlineStr">
        <is>
          <t>Gammelgransskål
Garnlav
Granticka
Harticka
Motaggsvamp
Rosenticka
Tallticka
Tretåig hackspett
Ullticka
Dropptaggsvamp</t>
        </is>
      </c>
      <c r="S22">
        <f>HYPERLINK("https://klasma.github.io/Logging_2505/artfynd/A 49168-2024 artfynd.xlsx", "A 49168-2024")</f>
        <v/>
      </c>
      <c r="T22">
        <f>HYPERLINK("https://klasma.github.io/Logging_2505/kartor/A 49168-2024 karta.png", "A 49168-2024")</f>
        <v/>
      </c>
      <c r="V22">
        <f>HYPERLINK("https://klasma.github.io/Logging_2505/klagomål/A 49168-2024 FSC-klagomål.docx", "A 49168-2024")</f>
        <v/>
      </c>
      <c r="W22">
        <f>HYPERLINK("https://klasma.github.io/Logging_2505/klagomålsmail/A 49168-2024 FSC-klagomål mail.docx", "A 49168-2024")</f>
        <v/>
      </c>
      <c r="X22">
        <f>HYPERLINK("https://klasma.github.io/Logging_2505/tillsyn/A 49168-2024 tillsynsbegäran.docx", "A 49168-2024")</f>
        <v/>
      </c>
      <c r="Y22">
        <f>HYPERLINK("https://klasma.github.io/Logging_2505/tillsynsmail/A 49168-2024 tillsynsbegäran mail.docx", "A 49168-2024")</f>
        <v/>
      </c>
      <c r="Z22">
        <f>HYPERLINK("https://klasma.github.io/Logging_2505/fåglar/A 49168-2024 prioriterade fågelarter.docx", "A 49168-2024")</f>
        <v/>
      </c>
    </row>
    <row r="23" ht="15" customHeight="1">
      <c r="A23" t="inlineStr">
        <is>
          <t>A 35247-2022</t>
        </is>
      </c>
      <c r="B23" s="1" t="n">
        <v>44797</v>
      </c>
      <c r="C23" s="1" t="n">
        <v>45845</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45845</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45845</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45845</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45845</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45845</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45845</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45845</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45845</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45845</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45845</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45845</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45845</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45845</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45845</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45845</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45845</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45845</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45845</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45845</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45845</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45845</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45845</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45845</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45845</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45845</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45845</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45845</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45845</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45845</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45845</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45845</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45845</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45845</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45845</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45845</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45845</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45845</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45845</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45845</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45845</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45845</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45845</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45845</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45845</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45845</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45845</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45845</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45845</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45845</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45845</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45845</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45845</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45845</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45845</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45845</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45845</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45845</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45845</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45845</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45845</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45845</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45845</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45845</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45845</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45845</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45845</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45845</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45845</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45845</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45845</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45845</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45845</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45845</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45845</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45845</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45845</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45845</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45845</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45845</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45845</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45845</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45845</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45845</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45845</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45845</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45845</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45845</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45845</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45845</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45845</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45845</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45845</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45845</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45845</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45845</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45845</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45845</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45845</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45845</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45845</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45845</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45845</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45845</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45845</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45845</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45845</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45845</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45845</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45845</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45845</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45845</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45845</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45845</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45845</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45845</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45845</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45845</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45845</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45845</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45845</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45845</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45845</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45845</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45845</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45845</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45845</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45845</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45845</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45845</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45845</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45845</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45845</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45845</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45845</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45845</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45845</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45845</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45845</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45845</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45845</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45845</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45845</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45845</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45845</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45845</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45845</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45845</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45845</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45845</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45845</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45845</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45845</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45845</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45845</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45845</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45845</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45845</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45845</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45845</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45845</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45845</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45845</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45845</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45845</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45845</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45845</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45845</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45845</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45845</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45845</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45845</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45845</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45845</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45845</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45845</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45845</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45845</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45845</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45845</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45845</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45845</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45845</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45845</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45845</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45845</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45845</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45845</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45845</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45845</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45845</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45845</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45845</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45845</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45845</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45845</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45845</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45845</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45845</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45845</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45845</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45845</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45845</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45845</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45845</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45845</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45845</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45845</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45845</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45845</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45845</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45845</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45845</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45845</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45845</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45845</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45845</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45845</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45845</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45845</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45845</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45845</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45845</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45845</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45845</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45845</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45845</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45845</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45845</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45845</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45845</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45845</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45845</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45845</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45845</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45845</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45845</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45845</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45845</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45845</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45845</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45845</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45845</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45845</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45845</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45845</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45845</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45845</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45845</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45845</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45845</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45845</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45845</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45845</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45845</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45845</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45845</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45845</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45845</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45845</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45845</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45845</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45845</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45845</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45845</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45845</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45845</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45845</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45845</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45845</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45845</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45845</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45845</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45845</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45845</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45845</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45845</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45845</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45845</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45845</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45845</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45845</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45845</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45845</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45845</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45845</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45845</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45845</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45845</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45845</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45845</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45845</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45845</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45845</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45845</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45845</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45845</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45845</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45845</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45845</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45845</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45845</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45845</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45845</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45845</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45845</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45845</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45845</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45845</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45845</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45845</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45845</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45845</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45845</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45845</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45845</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45845</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45845</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45845</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45845</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45845</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45845</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45845</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45845</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45845</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45845</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45845</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45845</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45845</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45845</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45845</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45845</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45845</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45845</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45845</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45845</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45845</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45845</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45845</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45845</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45845</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45845</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45845</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45845</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45845</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45845</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45845</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45845</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45845</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45845</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45845</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45845</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45845</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45845</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45845</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45845</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45845</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45845</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45845</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45845</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45845</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45845</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45845</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45845</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45845</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45845</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45845</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45845</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45845</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45845</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45845</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45845</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45845</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45845</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45845</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45845</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45845</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45845</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45845</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45845</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45845</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45845</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45845</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45845</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45845</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45845</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45845</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45845</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45845</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45845</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45845</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45845</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45845</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45845</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45845</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45845</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45845</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45845</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45845</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45845</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45845</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45845</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45845</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45845</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45845</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45845</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45845</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45845</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45845</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45845</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45845</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45845</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45845</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45845</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45845</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45845</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45845</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45845</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45845</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45845</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45845</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45845</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45845</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45845</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45845</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45845</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45845</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45845</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45845</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45845</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45845</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45845</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45845</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45845</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45845</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45845</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45845</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45845</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45845</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45845</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45845</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45845</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45845</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45845</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45845</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45845</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45845</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45845</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45845</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45845</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45845</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45845</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45845</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45845</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45845</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45845</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45845</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45845</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45845</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45845</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45845</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45845</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45845</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45845</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45845</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45845</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45845</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45845</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45845</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45845</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45845</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45845</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45845</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45845</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45845</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45845</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45845</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45845</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45845</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45845</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45845</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45845</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45845</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45845</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45845</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45845</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45845</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45845</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45845</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45845</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45845</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45845</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45845</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45845</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45845</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45845</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45845</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45845</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45845</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45845</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45845</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45845</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45845</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45845</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45845</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45845</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45845</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45845</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45845</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45845</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45845</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45845</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45845</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45845</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45845</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45845</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45845</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45845</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45845</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45845</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45845</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45845</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45845</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45845</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45845</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45845</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45845</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45845</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45845</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45845</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45845</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45845</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45845</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45845</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45845</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45845</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45845</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45845</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45845</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45845</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45845</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45845</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45845</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45845</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45845</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45845</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45845</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45845</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45845</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45845</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45845</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45845</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45845</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45845</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45845</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45845</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45845</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45845</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45845</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45845</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45845</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45845</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45845</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45845</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45845</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45845</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45845</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45845</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45845</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45845</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45845</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45845</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45845</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45845</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45845</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45845</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45845</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45845</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45845</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45845</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45845</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45845</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45845</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45845</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45845</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45845</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45845</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45845</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45845</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45845</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45845</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45845</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45845</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45845</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45845</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45845</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45845</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45845</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45845</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45845</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45845</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45845</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45845</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45845</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45845</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45845</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45845</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45845</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45845</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45845</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45845</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45845</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45845</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45845</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45845</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45845</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45845</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45845</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45845</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45845</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45845</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45845</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45845</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45845</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45845</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45845</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45845</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45845</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45845</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45845</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45845</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45845</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45845</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45845</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45845</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45845</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45845</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45845</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45845</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45845</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45845</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45845</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45845</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45845</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45845</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45845</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45845</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45845</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45845</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45845</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45845</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45845</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45845</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45845</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45845</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45845</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45845</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45845</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45845</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45845</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45845</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45845</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45845</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45845</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45845</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45845</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45845</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45845</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45845</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45845</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45845</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45845</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45845</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45845</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45845</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45845</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45845</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45845</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45845</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45845</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45845</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45845</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45845</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45845</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45845</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45845</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45845</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45845</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45845</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45845</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45845</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45845</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45845</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45845</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45845</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45845</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45845</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45845</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45845</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45845</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45845</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45845</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45845</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45845</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45845</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45845</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45845</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45845</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45845</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45845</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28353-2025</t>
        </is>
      </c>
      <c r="B733" s="1" t="n">
        <v>45818</v>
      </c>
      <c r="C733" s="1" t="n">
        <v>45845</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28356-2025</t>
        </is>
      </c>
      <c r="B734" s="1" t="n">
        <v>45818</v>
      </c>
      <c r="C734" s="1" t="n">
        <v>45845</v>
      </c>
      <c r="D734" t="inlineStr">
        <is>
          <t>NORRBOTTENS LÄN</t>
        </is>
      </c>
      <c r="E734" t="inlineStr">
        <is>
          <t>ARVIDSJAUR</t>
        </is>
      </c>
      <c r="G734" t="n">
        <v>1.1</v>
      </c>
      <c r="H734" t="n">
        <v>0</v>
      </c>
      <c r="I734" t="n">
        <v>0</v>
      </c>
      <c r="J734" t="n">
        <v>0</v>
      </c>
      <c r="K734" t="n">
        <v>0</v>
      </c>
      <c r="L734" t="n">
        <v>0</v>
      </c>
      <c r="M734" t="n">
        <v>0</v>
      </c>
      <c r="N734" t="n">
        <v>0</v>
      </c>
      <c r="O734" t="n">
        <v>0</v>
      </c>
      <c r="P734" t="n">
        <v>0</v>
      </c>
      <c r="Q734" t="n">
        <v>0</v>
      </c>
      <c r="R734" s="2" t="inlineStr"/>
    </row>
    <row r="735" ht="15" customHeight="1">
      <c r="A735" t="inlineStr">
        <is>
          <t>A 28352-2025</t>
        </is>
      </c>
      <c r="B735" s="1" t="n">
        <v>45818</v>
      </c>
      <c r="C735" s="1" t="n">
        <v>45845</v>
      </c>
      <c r="D735" t="inlineStr">
        <is>
          <t>NORRBOTTENS LÄN</t>
        </is>
      </c>
      <c r="E735" t="inlineStr">
        <is>
          <t>ARVIDSJAUR</t>
        </is>
      </c>
      <c r="G735" t="n">
        <v>7.5</v>
      </c>
      <c r="H735" t="n">
        <v>0</v>
      </c>
      <c r="I735" t="n">
        <v>0</v>
      </c>
      <c r="J735" t="n">
        <v>0</v>
      </c>
      <c r="K735" t="n">
        <v>0</v>
      </c>
      <c r="L735" t="n">
        <v>0</v>
      </c>
      <c r="M735" t="n">
        <v>0</v>
      </c>
      <c r="N735" t="n">
        <v>0</v>
      </c>
      <c r="O735" t="n">
        <v>0</v>
      </c>
      <c r="P735" t="n">
        <v>0</v>
      </c>
      <c r="Q735" t="n">
        <v>0</v>
      </c>
      <c r="R735" s="2" t="inlineStr"/>
    </row>
    <row r="736" ht="15" customHeight="1">
      <c r="A736" t="inlineStr">
        <is>
          <t>A 28357-2025</t>
        </is>
      </c>
      <c r="B736" s="1" t="n">
        <v>45818</v>
      </c>
      <c r="C736" s="1" t="n">
        <v>45845</v>
      </c>
      <c r="D736" t="inlineStr">
        <is>
          <t>NORRBOTTENS LÄN</t>
        </is>
      </c>
      <c r="E736" t="inlineStr">
        <is>
          <t>ARVIDSJAUR</t>
        </is>
      </c>
      <c r="G736" t="n">
        <v>0.9</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45845</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45845</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45845</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45845</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29518-2025</t>
        </is>
      </c>
      <c r="B741" s="1" t="n">
        <v>45825</v>
      </c>
      <c r="C741" s="1" t="n">
        <v>45845</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row r="742" ht="15" customHeight="1">
      <c r="A742" t="inlineStr">
        <is>
          <t>A 29514-2025</t>
        </is>
      </c>
      <c r="B742" s="1" t="n">
        <v>45825</v>
      </c>
      <c r="C742" s="1" t="n">
        <v>45845</v>
      </c>
      <c r="D742" t="inlineStr">
        <is>
          <t>NORRBOTTENS LÄN</t>
        </is>
      </c>
      <c r="E742" t="inlineStr">
        <is>
          <t>ARVIDSJAUR</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29504-2025</t>
        </is>
      </c>
      <c r="B743" s="1" t="n">
        <v>45825</v>
      </c>
      <c r="C743" s="1" t="n">
        <v>45845</v>
      </c>
      <c r="D743" t="inlineStr">
        <is>
          <t>NORRBOTTENS LÄN</t>
        </is>
      </c>
      <c r="E743" t="inlineStr">
        <is>
          <t>ARVIDSJAUR</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45845</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45845</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33222-2025</t>
        </is>
      </c>
      <c r="B746" s="1" t="n">
        <v>45840</v>
      </c>
      <c r="C746" s="1" t="n">
        <v>45845</v>
      </c>
      <c r="D746" t="inlineStr">
        <is>
          <t>NORRBOTTENS LÄN</t>
        </is>
      </c>
      <c r="E746" t="inlineStr">
        <is>
          <t>ARVIDSJAUR</t>
        </is>
      </c>
      <c r="F746" t="inlineStr">
        <is>
          <t>Sveaskog</t>
        </is>
      </c>
      <c r="G746" t="n">
        <v>6.5</v>
      </c>
      <c r="H746" t="n">
        <v>0</v>
      </c>
      <c r="I746" t="n">
        <v>0</v>
      </c>
      <c r="J746" t="n">
        <v>0</v>
      </c>
      <c r="K746" t="n">
        <v>0</v>
      </c>
      <c r="L746" t="n">
        <v>0</v>
      </c>
      <c r="M746" t="n">
        <v>0</v>
      </c>
      <c r="N746" t="n">
        <v>0</v>
      </c>
      <c r="O746" t="n">
        <v>0</v>
      </c>
      <c r="P746" t="n">
        <v>0</v>
      </c>
      <c r="Q746" t="n">
        <v>0</v>
      </c>
      <c r="R746" s="2" t="inlineStr"/>
    </row>
    <row r="747" ht="15" customHeight="1">
      <c r="A747" t="inlineStr">
        <is>
          <t>A 33174-2025</t>
        </is>
      </c>
      <c r="B747" s="1" t="n">
        <v>45840</v>
      </c>
      <c r="C747" s="1" t="n">
        <v>45845</v>
      </c>
      <c r="D747" t="inlineStr">
        <is>
          <t>NORRBOTTENS LÄN</t>
        </is>
      </c>
      <c r="E747" t="inlineStr">
        <is>
          <t>ARVIDSJAUR</t>
        </is>
      </c>
      <c r="F747" t="inlineStr">
        <is>
          <t>Sveaskog</t>
        </is>
      </c>
      <c r="G747" t="n">
        <v>26.3</v>
      </c>
      <c r="H747" t="n">
        <v>0</v>
      </c>
      <c r="I747" t="n">
        <v>0</v>
      </c>
      <c r="J747" t="n">
        <v>0</v>
      </c>
      <c r="K747" t="n">
        <v>0</v>
      </c>
      <c r="L747" t="n">
        <v>0</v>
      </c>
      <c r="M747" t="n">
        <v>0</v>
      </c>
      <c r="N747" t="n">
        <v>0</v>
      </c>
      <c r="O747" t="n">
        <v>0</v>
      </c>
      <c r="P747" t="n">
        <v>0</v>
      </c>
      <c r="Q747" t="n">
        <v>0</v>
      </c>
      <c r="R747" s="2" t="inlineStr"/>
    </row>
    <row r="748" ht="15" customHeight="1">
      <c r="A748" t="inlineStr">
        <is>
          <t>A 32990-2025</t>
        </is>
      </c>
      <c r="B748" s="1" t="n">
        <v>45840</v>
      </c>
      <c r="C748" s="1" t="n">
        <v>45845</v>
      </c>
      <c r="D748" t="inlineStr">
        <is>
          <t>NORRBOTTENS LÄN</t>
        </is>
      </c>
      <c r="E748" t="inlineStr">
        <is>
          <t>ARVIDSJAUR</t>
        </is>
      </c>
      <c r="G748" t="n">
        <v>3</v>
      </c>
      <c r="H748" t="n">
        <v>0</v>
      </c>
      <c r="I748" t="n">
        <v>0</v>
      </c>
      <c r="J748" t="n">
        <v>0</v>
      </c>
      <c r="K748" t="n">
        <v>0</v>
      </c>
      <c r="L748" t="n">
        <v>0</v>
      </c>
      <c r="M748" t="n">
        <v>0</v>
      </c>
      <c r="N748" t="n">
        <v>0</v>
      </c>
      <c r="O748" t="n">
        <v>0</v>
      </c>
      <c r="P748" t="n">
        <v>0</v>
      </c>
      <c r="Q748" t="n">
        <v>0</v>
      </c>
      <c r="R748" s="2" t="inlineStr"/>
    </row>
    <row r="749">
      <c r="A749" t="inlineStr">
        <is>
          <t>A 33302-2025</t>
        </is>
      </c>
      <c r="B749" s="1" t="n">
        <v>45841</v>
      </c>
      <c r="C749" s="1" t="n">
        <v>45845</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2025-07-07T19:39:37Z</dcterms:created>
  <dcterms:modified xmlns:dcterms="http://purl.org/dc/terms/" xmlns:xsi="http://www.w3.org/2001/XMLSchema-instance" xsi:type="dcterms:W3CDTF">2025-07-07T19:39:37Z</dcterms:modified>
</cp:coreProperties>
</file>