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45881</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45881</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45881</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45881</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45881</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45881</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45881</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45881</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45881</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45881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45881</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20996-2025</t>
        </is>
      </c>
      <c r="B20" s="1" t="n">
        <v>45777</v>
      </c>
      <c r="C20" s="1" t="n">
        <v>45881</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45881</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45881</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45881</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45881</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45881</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45881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45881</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45881</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45881</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38166-2023</t>
        </is>
      </c>
      <c r="B32" s="1" t="n">
        <v>45161</v>
      </c>
      <c r="C32" s="1" t="n">
        <v>45881</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54539-2024</t>
        </is>
      </c>
      <c r="B33" s="1" t="n">
        <v>45617</v>
      </c>
      <c r="C33" s="1" t="n">
        <v>45881</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57043-2024</t>
        </is>
      </c>
      <c r="B34" s="1" t="n">
        <v>45629.32916666667</v>
      </c>
      <c r="C34" s="1" t="n">
        <v>45881</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45386-2024</t>
        </is>
      </c>
      <c r="B35" s="1" t="n">
        <v>45576.53655092593</v>
      </c>
      <c r="C35" s="1" t="n">
        <v>45881</v>
      </c>
      <c r="D35" t="inlineStr">
        <is>
          <t>NORRBOTTENS LÄN</t>
        </is>
      </c>
      <c r="E35" t="inlineStr">
        <is>
          <t>ARVIDSJAUR</t>
        </is>
      </c>
      <c r="F35" t="inlineStr">
        <is>
          <t>Sveaskog</t>
        </is>
      </c>
      <c r="G35" t="n">
        <v>11.9</v>
      </c>
      <c r="H35" t="n">
        <v>0</v>
      </c>
      <c r="I35" t="n">
        <v>1</v>
      </c>
      <c r="J35" t="n">
        <v>0</v>
      </c>
      <c r="K35" t="n">
        <v>0</v>
      </c>
      <c r="L35" t="n">
        <v>0</v>
      </c>
      <c r="M35" t="n">
        <v>0</v>
      </c>
      <c r="N35" t="n">
        <v>0</v>
      </c>
      <c r="O35" t="n">
        <v>0</v>
      </c>
      <c r="P35" t="n">
        <v>0</v>
      </c>
      <c r="Q35" t="n">
        <v>1</v>
      </c>
      <c r="R35" s="2" t="inlineStr">
        <is>
          <t>Dropptaggsvamp</t>
        </is>
      </c>
      <c r="S35">
        <f>HYPERLINK("https://klasma.github.io/Logging_2505/artfynd/A 45386-2024 artfynd.xlsx", "A 45386-2024")</f>
        <v/>
      </c>
      <c r="T35">
        <f>HYPERLINK("https://klasma.github.io/Logging_2505/kartor/A 45386-2024 karta.png", "A 45386-2024")</f>
        <v/>
      </c>
      <c r="V35">
        <f>HYPERLINK("https://klasma.github.io/Logging_2505/klagomål/A 45386-2024 FSC-klagomål.docx", "A 45386-2024")</f>
        <v/>
      </c>
      <c r="W35">
        <f>HYPERLINK("https://klasma.github.io/Logging_2505/klagomålsmail/A 45386-2024 FSC-klagomål mail.docx", "A 45386-2024")</f>
        <v/>
      </c>
      <c r="X35">
        <f>HYPERLINK("https://klasma.github.io/Logging_2505/tillsyn/A 45386-2024 tillsynsbegäran.docx", "A 45386-2024")</f>
        <v/>
      </c>
      <c r="Y35">
        <f>HYPERLINK("https://klasma.github.io/Logging_2505/tillsynsmail/A 45386-2024 tillsynsbegäran mail.docx", "A 45386-2024")</f>
        <v/>
      </c>
    </row>
    <row r="36" ht="15" customHeight="1">
      <c r="A36" t="inlineStr">
        <is>
          <t>A 32599-2024</t>
        </is>
      </c>
      <c r="B36" s="1" t="n">
        <v>45513</v>
      </c>
      <c r="C36" s="1" t="n">
        <v>45881</v>
      </c>
      <c r="D36" t="inlineStr">
        <is>
          <t>NORRBOTTENS LÄN</t>
        </is>
      </c>
      <c r="E36" t="inlineStr">
        <is>
          <t>ARVIDSJAUR</t>
        </is>
      </c>
      <c r="F36" t="inlineStr">
        <is>
          <t>Sveaskog</t>
        </is>
      </c>
      <c r="G36" t="n">
        <v>12.2</v>
      </c>
      <c r="H36" t="n">
        <v>0</v>
      </c>
      <c r="I36" t="n">
        <v>0</v>
      </c>
      <c r="J36" t="n">
        <v>1</v>
      </c>
      <c r="K36" t="n">
        <v>0</v>
      </c>
      <c r="L36" t="n">
        <v>0</v>
      </c>
      <c r="M36" t="n">
        <v>0</v>
      </c>
      <c r="N36" t="n">
        <v>0</v>
      </c>
      <c r="O36" t="n">
        <v>1</v>
      </c>
      <c r="P36" t="n">
        <v>0</v>
      </c>
      <c r="Q36" t="n">
        <v>1</v>
      </c>
      <c r="R36" s="2" t="inlineStr">
        <is>
          <t>Lunglav</t>
        </is>
      </c>
      <c r="S36">
        <f>HYPERLINK("https://klasma.github.io/Logging_2505/artfynd/A 32599-2024 artfynd.xlsx", "A 32599-2024")</f>
        <v/>
      </c>
      <c r="T36">
        <f>HYPERLINK("https://klasma.github.io/Logging_2505/kartor/A 32599-2024 karta.png", "A 32599-2024")</f>
        <v/>
      </c>
      <c r="V36">
        <f>HYPERLINK("https://klasma.github.io/Logging_2505/klagomål/A 32599-2024 FSC-klagomål.docx", "A 32599-2024")</f>
        <v/>
      </c>
      <c r="W36">
        <f>HYPERLINK("https://klasma.github.io/Logging_2505/klagomålsmail/A 32599-2024 FSC-klagomål mail.docx", "A 32599-2024")</f>
        <v/>
      </c>
      <c r="X36">
        <f>HYPERLINK("https://klasma.github.io/Logging_2505/tillsyn/A 32599-2024 tillsynsbegäran.docx", "A 32599-2024")</f>
        <v/>
      </c>
      <c r="Y36">
        <f>HYPERLINK("https://klasma.github.io/Logging_2505/tillsynsmail/A 32599-2024 tillsynsbegäran mail.docx", "A 32599-2024")</f>
        <v/>
      </c>
    </row>
    <row r="37" ht="15" customHeight="1">
      <c r="A37" t="inlineStr">
        <is>
          <t>A 48368-2024</t>
        </is>
      </c>
      <c r="B37" s="1" t="n">
        <v>45590.57829861111</v>
      </c>
      <c r="C37" s="1" t="n">
        <v>45881</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29314-2023</t>
        </is>
      </c>
      <c r="B38" s="1" t="n">
        <v>45105</v>
      </c>
      <c r="C38" s="1" t="n">
        <v>45881</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45881</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22837-2021</t>
        </is>
      </c>
      <c r="B40" s="1" t="n">
        <v>44326</v>
      </c>
      <c r="C40" s="1" t="n">
        <v>45881</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45881</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45881</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45881</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45881</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45881</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45881</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45881</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45881</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45881</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45881</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45881</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45881</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45881</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45881</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45881</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45881</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45881</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45881</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45881</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45881</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45881</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45881</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45881</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45881</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45881</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73782-2021</t>
        </is>
      </c>
      <c r="B66" s="1" t="n">
        <v>44552</v>
      </c>
      <c r="C66" s="1" t="n">
        <v>45881</v>
      </c>
      <c r="D66" t="inlineStr">
        <is>
          <t>NORRBOTTENS LÄN</t>
        </is>
      </c>
      <c r="E66" t="inlineStr">
        <is>
          <t>ARVIDSJAUR</t>
        </is>
      </c>
      <c r="F66" t="inlineStr">
        <is>
          <t>Sveaskog</t>
        </is>
      </c>
      <c r="G66" t="n">
        <v>5.5</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45881</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45881</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45881</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45881</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45881</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45881</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71695-2021</t>
        </is>
      </c>
      <c r="B73" s="1" t="n">
        <v>44543.43594907408</v>
      </c>
      <c r="C73" s="1" t="n">
        <v>45881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36581-2021</t>
        </is>
      </c>
      <c r="B74" s="1" t="n">
        <v>44391</v>
      </c>
      <c r="C74" s="1" t="n">
        <v>45881</v>
      </c>
      <c r="D74" t="inlineStr">
        <is>
          <t>NORRBOTTENS LÄN</t>
        </is>
      </c>
      <c r="E74" t="inlineStr">
        <is>
          <t>ARVIDSJAUR</t>
        </is>
      </c>
      <c r="G74" t="n">
        <v>0.9</v>
      </c>
      <c r="H74" t="n">
        <v>0</v>
      </c>
      <c r="I74" t="n">
        <v>0</v>
      </c>
      <c r="J74" t="n">
        <v>0</v>
      </c>
      <c r="K74" t="n">
        <v>0</v>
      </c>
      <c r="L74" t="n">
        <v>0</v>
      </c>
      <c r="M74" t="n">
        <v>0</v>
      </c>
      <c r="N74" t="n">
        <v>0</v>
      </c>
      <c r="O74" t="n">
        <v>0</v>
      </c>
      <c r="P74" t="n">
        <v>0</v>
      </c>
      <c r="Q74" t="n">
        <v>0</v>
      </c>
      <c r="R74" s="2" t="inlineStr"/>
    </row>
    <row r="75" ht="15" customHeight="1">
      <c r="A75" t="inlineStr">
        <is>
          <t>A 58002-2021</t>
        </is>
      </c>
      <c r="B75" s="1" t="n">
        <v>44487</v>
      </c>
      <c r="C75" s="1" t="n">
        <v>45881</v>
      </c>
      <c r="D75" t="inlineStr">
        <is>
          <t>NORRBOTTENS LÄN</t>
        </is>
      </c>
      <c r="E75" t="inlineStr">
        <is>
          <t>ARVIDSJAUR</t>
        </is>
      </c>
      <c r="F75" t="inlineStr">
        <is>
          <t>Sveaskog</t>
        </is>
      </c>
      <c r="G75" t="n">
        <v>1.5</v>
      </c>
      <c r="H75" t="n">
        <v>0</v>
      </c>
      <c r="I75" t="n">
        <v>0</v>
      </c>
      <c r="J75" t="n">
        <v>0</v>
      </c>
      <c r="K75" t="n">
        <v>0</v>
      </c>
      <c r="L75" t="n">
        <v>0</v>
      </c>
      <c r="M75" t="n">
        <v>0</v>
      </c>
      <c r="N75" t="n">
        <v>0</v>
      </c>
      <c r="O75" t="n">
        <v>0</v>
      </c>
      <c r="P75" t="n">
        <v>0</v>
      </c>
      <c r="Q75" t="n">
        <v>0</v>
      </c>
      <c r="R75" s="2" t="inlineStr"/>
    </row>
    <row r="76" ht="15" customHeight="1">
      <c r="A76" t="inlineStr">
        <is>
          <t>A 46904-2020</t>
        </is>
      </c>
      <c r="B76" s="1" t="n">
        <v>44089</v>
      </c>
      <c r="C76" s="1" t="n">
        <v>45881</v>
      </c>
      <c r="D76" t="inlineStr">
        <is>
          <t>NORRBOTTENS LÄN</t>
        </is>
      </c>
      <c r="E76" t="inlineStr">
        <is>
          <t>ARVIDSJAUR</t>
        </is>
      </c>
      <c r="G76" t="n">
        <v>1.7</v>
      </c>
      <c r="H76" t="n">
        <v>0</v>
      </c>
      <c r="I76" t="n">
        <v>0</v>
      </c>
      <c r="J76" t="n">
        <v>0</v>
      </c>
      <c r="K76" t="n">
        <v>0</v>
      </c>
      <c r="L76" t="n">
        <v>0</v>
      </c>
      <c r="M76" t="n">
        <v>0</v>
      </c>
      <c r="N76" t="n">
        <v>0</v>
      </c>
      <c r="O76" t="n">
        <v>0</v>
      </c>
      <c r="P76" t="n">
        <v>0</v>
      </c>
      <c r="Q76" t="n">
        <v>0</v>
      </c>
      <c r="R76" s="2" t="inlineStr"/>
    </row>
    <row r="77" ht="15" customHeight="1">
      <c r="A77" t="inlineStr">
        <is>
          <t>A 34477-2022</t>
        </is>
      </c>
      <c r="B77" s="1" t="n">
        <v>44792.64452546297</v>
      </c>
      <c r="C77" s="1" t="n">
        <v>45881</v>
      </c>
      <c r="D77" t="inlineStr">
        <is>
          <t>NORRBOTTENS LÄN</t>
        </is>
      </c>
      <c r="E77" t="inlineStr">
        <is>
          <t>ARVIDSJAUR</t>
        </is>
      </c>
      <c r="F77" t="inlineStr">
        <is>
          <t>Sveaskog</t>
        </is>
      </c>
      <c r="G77" t="n">
        <v>8.1</v>
      </c>
      <c r="H77" t="n">
        <v>0</v>
      </c>
      <c r="I77" t="n">
        <v>0</v>
      </c>
      <c r="J77" t="n">
        <v>0</v>
      </c>
      <c r="K77" t="n">
        <v>0</v>
      </c>
      <c r="L77" t="n">
        <v>0</v>
      </c>
      <c r="M77" t="n">
        <v>0</v>
      </c>
      <c r="N77" t="n">
        <v>0</v>
      </c>
      <c r="O77" t="n">
        <v>0</v>
      </c>
      <c r="P77" t="n">
        <v>0</v>
      </c>
      <c r="Q77" t="n">
        <v>0</v>
      </c>
      <c r="R77" s="2" t="inlineStr"/>
    </row>
    <row r="78" ht="15" customHeight="1">
      <c r="A78" t="inlineStr">
        <is>
          <t>A 69576-2021</t>
        </is>
      </c>
      <c r="B78" s="1" t="n">
        <v>44532</v>
      </c>
      <c r="C78" s="1" t="n">
        <v>45881</v>
      </c>
      <c r="D78" t="inlineStr">
        <is>
          <t>NORRBOTTENS LÄN</t>
        </is>
      </c>
      <c r="E78" t="inlineStr">
        <is>
          <t>ARVIDSJAUR</t>
        </is>
      </c>
      <c r="F78" t="inlineStr">
        <is>
          <t>Övriga Aktiebolag</t>
        </is>
      </c>
      <c r="G78" t="n">
        <v>4.5</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45881</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26223-2022</t>
        </is>
      </c>
      <c r="B80" s="1" t="n">
        <v>44735</v>
      </c>
      <c r="C80" s="1" t="n">
        <v>45881</v>
      </c>
      <c r="D80" t="inlineStr">
        <is>
          <t>NORRBOTTENS LÄN</t>
        </is>
      </c>
      <c r="E80" t="inlineStr">
        <is>
          <t>ARVIDSJAUR</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10648-2022</t>
        </is>
      </c>
      <c r="B81" s="1" t="n">
        <v>44624</v>
      </c>
      <c r="C81" s="1" t="n">
        <v>45881</v>
      </c>
      <c r="D81" t="inlineStr">
        <is>
          <t>NORRBOTTENS LÄN</t>
        </is>
      </c>
      <c r="E81" t="inlineStr">
        <is>
          <t>ARVIDSJAUR</t>
        </is>
      </c>
      <c r="G81" t="n">
        <v>4.7</v>
      </c>
      <c r="H81" t="n">
        <v>0</v>
      </c>
      <c r="I81" t="n">
        <v>0</v>
      </c>
      <c r="J81" t="n">
        <v>0</v>
      </c>
      <c r="K81" t="n">
        <v>0</v>
      </c>
      <c r="L81" t="n">
        <v>0</v>
      </c>
      <c r="M81" t="n">
        <v>0</v>
      </c>
      <c r="N81" t="n">
        <v>0</v>
      </c>
      <c r="O81" t="n">
        <v>0</v>
      </c>
      <c r="P81" t="n">
        <v>0</v>
      </c>
      <c r="Q81" t="n">
        <v>0</v>
      </c>
      <c r="R81" s="2" t="inlineStr"/>
    </row>
    <row r="82" ht="15" customHeight="1">
      <c r="A82" t="inlineStr">
        <is>
          <t>A 23575-2022</t>
        </is>
      </c>
      <c r="B82" s="1" t="n">
        <v>44721</v>
      </c>
      <c r="C82" s="1" t="n">
        <v>45881</v>
      </c>
      <c r="D82" t="inlineStr">
        <is>
          <t>NORRBOTTENS LÄN</t>
        </is>
      </c>
      <c r="E82" t="inlineStr">
        <is>
          <t>ARVIDSJAUR</t>
        </is>
      </c>
      <c r="F82" t="inlineStr">
        <is>
          <t>Övriga Aktiebolag</t>
        </is>
      </c>
      <c r="G82" t="n">
        <v>13.8</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45881</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45881</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27734-2022</t>
        </is>
      </c>
      <c r="B85" s="1" t="n">
        <v>44743</v>
      </c>
      <c r="C85" s="1" t="n">
        <v>45881</v>
      </c>
      <c r="D85" t="inlineStr">
        <is>
          <t>NORRBOTTENS LÄN</t>
        </is>
      </c>
      <c r="E85" t="inlineStr">
        <is>
          <t>ARVIDSJAUR</t>
        </is>
      </c>
      <c r="F85" t="inlineStr">
        <is>
          <t>Sveaskog</t>
        </is>
      </c>
      <c r="G85" t="n">
        <v>18.1</v>
      </c>
      <c r="H85" t="n">
        <v>0</v>
      </c>
      <c r="I85" t="n">
        <v>0</v>
      </c>
      <c r="J85" t="n">
        <v>0</v>
      </c>
      <c r="K85" t="n">
        <v>0</v>
      </c>
      <c r="L85" t="n">
        <v>0</v>
      </c>
      <c r="M85" t="n">
        <v>0</v>
      </c>
      <c r="N85" t="n">
        <v>0</v>
      </c>
      <c r="O85" t="n">
        <v>0</v>
      </c>
      <c r="P85" t="n">
        <v>0</v>
      </c>
      <c r="Q85" t="n">
        <v>0</v>
      </c>
      <c r="R85" s="2" t="inlineStr"/>
    </row>
    <row r="86" ht="15" customHeight="1">
      <c r="A86" t="inlineStr">
        <is>
          <t>A 27234-2022</t>
        </is>
      </c>
      <c r="B86" s="1" t="n">
        <v>44741</v>
      </c>
      <c r="C86" s="1" t="n">
        <v>45881</v>
      </c>
      <c r="D86" t="inlineStr">
        <is>
          <t>NORRBOTTENS LÄN</t>
        </is>
      </c>
      <c r="E86" t="inlineStr">
        <is>
          <t>ARVIDSJAUR</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45881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45881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45881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31446-2021</t>
        </is>
      </c>
      <c r="B90" s="1" t="n">
        <v>44369</v>
      </c>
      <c r="C90" s="1" t="n">
        <v>45881</v>
      </c>
      <c r="D90" t="inlineStr">
        <is>
          <t>NORRBOTTENS LÄN</t>
        </is>
      </c>
      <c r="E90" t="inlineStr">
        <is>
          <t>ARVIDSJAUR</t>
        </is>
      </c>
      <c r="F90" t="inlineStr">
        <is>
          <t>Sveaskog</t>
        </is>
      </c>
      <c r="G90" t="n">
        <v>5.7</v>
      </c>
      <c r="H90" t="n">
        <v>0</v>
      </c>
      <c r="I90" t="n">
        <v>0</v>
      </c>
      <c r="J90" t="n">
        <v>0</v>
      </c>
      <c r="K90" t="n">
        <v>0</v>
      </c>
      <c r="L90" t="n">
        <v>0</v>
      </c>
      <c r="M90" t="n">
        <v>0</v>
      </c>
      <c r="N90" t="n">
        <v>0</v>
      </c>
      <c r="O90" t="n">
        <v>0</v>
      </c>
      <c r="P90" t="n">
        <v>0</v>
      </c>
      <c r="Q90" t="n">
        <v>0</v>
      </c>
      <c r="R90" s="2" t="inlineStr"/>
    </row>
    <row r="91" ht="15" customHeight="1">
      <c r="A91" t="inlineStr">
        <is>
          <t>A 54842-2020</t>
        </is>
      </c>
      <c r="B91" s="1" t="n">
        <v>44126</v>
      </c>
      <c r="C91" s="1" t="n">
        <v>45881</v>
      </c>
      <c r="D91" t="inlineStr">
        <is>
          <t>NORRBOTTENS LÄN</t>
        </is>
      </c>
      <c r="E91" t="inlineStr">
        <is>
          <t>ARVIDSJAUR</t>
        </is>
      </c>
      <c r="G91" t="n">
        <v>4.1</v>
      </c>
      <c r="H91" t="n">
        <v>0</v>
      </c>
      <c r="I91" t="n">
        <v>0</v>
      </c>
      <c r="J91" t="n">
        <v>0</v>
      </c>
      <c r="K91" t="n">
        <v>0</v>
      </c>
      <c r="L91" t="n">
        <v>0</v>
      </c>
      <c r="M91" t="n">
        <v>0</v>
      </c>
      <c r="N91" t="n">
        <v>0</v>
      </c>
      <c r="O91" t="n">
        <v>0</v>
      </c>
      <c r="P91" t="n">
        <v>0</v>
      </c>
      <c r="Q91" t="n">
        <v>0</v>
      </c>
      <c r="R91" s="2" t="inlineStr"/>
    </row>
    <row r="92" ht="15" customHeight="1">
      <c r="A92" t="inlineStr">
        <is>
          <t>A 40357-2021</t>
        </is>
      </c>
      <c r="B92" s="1" t="n">
        <v>44419</v>
      </c>
      <c r="C92" s="1" t="n">
        <v>45881</v>
      </c>
      <c r="D92" t="inlineStr">
        <is>
          <t>NORRBOTTENS LÄN</t>
        </is>
      </c>
      <c r="E92" t="inlineStr">
        <is>
          <t>ARVIDSJAUR</t>
        </is>
      </c>
      <c r="G92" t="n">
        <v>4.3</v>
      </c>
      <c r="H92" t="n">
        <v>0</v>
      </c>
      <c r="I92" t="n">
        <v>0</v>
      </c>
      <c r="J92" t="n">
        <v>0</v>
      </c>
      <c r="K92" t="n">
        <v>0</v>
      </c>
      <c r="L92" t="n">
        <v>0</v>
      </c>
      <c r="M92" t="n">
        <v>0</v>
      </c>
      <c r="N92" t="n">
        <v>0</v>
      </c>
      <c r="O92" t="n">
        <v>0</v>
      </c>
      <c r="P92" t="n">
        <v>0</v>
      </c>
      <c r="Q92" t="n">
        <v>0</v>
      </c>
      <c r="R92" s="2" t="inlineStr"/>
    </row>
    <row r="93" ht="15" customHeight="1">
      <c r="A93" t="inlineStr">
        <is>
          <t>A 23588-2021</t>
        </is>
      </c>
      <c r="B93" s="1" t="n">
        <v>44334</v>
      </c>
      <c r="C93" s="1" t="n">
        <v>45881</v>
      </c>
      <c r="D93" t="inlineStr">
        <is>
          <t>NORRBOTTENS LÄN</t>
        </is>
      </c>
      <c r="E93" t="inlineStr">
        <is>
          <t>ARVIDSJAUR</t>
        </is>
      </c>
      <c r="G93" t="n">
        <v>0.6</v>
      </c>
      <c r="H93" t="n">
        <v>0</v>
      </c>
      <c r="I93" t="n">
        <v>0</v>
      </c>
      <c r="J93" t="n">
        <v>0</v>
      </c>
      <c r="K93" t="n">
        <v>0</v>
      </c>
      <c r="L93" t="n">
        <v>0</v>
      </c>
      <c r="M93" t="n">
        <v>0</v>
      </c>
      <c r="N93" t="n">
        <v>0</v>
      </c>
      <c r="O93" t="n">
        <v>0</v>
      </c>
      <c r="P93" t="n">
        <v>0</v>
      </c>
      <c r="Q93" t="n">
        <v>0</v>
      </c>
      <c r="R93" s="2" t="inlineStr"/>
    </row>
    <row r="94" ht="15" customHeight="1">
      <c r="A94" t="inlineStr">
        <is>
          <t>A 54609-2022</t>
        </is>
      </c>
      <c r="B94" s="1" t="n">
        <v>44883</v>
      </c>
      <c r="C94" s="1" t="n">
        <v>45881</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45881</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67384-2020</t>
        </is>
      </c>
      <c r="B96" s="1" t="n">
        <v>44179</v>
      </c>
      <c r="C96" s="1" t="n">
        <v>45881</v>
      </c>
      <c r="D96" t="inlineStr">
        <is>
          <t>NORRBOTTENS LÄN</t>
        </is>
      </c>
      <c r="E96" t="inlineStr">
        <is>
          <t>ARVIDSJAUR</t>
        </is>
      </c>
      <c r="G96" t="n">
        <v>3.1</v>
      </c>
      <c r="H96" t="n">
        <v>0</v>
      </c>
      <c r="I96" t="n">
        <v>0</v>
      </c>
      <c r="J96" t="n">
        <v>0</v>
      </c>
      <c r="K96" t="n">
        <v>0</v>
      </c>
      <c r="L96" t="n">
        <v>0</v>
      </c>
      <c r="M96" t="n">
        <v>0</v>
      </c>
      <c r="N96" t="n">
        <v>0</v>
      </c>
      <c r="O96" t="n">
        <v>0</v>
      </c>
      <c r="P96" t="n">
        <v>0</v>
      </c>
      <c r="Q96" t="n">
        <v>0</v>
      </c>
      <c r="R96" s="2" t="inlineStr"/>
    </row>
    <row r="97" ht="15" customHeight="1">
      <c r="A97" t="inlineStr">
        <is>
          <t>A 55164-2024</t>
        </is>
      </c>
      <c r="B97" s="1" t="n">
        <v>45621</v>
      </c>
      <c r="C97" s="1" t="n">
        <v>45881</v>
      </c>
      <c r="D97" t="inlineStr">
        <is>
          <t>NORRBOTTENS LÄN</t>
        </is>
      </c>
      <c r="E97" t="inlineStr">
        <is>
          <t>ARVIDSJAUR</t>
        </is>
      </c>
      <c r="G97" t="n">
        <v>21.1</v>
      </c>
      <c r="H97" t="n">
        <v>0</v>
      </c>
      <c r="I97" t="n">
        <v>0</v>
      </c>
      <c r="J97" t="n">
        <v>0</v>
      </c>
      <c r="K97" t="n">
        <v>0</v>
      </c>
      <c r="L97" t="n">
        <v>0</v>
      </c>
      <c r="M97" t="n">
        <v>0</v>
      </c>
      <c r="N97" t="n">
        <v>0</v>
      </c>
      <c r="O97" t="n">
        <v>0</v>
      </c>
      <c r="P97" t="n">
        <v>0</v>
      </c>
      <c r="Q97" t="n">
        <v>0</v>
      </c>
      <c r="R97" s="2" t="inlineStr"/>
    </row>
    <row r="98" ht="15" customHeight="1">
      <c r="A98" t="inlineStr">
        <is>
          <t>A 45391-2021</t>
        </is>
      </c>
      <c r="B98" s="1" t="n">
        <v>44440</v>
      </c>
      <c r="C98" s="1" t="n">
        <v>45881</v>
      </c>
      <c r="D98" t="inlineStr">
        <is>
          <t>NORRBOTTENS LÄN</t>
        </is>
      </c>
      <c r="E98" t="inlineStr">
        <is>
          <t>ARVIDSJAUR</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11538-2025</t>
        </is>
      </c>
      <c r="B99" s="1" t="n">
        <v>45726</v>
      </c>
      <c r="C99" s="1" t="n">
        <v>45881</v>
      </c>
      <c r="D99" t="inlineStr">
        <is>
          <t>NORRBOTTENS LÄN</t>
        </is>
      </c>
      <c r="E99" t="inlineStr">
        <is>
          <t>ARVIDSJAUR</t>
        </is>
      </c>
      <c r="F99" t="inlineStr">
        <is>
          <t>Allmännings- och besparingsskogar</t>
        </is>
      </c>
      <c r="G99" t="n">
        <v>15.3</v>
      </c>
      <c r="H99" t="n">
        <v>0</v>
      </c>
      <c r="I99" t="n">
        <v>0</v>
      </c>
      <c r="J99" t="n">
        <v>0</v>
      </c>
      <c r="K99" t="n">
        <v>0</v>
      </c>
      <c r="L99" t="n">
        <v>0</v>
      </c>
      <c r="M99" t="n">
        <v>0</v>
      </c>
      <c r="N99" t="n">
        <v>0</v>
      </c>
      <c r="O99" t="n">
        <v>0</v>
      </c>
      <c r="P99" t="n">
        <v>0</v>
      </c>
      <c r="Q99" t="n">
        <v>0</v>
      </c>
      <c r="R99" s="2" t="inlineStr"/>
    </row>
    <row r="100" ht="15" customHeight="1">
      <c r="A100" t="inlineStr">
        <is>
          <t>A 42798-2023</t>
        </is>
      </c>
      <c r="B100" s="1" t="n">
        <v>45182</v>
      </c>
      <c r="C100" s="1" t="n">
        <v>45881</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45881</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63638-2020</t>
        </is>
      </c>
      <c r="B102" s="1" t="n">
        <v>44162</v>
      </c>
      <c r="C102" s="1" t="n">
        <v>45881</v>
      </c>
      <c r="D102" t="inlineStr">
        <is>
          <t>NORRBOTTENS LÄN</t>
        </is>
      </c>
      <c r="E102" t="inlineStr">
        <is>
          <t>ARVIDSJAUR</t>
        </is>
      </c>
      <c r="G102" t="n">
        <v>5.1</v>
      </c>
      <c r="H102" t="n">
        <v>0</v>
      </c>
      <c r="I102" t="n">
        <v>0</v>
      </c>
      <c r="J102" t="n">
        <v>0</v>
      </c>
      <c r="K102" t="n">
        <v>0</v>
      </c>
      <c r="L102" t="n">
        <v>0</v>
      </c>
      <c r="M102" t="n">
        <v>0</v>
      </c>
      <c r="N102" t="n">
        <v>0</v>
      </c>
      <c r="O102" t="n">
        <v>0</v>
      </c>
      <c r="P102" t="n">
        <v>0</v>
      </c>
      <c r="Q102" t="n">
        <v>0</v>
      </c>
      <c r="R102" s="2" t="inlineStr"/>
    </row>
    <row r="103" ht="15" customHeight="1">
      <c r="A103" t="inlineStr">
        <is>
          <t>A 52646-2023</t>
        </is>
      </c>
      <c r="B103" s="1" t="n">
        <v>45225</v>
      </c>
      <c r="C103" s="1" t="n">
        <v>45881</v>
      </c>
      <c r="D103" t="inlineStr">
        <is>
          <t>NORRBOTTENS LÄN</t>
        </is>
      </c>
      <c r="E103" t="inlineStr">
        <is>
          <t>ARVIDSJAUR</t>
        </is>
      </c>
      <c r="G103" t="n">
        <v>1.2</v>
      </c>
      <c r="H103" t="n">
        <v>0</v>
      </c>
      <c r="I103" t="n">
        <v>0</v>
      </c>
      <c r="J103" t="n">
        <v>0</v>
      </c>
      <c r="K103" t="n">
        <v>0</v>
      </c>
      <c r="L103" t="n">
        <v>0</v>
      </c>
      <c r="M103" t="n">
        <v>0</v>
      </c>
      <c r="N103" t="n">
        <v>0</v>
      </c>
      <c r="O103" t="n">
        <v>0</v>
      </c>
      <c r="P103" t="n">
        <v>0</v>
      </c>
      <c r="Q103" t="n">
        <v>0</v>
      </c>
      <c r="R103" s="2" t="inlineStr"/>
    </row>
    <row r="104" ht="15" customHeight="1">
      <c r="A104" t="inlineStr">
        <is>
          <t>A 31453-2021</t>
        </is>
      </c>
      <c r="B104" s="1" t="n">
        <v>44369</v>
      </c>
      <c r="C104" s="1" t="n">
        <v>45881</v>
      </c>
      <c r="D104" t="inlineStr">
        <is>
          <t>NORRBOTTENS LÄN</t>
        </is>
      </c>
      <c r="E104" t="inlineStr">
        <is>
          <t>ARVIDSJAUR</t>
        </is>
      </c>
      <c r="F104" t="inlineStr">
        <is>
          <t>Sveaskog</t>
        </is>
      </c>
      <c r="G104" t="n">
        <v>11.3</v>
      </c>
      <c r="H104" t="n">
        <v>0</v>
      </c>
      <c r="I104" t="n">
        <v>0</v>
      </c>
      <c r="J104" t="n">
        <v>0</v>
      </c>
      <c r="K104" t="n">
        <v>0</v>
      </c>
      <c r="L104" t="n">
        <v>0</v>
      </c>
      <c r="M104" t="n">
        <v>0</v>
      </c>
      <c r="N104" t="n">
        <v>0</v>
      </c>
      <c r="O104" t="n">
        <v>0</v>
      </c>
      <c r="P104" t="n">
        <v>0</v>
      </c>
      <c r="Q104" t="n">
        <v>0</v>
      </c>
      <c r="R104" s="2" t="inlineStr"/>
    </row>
    <row r="105" ht="15" customHeight="1">
      <c r="A105" t="inlineStr">
        <is>
          <t>A 7084-2025</t>
        </is>
      </c>
      <c r="B105" s="1" t="n">
        <v>45701</v>
      </c>
      <c r="C105" s="1" t="n">
        <v>45881</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58942-2024</t>
        </is>
      </c>
      <c r="B106" s="1" t="n">
        <v>45636</v>
      </c>
      <c r="C106" s="1" t="n">
        <v>45881</v>
      </c>
      <c r="D106" t="inlineStr">
        <is>
          <t>NORRBOTTENS LÄN</t>
        </is>
      </c>
      <c r="E106" t="inlineStr">
        <is>
          <t>ARVIDSJAUR</t>
        </is>
      </c>
      <c r="F106" t="inlineStr">
        <is>
          <t>Sveaskog</t>
        </is>
      </c>
      <c r="G106" t="n">
        <v>5.9</v>
      </c>
      <c r="H106" t="n">
        <v>0</v>
      </c>
      <c r="I106" t="n">
        <v>0</v>
      </c>
      <c r="J106" t="n">
        <v>0</v>
      </c>
      <c r="K106" t="n">
        <v>0</v>
      </c>
      <c r="L106" t="n">
        <v>0</v>
      </c>
      <c r="M106" t="n">
        <v>0</v>
      </c>
      <c r="N106" t="n">
        <v>0</v>
      </c>
      <c r="O106" t="n">
        <v>0</v>
      </c>
      <c r="P106" t="n">
        <v>0</v>
      </c>
      <c r="Q106" t="n">
        <v>0</v>
      </c>
      <c r="R106" s="2" t="inlineStr"/>
    </row>
    <row r="107" ht="15" customHeight="1">
      <c r="A107" t="inlineStr">
        <is>
          <t>A 56495-2024</t>
        </is>
      </c>
      <c r="B107" s="1" t="n">
        <v>45625</v>
      </c>
      <c r="C107" s="1" t="n">
        <v>45881</v>
      </c>
      <c r="D107" t="inlineStr">
        <is>
          <t>NORRBOTTENS LÄN</t>
        </is>
      </c>
      <c r="E107" t="inlineStr">
        <is>
          <t>ARVIDSJAUR</t>
        </is>
      </c>
      <c r="G107" t="n">
        <v>14.1</v>
      </c>
      <c r="H107" t="n">
        <v>0</v>
      </c>
      <c r="I107" t="n">
        <v>0</v>
      </c>
      <c r="J107" t="n">
        <v>0</v>
      </c>
      <c r="K107" t="n">
        <v>0</v>
      </c>
      <c r="L107" t="n">
        <v>0</v>
      </c>
      <c r="M107" t="n">
        <v>0</v>
      </c>
      <c r="N107" t="n">
        <v>0</v>
      </c>
      <c r="O107" t="n">
        <v>0</v>
      </c>
      <c r="P107" t="n">
        <v>0</v>
      </c>
      <c r="Q107" t="n">
        <v>0</v>
      </c>
      <c r="R107" s="2" t="inlineStr"/>
    </row>
    <row r="108" ht="15" customHeight="1">
      <c r="A108" t="inlineStr">
        <is>
          <t>A 44179-2023</t>
        </is>
      </c>
      <c r="B108" s="1" t="n">
        <v>45188.51991898148</v>
      </c>
      <c r="C108" s="1" t="n">
        <v>45881</v>
      </c>
      <c r="D108" t="inlineStr">
        <is>
          <t>NORRBOTTENS LÄN</t>
        </is>
      </c>
      <c r="E108" t="inlineStr">
        <is>
          <t>ARVIDSJAUR</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21270-2021</t>
        </is>
      </c>
      <c r="B109" s="1" t="n">
        <v>44320</v>
      </c>
      <c r="C109" s="1" t="n">
        <v>45881</v>
      </c>
      <c r="D109" t="inlineStr">
        <is>
          <t>NORRBOTTENS LÄN</t>
        </is>
      </c>
      <c r="E109" t="inlineStr">
        <is>
          <t>ARVIDSJAUR</t>
        </is>
      </c>
      <c r="G109" t="n">
        <v>0.9</v>
      </c>
      <c r="H109" t="n">
        <v>0</v>
      </c>
      <c r="I109" t="n">
        <v>0</v>
      </c>
      <c r="J109" t="n">
        <v>0</v>
      </c>
      <c r="K109" t="n">
        <v>0</v>
      </c>
      <c r="L109" t="n">
        <v>0</v>
      </c>
      <c r="M109" t="n">
        <v>0</v>
      </c>
      <c r="N109" t="n">
        <v>0</v>
      </c>
      <c r="O109" t="n">
        <v>0</v>
      </c>
      <c r="P109" t="n">
        <v>0</v>
      </c>
      <c r="Q109" t="n">
        <v>0</v>
      </c>
      <c r="R109" s="2" t="inlineStr"/>
    </row>
    <row r="110" ht="15" customHeight="1">
      <c r="A110" t="inlineStr">
        <is>
          <t>A 26673-2023</t>
        </is>
      </c>
      <c r="B110" s="1" t="n">
        <v>45093</v>
      </c>
      <c r="C110" s="1" t="n">
        <v>45881</v>
      </c>
      <c r="D110" t="inlineStr">
        <is>
          <t>NORRBOTTENS LÄN</t>
        </is>
      </c>
      <c r="E110" t="inlineStr">
        <is>
          <t>ARVIDSJAUR</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10845-2025</t>
        </is>
      </c>
      <c r="B111" s="1" t="n">
        <v>45722</v>
      </c>
      <c r="C111" s="1" t="n">
        <v>45881</v>
      </c>
      <c r="D111" t="inlineStr">
        <is>
          <t>NORRBOTTENS LÄN</t>
        </is>
      </c>
      <c r="E111" t="inlineStr">
        <is>
          <t>ARVIDSJAUR</t>
        </is>
      </c>
      <c r="G111" t="n">
        <v>5.3</v>
      </c>
      <c r="H111" t="n">
        <v>0</v>
      </c>
      <c r="I111" t="n">
        <v>0</v>
      </c>
      <c r="J111" t="n">
        <v>0</v>
      </c>
      <c r="K111" t="n">
        <v>0</v>
      </c>
      <c r="L111" t="n">
        <v>0</v>
      </c>
      <c r="M111" t="n">
        <v>0</v>
      </c>
      <c r="N111" t="n">
        <v>0</v>
      </c>
      <c r="O111" t="n">
        <v>0</v>
      </c>
      <c r="P111" t="n">
        <v>0</v>
      </c>
      <c r="Q111" t="n">
        <v>0</v>
      </c>
      <c r="R111" s="2" t="inlineStr"/>
    </row>
    <row r="112" ht="15" customHeight="1">
      <c r="A112" t="inlineStr">
        <is>
          <t>A 34510-2021</t>
        </is>
      </c>
      <c r="B112" s="1" t="n">
        <v>44382</v>
      </c>
      <c r="C112" s="1" t="n">
        <v>45881</v>
      </c>
      <c r="D112" t="inlineStr">
        <is>
          <t>NORRBOTTENS LÄN</t>
        </is>
      </c>
      <c r="E112" t="inlineStr">
        <is>
          <t>ARVIDSJAUR</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40500-2022</t>
        </is>
      </c>
      <c r="B113" s="1" t="n">
        <v>44819</v>
      </c>
      <c r="C113" s="1" t="n">
        <v>45881</v>
      </c>
      <c r="D113" t="inlineStr">
        <is>
          <t>NORRBOTTENS LÄN</t>
        </is>
      </c>
      <c r="E113" t="inlineStr">
        <is>
          <t>ARVIDSJAUR</t>
        </is>
      </c>
      <c r="F113" t="inlineStr">
        <is>
          <t>Allmännings- och besparingsskogar</t>
        </is>
      </c>
      <c r="G113" t="n">
        <v>3.5</v>
      </c>
      <c r="H113" t="n">
        <v>0</v>
      </c>
      <c r="I113" t="n">
        <v>0</v>
      </c>
      <c r="J113" t="n">
        <v>0</v>
      </c>
      <c r="K113" t="n">
        <v>0</v>
      </c>
      <c r="L113" t="n">
        <v>0</v>
      </c>
      <c r="M113" t="n">
        <v>0</v>
      </c>
      <c r="N113" t="n">
        <v>0</v>
      </c>
      <c r="O113" t="n">
        <v>0</v>
      </c>
      <c r="P113" t="n">
        <v>0</v>
      </c>
      <c r="Q113" t="n">
        <v>0</v>
      </c>
      <c r="R113" s="2" t="inlineStr"/>
    </row>
    <row r="114" ht="15" customHeight="1">
      <c r="A114" t="inlineStr">
        <is>
          <t>A 23583-2021</t>
        </is>
      </c>
      <c r="B114" s="1" t="n">
        <v>44334</v>
      </c>
      <c r="C114" s="1" t="n">
        <v>45881</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40836-2021</t>
        </is>
      </c>
      <c r="B115" s="1" t="n">
        <v>44421</v>
      </c>
      <c r="C115" s="1" t="n">
        <v>45881</v>
      </c>
      <c r="D115" t="inlineStr">
        <is>
          <t>NORRBOTTENS LÄN</t>
        </is>
      </c>
      <c r="E115" t="inlineStr">
        <is>
          <t>ARVIDSJAUR</t>
        </is>
      </c>
      <c r="G115" t="n">
        <v>1.5</v>
      </c>
      <c r="H115" t="n">
        <v>0</v>
      </c>
      <c r="I115" t="n">
        <v>0</v>
      </c>
      <c r="J115" t="n">
        <v>0</v>
      </c>
      <c r="K115" t="n">
        <v>0</v>
      </c>
      <c r="L115" t="n">
        <v>0</v>
      </c>
      <c r="M115" t="n">
        <v>0</v>
      </c>
      <c r="N115" t="n">
        <v>0</v>
      </c>
      <c r="O115" t="n">
        <v>0</v>
      </c>
      <c r="P115" t="n">
        <v>0</v>
      </c>
      <c r="Q115" t="n">
        <v>0</v>
      </c>
      <c r="R115" s="2" t="inlineStr"/>
    </row>
    <row r="116" ht="15" customHeight="1">
      <c r="A116" t="inlineStr">
        <is>
          <t>A 26687-2024</t>
        </is>
      </c>
      <c r="B116" s="1" t="n">
        <v>45470.35686342593</v>
      </c>
      <c r="C116" s="1" t="n">
        <v>45881</v>
      </c>
      <c r="D116" t="inlineStr">
        <is>
          <t>NORRBOTTENS LÄN</t>
        </is>
      </c>
      <c r="E116" t="inlineStr">
        <is>
          <t>ARVIDSJAUR</t>
        </is>
      </c>
      <c r="F116" t="inlineStr">
        <is>
          <t>Sveaskog</t>
        </is>
      </c>
      <c r="G116" t="n">
        <v>7.7</v>
      </c>
      <c r="H116" t="n">
        <v>0</v>
      </c>
      <c r="I116" t="n">
        <v>0</v>
      </c>
      <c r="J116" t="n">
        <v>0</v>
      </c>
      <c r="K116" t="n">
        <v>0</v>
      </c>
      <c r="L116" t="n">
        <v>0</v>
      </c>
      <c r="M116" t="n">
        <v>0</v>
      </c>
      <c r="N116" t="n">
        <v>0</v>
      </c>
      <c r="O116" t="n">
        <v>0</v>
      </c>
      <c r="P116" t="n">
        <v>0</v>
      </c>
      <c r="Q116" t="n">
        <v>0</v>
      </c>
      <c r="R116" s="2" t="inlineStr"/>
    </row>
    <row r="117" ht="15" customHeight="1">
      <c r="A117" t="inlineStr">
        <is>
          <t>A 39619-2022</t>
        </is>
      </c>
      <c r="B117" s="1" t="n">
        <v>44818</v>
      </c>
      <c r="C117" s="1" t="n">
        <v>45881</v>
      </c>
      <c r="D117" t="inlineStr">
        <is>
          <t>NORRBOTTENS LÄN</t>
        </is>
      </c>
      <c r="E117" t="inlineStr">
        <is>
          <t>ARVIDSJAUR</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20811-2024</t>
        </is>
      </c>
      <c r="B118" s="1" t="n">
        <v>45439</v>
      </c>
      <c r="C118" s="1" t="n">
        <v>45881</v>
      </c>
      <c r="D118" t="inlineStr">
        <is>
          <t>NORRBOTTENS LÄN</t>
        </is>
      </c>
      <c r="E118" t="inlineStr">
        <is>
          <t>ARVIDSJAUR</t>
        </is>
      </c>
      <c r="G118" t="n">
        <v>1.6</v>
      </c>
      <c r="H118" t="n">
        <v>0</v>
      </c>
      <c r="I118" t="n">
        <v>0</v>
      </c>
      <c r="J118" t="n">
        <v>0</v>
      </c>
      <c r="K118" t="n">
        <v>0</v>
      </c>
      <c r="L118" t="n">
        <v>0</v>
      </c>
      <c r="M118" t="n">
        <v>0</v>
      </c>
      <c r="N118" t="n">
        <v>0</v>
      </c>
      <c r="O118" t="n">
        <v>0</v>
      </c>
      <c r="P118" t="n">
        <v>0</v>
      </c>
      <c r="Q118" t="n">
        <v>0</v>
      </c>
      <c r="R118" s="2" t="inlineStr"/>
    </row>
    <row r="119" ht="15" customHeight="1">
      <c r="A119" t="inlineStr">
        <is>
          <t>A 39775-2022</t>
        </is>
      </c>
      <c r="B119" s="1" t="n">
        <v>44819</v>
      </c>
      <c r="C119" s="1" t="n">
        <v>45881</v>
      </c>
      <c r="D119" t="inlineStr">
        <is>
          <t>NORRBOTTENS LÄN</t>
        </is>
      </c>
      <c r="E119" t="inlineStr">
        <is>
          <t>ARVIDSJAUR</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26819-2024</t>
        </is>
      </c>
      <c r="B120" s="1" t="n">
        <v>45470.55719907407</v>
      </c>
      <c r="C120" s="1" t="n">
        <v>45881</v>
      </c>
      <c r="D120" t="inlineStr">
        <is>
          <t>NORRBOTTENS LÄN</t>
        </is>
      </c>
      <c r="E120" t="inlineStr">
        <is>
          <t>ARVIDSJAUR</t>
        </is>
      </c>
      <c r="F120" t="inlineStr">
        <is>
          <t>Sveaskog</t>
        </is>
      </c>
      <c r="G120" t="n">
        <v>6.5</v>
      </c>
      <c r="H120" t="n">
        <v>0</v>
      </c>
      <c r="I120" t="n">
        <v>0</v>
      </c>
      <c r="J120" t="n">
        <v>0</v>
      </c>
      <c r="K120" t="n">
        <v>0</v>
      </c>
      <c r="L120" t="n">
        <v>0</v>
      </c>
      <c r="M120" t="n">
        <v>0</v>
      </c>
      <c r="N120" t="n">
        <v>0</v>
      </c>
      <c r="O120" t="n">
        <v>0</v>
      </c>
      <c r="P120" t="n">
        <v>0</v>
      </c>
      <c r="Q120" t="n">
        <v>0</v>
      </c>
      <c r="R120" s="2" t="inlineStr"/>
    </row>
    <row r="121" ht="15" customHeight="1">
      <c r="A121" t="inlineStr">
        <is>
          <t>A 24836-2024</t>
        </is>
      </c>
      <c r="B121" s="1" t="n">
        <v>45461</v>
      </c>
      <c r="C121" s="1" t="n">
        <v>45881</v>
      </c>
      <c r="D121" t="inlineStr">
        <is>
          <t>NORRBOTTENS LÄN</t>
        </is>
      </c>
      <c r="E121" t="inlineStr">
        <is>
          <t>ARVIDSJAUR</t>
        </is>
      </c>
      <c r="F121" t="inlineStr">
        <is>
          <t>Allmännings- och besparingsskogar</t>
        </is>
      </c>
      <c r="G121" t="n">
        <v>2</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45881</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54879-2024</t>
        </is>
      </c>
      <c r="B123" s="1" t="n">
        <v>45618</v>
      </c>
      <c r="C123" s="1" t="n">
        <v>45881</v>
      </c>
      <c r="D123" t="inlineStr">
        <is>
          <t>NORRBOTTENS LÄN</t>
        </is>
      </c>
      <c r="E123" t="inlineStr">
        <is>
          <t>ARVIDSJAUR</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22997-2024</t>
        </is>
      </c>
      <c r="B124" s="1" t="n">
        <v>45450</v>
      </c>
      <c r="C124" s="1" t="n">
        <v>45881</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58025-2023</t>
        </is>
      </c>
      <c r="B125" s="1" t="n">
        <v>45244</v>
      </c>
      <c r="C125" s="1" t="n">
        <v>45881</v>
      </c>
      <c r="D125" t="inlineStr">
        <is>
          <t>NORRBOTTENS LÄN</t>
        </is>
      </c>
      <c r="E125" t="inlineStr">
        <is>
          <t>ARVIDSJAUR</t>
        </is>
      </c>
      <c r="G125" t="n">
        <v>4.2</v>
      </c>
      <c r="H125" t="n">
        <v>0</v>
      </c>
      <c r="I125" t="n">
        <v>0</v>
      </c>
      <c r="J125" t="n">
        <v>0</v>
      </c>
      <c r="K125" t="n">
        <v>0</v>
      </c>
      <c r="L125" t="n">
        <v>0</v>
      </c>
      <c r="M125" t="n">
        <v>0</v>
      </c>
      <c r="N125" t="n">
        <v>0</v>
      </c>
      <c r="O125" t="n">
        <v>0</v>
      </c>
      <c r="P125" t="n">
        <v>0</v>
      </c>
      <c r="Q125" t="n">
        <v>0</v>
      </c>
      <c r="R125" s="2" t="inlineStr"/>
    </row>
    <row r="126" ht="15" customHeight="1">
      <c r="A126" t="inlineStr">
        <is>
          <t>A 36443-2023</t>
        </is>
      </c>
      <c r="B126" s="1" t="n">
        <v>45152</v>
      </c>
      <c r="C126" s="1" t="n">
        <v>45881</v>
      </c>
      <c r="D126" t="inlineStr">
        <is>
          <t>NORRBOTTENS LÄN</t>
        </is>
      </c>
      <c r="E126" t="inlineStr">
        <is>
          <t>ARVIDSJAUR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30749-2023</t>
        </is>
      </c>
      <c r="B127" s="1" t="n">
        <v>45103</v>
      </c>
      <c r="C127" s="1" t="n">
        <v>45881</v>
      </c>
      <c r="D127" t="inlineStr">
        <is>
          <t>NORRBOTTENS LÄN</t>
        </is>
      </c>
      <c r="E127" t="inlineStr">
        <is>
          <t>ARVIDSJAUR</t>
        </is>
      </c>
      <c r="G127" t="n">
        <v>5</v>
      </c>
      <c r="H127" t="n">
        <v>0</v>
      </c>
      <c r="I127" t="n">
        <v>0</v>
      </c>
      <c r="J127" t="n">
        <v>0</v>
      </c>
      <c r="K127" t="n">
        <v>0</v>
      </c>
      <c r="L127" t="n">
        <v>0</v>
      </c>
      <c r="M127" t="n">
        <v>0</v>
      </c>
      <c r="N127" t="n">
        <v>0</v>
      </c>
      <c r="O127" t="n">
        <v>0</v>
      </c>
      <c r="P127" t="n">
        <v>0</v>
      </c>
      <c r="Q127" t="n">
        <v>0</v>
      </c>
      <c r="R127" s="2" t="inlineStr"/>
    </row>
    <row r="128" ht="15" customHeight="1">
      <c r="A128" t="inlineStr">
        <is>
          <t>A 38271-2024</t>
        </is>
      </c>
      <c r="B128" s="1" t="n">
        <v>45545</v>
      </c>
      <c r="C128" s="1" t="n">
        <v>45881</v>
      </c>
      <c r="D128" t="inlineStr">
        <is>
          <t>NORRBOTTENS LÄN</t>
        </is>
      </c>
      <c r="E128" t="inlineStr">
        <is>
          <t>ARVIDSJAUR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31666-2023</t>
        </is>
      </c>
      <c r="B129" s="1" t="n">
        <v>45105</v>
      </c>
      <c r="C129" s="1" t="n">
        <v>45881</v>
      </c>
      <c r="D129" t="inlineStr">
        <is>
          <t>NORRBOTTENS LÄN</t>
        </is>
      </c>
      <c r="E129" t="inlineStr">
        <is>
          <t>ARVIDSJAUR</t>
        </is>
      </c>
      <c r="G129" t="n">
        <v>6.5</v>
      </c>
      <c r="H129" t="n">
        <v>0</v>
      </c>
      <c r="I129" t="n">
        <v>0</v>
      </c>
      <c r="J129" t="n">
        <v>0</v>
      </c>
      <c r="K129" t="n">
        <v>0</v>
      </c>
      <c r="L129" t="n">
        <v>0</v>
      </c>
      <c r="M129" t="n">
        <v>0</v>
      </c>
      <c r="N129" t="n">
        <v>0</v>
      </c>
      <c r="O129" t="n">
        <v>0</v>
      </c>
      <c r="P129" t="n">
        <v>0</v>
      </c>
      <c r="Q129" t="n">
        <v>0</v>
      </c>
      <c r="R129" s="2" t="inlineStr"/>
    </row>
    <row r="130" ht="15" customHeight="1">
      <c r="A130" t="inlineStr">
        <is>
          <t>A 24854-2024</t>
        </is>
      </c>
      <c r="B130" s="1" t="n">
        <v>45461</v>
      </c>
      <c r="C130" s="1" t="n">
        <v>45881</v>
      </c>
      <c r="D130" t="inlineStr">
        <is>
          <t>NORRBOTTENS LÄN</t>
        </is>
      </c>
      <c r="E130" t="inlineStr">
        <is>
          <t>ARVIDSJAUR</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45127-2021</t>
        </is>
      </c>
      <c r="B131" s="1" t="n">
        <v>44439</v>
      </c>
      <c r="C131" s="1" t="n">
        <v>45881</v>
      </c>
      <c r="D131" t="inlineStr">
        <is>
          <t>NORRBOTTENS LÄN</t>
        </is>
      </c>
      <c r="E131" t="inlineStr">
        <is>
          <t>ARVIDSJAUR</t>
        </is>
      </c>
      <c r="G131" t="n">
        <v>4.6</v>
      </c>
      <c r="H131" t="n">
        <v>0</v>
      </c>
      <c r="I131" t="n">
        <v>0</v>
      </c>
      <c r="J131" t="n">
        <v>0</v>
      </c>
      <c r="K131" t="n">
        <v>0</v>
      </c>
      <c r="L131" t="n">
        <v>0</v>
      </c>
      <c r="M131" t="n">
        <v>0</v>
      </c>
      <c r="N131" t="n">
        <v>0</v>
      </c>
      <c r="O131" t="n">
        <v>0</v>
      </c>
      <c r="P131" t="n">
        <v>0</v>
      </c>
      <c r="Q131" t="n">
        <v>0</v>
      </c>
      <c r="R131" s="2" t="inlineStr"/>
    </row>
    <row r="132" ht="15" customHeight="1">
      <c r="A132" t="inlineStr">
        <is>
          <t>A 58941-2022</t>
        </is>
      </c>
      <c r="B132" s="1" t="n">
        <v>44903</v>
      </c>
      <c r="C132" s="1" t="n">
        <v>45881</v>
      </c>
      <c r="D132" t="inlineStr">
        <is>
          <t>NORRBOTTENS LÄN</t>
        </is>
      </c>
      <c r="E132" t="inlineStr">
        <is>
          <t>ARVIDSJAUR</t>
        </is>
      </c>
      <c r="F132" t="inlineStr">
        <is>
          <t>Sveaskog</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50607-2024</t>
        </is>
      </c>
      <c r="B133" s="1" t="n">
        <v>45601</v>
      </c>
      <c r="C133" s="1" t="n">
        <v>45881</v>
      </c>
      <c r="D133" t="inlineStr">
        <is>
          <t>NORRBOTTENS LÄN</t>
        </is>
      </c>
      <c r="E133" t="inlineStr">
        <is>
          <t>ARVIDSJAUR</t>
        </is>
      </c>
      <c r="G133" t="n">
        <v>10</v>
      </c>
      <c r="H133" t="n">
        <v>0</v>
      </c>
      <c r="I133" t="n">
        <v>0</v>
      </c>
      <c r="J133" t="n">
        <v>0</v>
      </c>
      <c r="K133" t="n">
        <v>0</v>
      </c>
      <c r="L133" t="n">
        <v>0</v>
      </c>
      <c r="M133" t="n">
        <v>0</v>
      </c>
      <c r="N133" t="n">
        <v>0</v>
      </c>
      <c r="O133" t="n">
        <v>0</v>
      </c>
      <c r="P133" t="n">
        <v>0</v>
      </c>
      <c r="Q133" t="n">
        <v>0</v>
      </c>
      <c r="R133" s="2" t="inlineStr"/>
    </row>
    <row r="134" ht="15" customHeight="1">
      <c r="A134" t="inlineStr">
        <is>
          <t>A 39760-2022</t>
        </is>
      </c>
      <c r="B134" s="1" t="n">
        <v>44819</v>
      </c>
      <c r="C134" s="1" t="n">
        <v>45881</v>
      </c>
      <c r="D134" t="inlineStr">
        <is>
          <t>NORRBOTTENS LÄN</t>
        </is>
      </c>
      <c r="E134" t="inlineStr">
        <is>
          <t>ARVIDSJAUR</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31050-2024</t>
        </is>
      </c>
      <c r="B135" s="1" t="n">
        <v>45502.33652777778</v>
      </c>
      <c r="C135" s="1" t="n">
        <v>45881</v>
      </c>
      <c r="D135" t="inlineStr">
        <is>
          <t>NORRBOTTENS LÄN</t>
        </is>
      </c>
      <c r="E135" t="inlineStr">
        <is>
          <t>ARVIDSJAUR</t>
        </is>
      </c>
      <c r="G135" t="n">
        <v>0</v>
      </c>
      <c r="H135" t="n">
        <v>0</v>
      </c>
      <c r="I135" t="n">
        <v>0</v>
      </c>
      <c r="J135" t="n">
        <v>0</v>
      </c>
      <c r="K135" t="n">
        <v>0</v>
      </c>
      <c r="L135" t="n">
        <v>0</v>
      </c>
      <c r="M135" t="n">
        <v>0</v>
      </c>
      <c r="N135" t="n">
        <v>0</v>
      </c>
      <c r="O135" t="n">
        <v>0</v>
      </c>
      <c r="P135" t="n">
        <v>0</v>
      </c>
      <c r="Q135" t="n">
        <v>0</v>
      </c>
      <c r="R135" s="2" t="inlineStr"/>
    </row>
    <row r="136" ht="15" customHeight="1">
      <c r="A136" t="inlineStr">
        <is>
          <t>A 10664-2023</t>
        </is>
      </c>
      <c r="B136" s="1" t="n">
        <v>44988</v>
      </c>
      <c r="C136" s="1" t="n">
        <v>45881</v>
      </c>
      <c r="D136" t="inlineStr">
        <is>
          <t>NORRBOTTENS LÄN</t>
        </is>
      </c>
      <c r="E136" t="inlineStr">
        <is>
          <t>ARVIDSJAUR</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46072-2021</t>
        </is>
      </c>
      <c r="B137" s="1" t="n">
        <v>44442</v>
      </c>
      <c r="C137" s="1" t="n">
        <v>45881</v>
      </c>
      <c r="D137" t="inlineStr">
        <is>
          <t>NORRBOTTENS LÄN</t>
        </is>
      </c>
      <c r="E137" t="inlineStr">
        <is>
          <t>ARVIDSJAUR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2286-2024</t>
        </is>
      </c>
      <c r="B138" s="1" t="n">
        <v>45310</v>
      </c>
      <c r="C138" s="1" t="n">
        <v>45881</v>
      </c>
      <c r="D138" t="inlineStr">
        <is>
          <t>NORRBOTTENS LÄN</t>
        </is>
      </c>
      <c r="E138" t="inlineStr">
        <is>
          <t>ARVIDSJAUR</t>
        </is>
      </c>
      <c r="G138" t="n">
        <v>1</v>
      </c>
      <c r="H138" t="n">
        <v>0</v>
      </c>
      <c r="I138" t="n">
        <v>0</v>
      </c>
      <c r="J138" t="n">
        <v>0</v>
      </c>
      <c r="K138" t="n">
        <v>0</v>
      </c>
      <c r="L138" t="n">
        <v>0</v>
      </c>
      <c r="M138" t="n">
        <v>0</v>
      </c>
      <c r="N138" t="n">
        <v>0</v>
      </c>
      <c r="O138" t="n">
        <v>0</v>
      </c>
      <c r="P138" t="n">
        <v>0</v>
      </c>
      <c r="Q138" t="n">
        <v>0</v>
      </c>
      <c r="R138" s="2" t="inlineStr"/>
    </row>
    <row r="139" ht="15" customHeight="1">
      <c r="A139" t="inlineStr">
        <is>
          <t>A 54524-2023</t>
        </is>
      </c>
      <c r="B139" s="1" t="n">
        <v>45226</v>
      </c>
      <c r="C139" s="1" t="n">
        <v>45881</v>
      </c>
      <c r="D139" t="inlineStr">
        <is>
          <t>NORRBOTTENS LÄN</t>
        </is>
      </c>
      <c r="E139" t="inlineStr">
        <is>
          <t>ARVIDSJAUR</t>
        </is>
      </c>
      <c r="G139" t="n">
        <v>1.4</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45881</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11030-2025</t>
        </is>
      </c>
      <c r="B141" s="1" t="n">
        <v>45723.47167824074</v>
      </c>
      <c r="C141" s="1" t="n">
        <v>45881</v>
      </c>
      <c r="D141" t="inlineStr">
        <is>
          <t>NORRBOTTENS LÄN</t>
        </is>
      </c>
      <c r="E141" t="inlineStr">
        <is>
          <t>ARVIDSJAUR</t>
        </is>
      </c>
      <c r="F141" t="inlineStr">
        <is>
          <t>Sveaskog</t>
        </is>
      </c>
      <c r="G141" t="n">
        <v>3.1</v>
      </c>
      <c r="H141" t="n">
        <v>0</v>
      </c>
      <c r="I141" t="n">
        <v>0</v>
      </c>
      <c r="J141" t="n">
        <v>0</v>
      </c>
      <c r="K141" t="n">
        <v>0</v>
      </c>
      <c r="L141" t="n">
        <v>0</v>
      </c>
      <c r="M141" t="n">
        <v>0</v>
      </c>
      <c r="N141" t="n">
        <v>0</v>
      </c>
      <c r="O141" t="n">
        <v>0</v>
      </c>
      <c r="P141" t="n">
        <v>0</v>
      </c>
      <c r="Q141" t="n">
        <v>0</v>
      </c>
      <c r="R141" s="2" t="inlineStr"/>
    </row>
    <row r="142" ht="15" customHeight="1">
      <c r="A142" t="inlineStr">
        <is>
          <t>A 51631-2023</t>
        </is>
      </c>
      <c r="B142" s="1" t="n">
        <v>45222.53628472222</v>
      </c>
      <c r="C142" s="1" t="n">
        <v>45881</v>
      </c>
      <c r="D142" t="inlineStr">
        <is>
          <t>NORRBOTTENS LÄN</t>
        </is>
      </c>
      <c r="E142" t="inlineStr">
        <is>
          <t>ARVIDSJAUR</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2309-2023</t>
        </is>
      </c>
      <c r="B143" s="1" t="n">
        <v>44942</v>
      </c>
      <c r="C143" s="1" t="n">
        <v>45881</v>
      </c>
      <c r="D143" t="inlineStr">
        <is>
          <t>NORRBOTTENS LÄN</t>
        </is>
      </c>
      <c r="E143" t="inlineStr">
        <is>
          <t>ARVIDSJAUR</t>
        </is>
      </c>
      <c r="G143" t="n">
        <v>0.5</v>
      </c>
      <c r="H143" t="n">
        <v>0</v>
      </c>
      <c r="I143" t="n">
        <v>0</v>
      </c>
      <c r="J143" t="n">
        <v>0</v>
      </c>
      <c r="K143" t="n">
        <v>0</v>
      </c>
      <c r="L143" t="n">
        <v>0</v>
      </c>
      <c r="M143" t="n">
        <v>0</v>
      </c>
      <c r="N143" t="n">
        <v>0</v>
      </c>
      <c r="O143" t="n">
        <v>0</v>
      </c>
      <c r="P143" t="n">
        <v>0</v>
      </c>
      <c r="Q143" t="n">
        <v>0</v>
      </c>
      <c r="R143" s="2" t="inlineStr"/>
    </row>
    <row r="144" ht="15" customHeight="1">
      <c r="A144" t="inlineStr">
        <is>
          <t>A 11615-2025</t>
        </is>
      </c>
      <c r="B144" s="1" t="n">
        <v>45726</v>
      </c>
      <c r="C144" s="1" t="n">
        <v>45881</v>
      </c>
      <c r="D144" t="inlineStr">
        <is>
          <t>NORRBOTTENS LÄN</t>
        </is>
      </c>
      <c r="E144" t="inlineStr">
        <is>
          <t>ARVIDSJAUR</t>
        </is>
      </c>
      <c r="F144" t="inlineStr">
        <is>
          <t>Allmännings- och besparingsskogar</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11623-2025</t>
        </is>
      </c>
      <c r="B145" s="1" t="n">
        <v>45726</v>
      </c>
      <c r="C145" s="1" t="n">
        <v>45881</v>
      </c>
      <c r="D145" t="inlineStr">
        <is>
          <t>NORRBOTTENS LÄN</t>
        </is>
      </c>
      <c r="E145" t="inlineStr">
        <is>
          <t>ARVIDSJAUR</t>
        </is>
      </c>
      <c r="F145" t="inlineStr">
        <is>
          <t>Allmännings- och besparingsskogar</t>
        </is>
      </c>
      <c r="G145" t="n">
        <v>1.3</v>
      </c>
      <c r="H145" t="n">
        <v>0</v>
      </c>
      <c r="I145" t="n">
        <v>0</v>
      </c>
      <c r="J145" t="n">
        <v>0</v>
      </c>
      <c r="K145" t="n">
        <v>0</v>
      </c>
      <c r="L145" t="n">
        <v>0</v>
      </c>
      <c r="M145" t="n">
        <v>0</v>
      </c>
      <c r="N145" t="n">
        <v>0</v>
      </c>
      <c r="O145" t="n">
        <v>0</v>
      </c>
      <c r="P145" t="n">
        <v>0</v>
      </c>
      <c r="Q145" t="n">
        <v>0</v>
      </c>
      <c r="R145" s="2" t="inlineStr"/>
    </row>
    <row r="146" ht="15" customHeight="1">
      <c r="A146" t="inlineStr">
        <is>
          <t>A 11626-2025</t>
        </is>
      </c>
      <c r="B146" s="1" t="n">
        <v>45726</v>
      </c>
      <c r="C146" s="1" t="n">
        <v>45881</v>
      </c>
      <c r="D146" t="inlineStr">
        <is>
          <t>NORRBOTTENS LÄN</t>
        </is>
      </c>
      <c r="E146" t="inlineStr">
        <is>
          <t>ARVIDSJAUR</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52407-2021</t>
        </is>
      </c>
      <c r="B147" s="1" t="n">
        <v>44463</v>
      </c>
      <c r="C147" s="1" t="n">
        <v>45881</v>
      </c>
      <c r="D147" t="inlineStr">
        <is>
          <t>NORRBOTTENS LÄN</t>
        </is>
      </c>
      <c r="E147" t="inlineStr">
        <is>
          <t>ARVIDSJAUR</t>
        </is>
      </c>
      <c r="G147" t="n">
        <v>10.3</v>
      </c>
      <c r="H147" t="n">
        <v>0</v>
      </c>
      <c r="I147" t="n">
        <v>0</v>
      </c>
      <c r="J147" t="n">
        <v>0</v>
      </c>
      <c r="K147" t="n">
        <v>0</v>
      </c>
      <c r="L147" t="n">
        <v>0</v>
      </c>
      <c r="M147" t="n">
        <v>0</v>
      </c>
      <c r="N147" t="n">
        <v>0</v>
      </c>
      <c r="O147" t="n">
        <v>0</v>
      </c>
      <c r="P147" t="n">
        <v>0</v>
      </c>
      <c r="Q147" t="n">
        <v>0</v>
      </c>
      <c r="R147" s="2" t="inlineStr"/>
    </row>
    <row r="148" ht="15" customHeight="1">
      <c r="A148" t="inlineStr">
        <is>
          <t>A 39439-2024</t>
        </is>
      </c>
      <c r="B148" s="1" t="n">
        <v>45551.60893518518</v>
      </c>
      <c r="C148" s="1" t="n">
        <v>45881</v>
      </c>
      <c r="D148" t="inlineStr">
        <is>
          <t>NORRBOTTENS LÄN</t>
        </is>
      </c>
      <c r="E148" t="inlineStr">
        <is>
          <t>ARVIDSJAUR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42674-2021</t>
        </is>
      </c>
      <c r="B149" s="1" t="n">
        <v>44428</v>
      </c>
      <c r="C149" s="1" t="n">
        <v>45881</v>
      </c>
      <c r="D149" t="inlineStr">
        <is>
          <t>NORRBOTTENS LÄN</t>
        </is>
      </c>
      <c r="E149" t="inlineStr">
        <is>
          <t>ARVIDSJAUR</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42694-2021</t>
        </is>
      </c>
      <c r="B150" s="1" t="n">
        <v>44428</v>
      </c>
      <c r="C150" s="1" t="n">
        <v>45881</v>
      </c>
      <c r="D150" t="inlineStr">
        <is>
          <t>NORRBOTTENS LÄN</t>
        </is>
      </c>
      <c r="E150" t="inlineStr">
        <is>
          <t>ARVIDSJAUR</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24810-2023</t>
        </is>
      </c>
      <c r="B151" s="1" t="n">
        <v>45084</v>
      </c>
      <c r="C151" s="1" t="n">
        <v>45881</v>
      </c>
      <c r="D151" t="inlineStr">
        <is>
          <t>NORRBOTTENS LÄN</t>
        </is>
      </c>
      <c r="E151" t="inlineStr">
        <is>
          <t>ARVIDSJAUR</t>
        </is>
      </c>
      <c r="G151" t="n">
        <v>5.2</v>
      </c>
      <c r="H151" t="n">
        <v>0</v>
      </c>
      <c r="I151" t="n">
        <v>0</v>
      </c>
      <c r="J151" t="n">
        <v>0</v>
      </c>
      <c r="K151" t="n">
        <v>0</v>
      </c>
      <c r="L151" t="n">
        <v>0</v>
      </c>
      <c r="M151" t="n">
        <v>0</v>
      </c>
      <c r="N151" t="n">
        <v>0</v>
      </c>
      <c r="O151" t="n">
        <v>0</v>
      </c>
      <c r="P151" t="n">
        <v>0</v>
      </c>
      <c r="Q151" t="n">
        <v>0</v>
      </c>
      <c r="R151" s="2" t="inlineStr"/>
    </row>
    <row r="152" ht="15" customHeight="1">
      <c r="A152" t="inlineStr">
        <is>
          <t>A 29677-2024</t>
        </is>
      </c>
      <c r="B152" s="1" t="n">
        <v>45484</v>
      </c>
      <c r="C152" s="1" t="n">
        <v>45881</v>
      </c>
      <c r="D152" t="inlineStr">
        <is>
          <t>NORRBOTTENS LÄN</t>
        </is>
      </c>
      <c r="E152" t="inlineStr">
        <is>
          <t>ARVIDSJAUR</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49204-2024</t>
        </is>
      </c>
      <c r="B153" s="1" t="n">
        <v>45595</v>
      </c>
      <c r="C153" s="1" t="n">
        <v>45881</v>
      </c>
      <c r="D153" t="inlineStr">
        <is>
          <t>NORRBOTTENS LÄN</t>
        </is>
      </c>
      <c r="E153" t="inlineStr">
        <is>
          <t>ARVIDSJAUR</t>
        </is>
      </c>
      <c r="G153" t="n">
        <v>6.9</v>
      </c>
      <c r="H153" t="n">
        <v>0</v>
      </c>
      <c r="I153" t="n">
        <v>0</v>
      </c>
      <c r="J153" t="n">
        <v>0</v>
      </c>
      <c r="K153" t="n">
        <v>0</v>
      </c>
      <c r="L153" t="n">
        <v>0</v>
      </c>
      <c r="M153" t="n">
        <v>0</v>
      </c>
      <c r="N153" t="n">
        <v>0</v>
      </c>
      <c r="O153" t="n">
        <v>0</v>
      </c>
      <c r="P153" t="n">
        <v>0</v>
      </c>
      <c r="Q153" t="n">
        <v>0</v>
      </c>
      <c r="R153" s="2" t="inlineStr"/>
    </row>
    <row r="154" ht="15" customHeight="1">
      <c r="A154" t="inlineStr">
        <is>
          <t>A 25790-2024</t>
        </is>
      </c>
      <c r="B154" s="1" t="n">
        <v>45467</v>
      </c>
      <c r="C154" s="1" t="n">
        <v>45881</v>
      </c>
      <c r="D154" t="inlineStr">
        <is>
          <t>NORRBOTTENS LÄN</t>
        </is>
      </c>
      <c r="E154" t="inlineStr">
        <is>
          <t>ARVIDSJAUR</t>
        </is>
      </c>
      <c r="F154" t="inlineStr">
        <is>
          <t>Sveaskog</t>
        </is>
      </c>
      <c r="G154" t="n">
        <v>5.6</v>
      </c>
      <c r="H154" t="n">
        <v>0</v>
      </c>
      <c r="I154" t="n">
        <v>0</v>
      </c>
      <c r="J154" t="n">
        <v>0</v>
      </c>
      <c r="K154" t="n">
        <v>0</v>
      </c>
      <c r="L154" t="n">
        <v>0</v>
      </c>
      <c r="M154" t="n">
        <v>0</v>
      </c>
      <c r="N154" t="n">
        <v>0</v>
      </c>
      <c r="O154" t="n">
        <v>0</v>
      </c>
      <c r="P154" t="n">
        <v>0</v>
      </c>
      <c r="Q154" t="n">
        <v>0</v>
      </c>
      <c r="R154" s="2" t="inlineStr"/>
    </row>
    <row r="155" ht="15" customHeight="1">
      <c r="A155" t="inlineStr">
        <is>
          <t>A 25913-2024</t>
        </is>
      </c>
      <c r="B155" s="1" t="n">
        <v>45467</v>
      </c>
      <c r="C155" s="1" t="n">
        <v>45881</v>
      </c>
      <c r="D155" t="inlineStr">
        <is>
          <t>NORRBOTTENS LÄN</t>
        </is>
      </c>
      <c r="E155" t="inlineStr">
        <is>
          <t>ARVIDSJAUR</t>
        </is>
      </c>
      <c r="G155" t="n">
        <v>4.8</v>
      </c>
      <c r="H155" t="n">
        <v>0</v>
      </c>
      <c r="I155" t="n">
        <v>0</v>
      </c>
      <c r="J155" t="n">
        <v>0</v>
      </c>
      <c r="K155" t="n">
        <v>0</v>
      </c>
      <c r="L155" t="n">
        <v>0</v>
      </c>
      <c r="M155" t="n">
        <v>0</v>
      </c>
      <c r="N155" t="n">
        <v>0</v>
      </c>
      <c r="O155" t="n">
        <v>0</v>
      </c>
      <c r="P155" t="n">
        <v>0</v>
      </c>
      <c r="Q155" t="n">
        <v>0</v>
      </c>
      <c r="R155" s="2" t="inlineStr"/>
    </row>
    <row r="156" ht="15" customHeight="1">
      <c r="A156" t="inlineStr">
        <is>
          <t>A 23736-2024</t>
        </is>
      </c>
      <c r="B156" s="1" t="n">
        <v>45454</v>
      </c>
      <c r="C156" s="1" t="n">
        <v>45881</v>
      </c>
      <c r="D156" t="inlineStr">
        <is>
          <t>NORRBOTTENS LÄN</t>
        </is>
      </c>
      <c r="E156" t="inlineStr">
        <is>
          <t>ARVIDSJAUR</t>
        </is>
      </c>
      <c r="G156" t="n">
        <v>1.2</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45881</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48608-2024</t>
        </is>
      </c>
      <c r="B158" s="1" t="n">
        <v>45593.45075231481</v>
      </c>
      <c r="C158" s="1" t="n">
        <v>45881</v>
      </c>
      <c r="D158" t="inlineStr">
        <is>
          <t>NORRBOTTENS LÄN</t>
        </is>
      </c>
      <c r="E158" t="inlineStr">
        <is>
          <t>ARVIDSJAUR</t>
        </is>
      </c>
      <c r="F158" t="inlineStr">
        <is>
          <t>Sveaskog</t>
        </is>
      </c>
      <c r="G158" t="n">
        <v>16.6</v>
      </c>
      <c r="H158" t="n">
        <v>0</v>
      </c>
      <c r="I158" t="n">
        <v>0</v>
      </c>
      <c r="J158" t="n">
        <v>0</v>
      </c>
      <c r="K158" t="n">
        <v>0</v>
      </c>
      <c r="L158" t="n">
        <v>0</v>
      </c>
      <c r="M158" t="n">
        <v>0</v>
      </c>
      <c r="N158" t="n">
        <v>0</v>
      </c>
      <c r="O158" t="n">
        <v>0</v>
      </c>
      <c r="P158" t="n">
        <v>0</v>
      </c>
      <c r="Q158" t="n">
        <v>0</v>
      </c>
      <c r="R158" s="2" t="inlineStr"/>
    </row>
    <row r="159" ht="15" customHeight="1">
      <c r="A159" t="inlineStr">
        <is>
          <t>A 45794-2024</t>
        </is>
      </c>
      <c r="B159" s="1" t="n">
        <v>45579.6725</v>
      </c>
      <c r="C159" s="1" t="n">
        <v>45881</v>
      </c>
      <c r="D159" t="inlineStr">
        <is>
          <t>NORRBOTTENS LÄN</t>
        </is>
      </c>
      <c r="E159" t="inlineStr">
        <is>
          <t>ARVIDSJAUR</t>
        </is>
      </c>
      <c r="F159" t="inlineStr">
        <is>
          <t>Sveaskog</t>
        </is>
      </c>
      <c r="G159" t="n">
        <v>37.7</v>
      </c>
      <c r="H159" t="n">
        <v>0</v>
      </c>
      <c r="I159" t="n">
        <v>0</v>
      </c>
      <c r="J159" t="n">
        <v>0</v>
      </c>
      <c r="K159" t="n">
        <v>0</v>
      </c>
      <c r="L159" t="n">
        <v>0</v>
      </c>
      <c r="M159" t="n">
        <v>0</v>
      </c>
      <c r="N159" t="n">
        <v>0</v>
      </c>
      <c r="O159" t="n">
        <v>0</v>
      </c>
      <c r="P159" t="n">
        <v>0</v>
      </c>
      <c r="Q159" t="n">
        <v>0</v>
      </c>
      <c r="R159" s="2" t="inlineStr"/>
    </row>
    <row r="160" ht="15" customHeight="1">
      <c r="A160" t="inlineStr">
        <is>
          <t>A 27944-2024</t>
        </is>
      </c>
      <c r="B160" s="1" t="n">
        <v>45476</v>
      </c>
      <c r="C160" s="1" t="n">
        <v>45881</v>
      </c>
      <c r="D160" t="inlineStr">
        <is>
          <t>NORRBOTTENS LÄN</t>
        </is>
      </c>
      <c r="E160" t="inlineStr">
        <is>
          <t>ARVIDSJAUR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48291-2023</t>
        </is>
      </c>
      <c r="B161" s="1" t="n">
        <v>45201</v>
      </c>
      <c r="C161" s="1" t="n">
        <v>45881</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22328-2021</t>
        </is>
      </c>
      <c r="B162" s="1" t="n">
        <v>44321</v>
      </c>
      <c r="C162" s="1" t="n">
        <v>45881</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45881</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45881</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45881</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45881</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45881</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1355-2024</t>
        </is>
      </c>
      <c r="B168" s="1" t="n">
        <v>45303</v>
      </c>
      <c r="C168" s="1" t="n">
        <v>45881</v>
      </c>
      <c r="D168" t="inlineStr">
        <is>
          <t>NORRBOTTENS LÄN</t>
        </is>
      </c>
      <c r="E168" t="inlineStr">
        <is>
          <t>ARVIDSJAUR</t>
        </is>
      </c>
      <c r="G168" t="n">
        <v>1</v>
      </c>
      <c r="H168" t="n">
        <v>0</v>
      </c>
      <c r="I168" t="n">
        <v>0</v>
      </c>
      <c r="J168" t="n">
        <v>0</v>
      </c>
      <c r="K168" t="n">
        <v>0</v>
      </c>
      <c r="L168" t="n">
        <v>0</v>
      </c>
      <c r="M168" t="n">
        <v>0</v>
      </c>
      <c r="N168" t="n">
        <v>0</v>
      </c>
      <c r="O168" t="n">
        <v>0</v>
      </c>
      <c r="P168" t="n">
        <v>0</v>
      </c>
      <c r="Q168" t="n">
        <v>0</v>
      </c>
      <c r="R168" s="2" t="inlineStr"/>
    </row>
    <row r="169" ht="15" customHeight="1">
      <c r="A169" t="inlineStr">
        <is>
          <t>A 36815-2024</t>
        </is>
      </c>
      <c r="B169" s="1" t="n">
        <v>45538</v>
      </c>
      <c r="C169" s="1" t="n">
        <v>45881</v>
      </c>
      <c r="D169" t="inlineStr">
        <is>
          <t>NORRBOTTENS LÄN</t>
        </is>
      </c>
      <c r="E169" t="inlineStr">
        <is>
          <t>ARVIDSJAUR</t>
        </is>
      </c>
      <c r="G169" t="n">
        <v>6</v>
      </c>
      <c r="H169" t="n">
        <v>0</v>
      </c>
      <c r="I169" t="n">
        <v>0</v>
      </c>
      <c r="J169" t="n">
        <v>0</v>
      </c>
      <c r="K169" t="n">
        <v>0</v>
      </c>
      <c r="L169" t="n">
        <v>0</v>
      </c>
      <c r="M169" t="n">
        <v>0</v>
      </c>
      <c r="N169" t="n">
        <v>0</v>
      </c>
      <c r="O169" t="n">
        <v>0</v>
      </c>
      <c r="P169" t="n">
        <v>0</v>
      </c>
      <c r="Q169" t="n">
        <v>0</v>
      </c>
      <c r="R169" s="2" t="inlineStr"/>
    </row>
    <row r="170" ht="15" customHeight="1">
      <c r="A170" t="inlineStr">
        <is>
          <t>A 59325-2022</t>
        </is>
      </c>
      <c r="B170" s="1" t="n">
        <v>44904</v>
      </c>
      <c r="C170" s="1" t="n">
        <v>45881</v>
      </c>
      <c r="D170" t="inlineStr">
        <is>
          <t>NORRBOTTENS LÄN</t>
        </is>
      </c>
      <c r="E170" t="inlineStr">
        <is>
          <t>ARVIDSJAUR</t>
        </is>
      </c>
      <c r="F170" t="inlineStr">
        <is>
          <t>Sveaskog</t>
        </is>
      </c>
      <c r="G170" t="n">
        <v>6.4</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45881</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45881</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11998-2025</t>
        </is>
      </c>
      <c r="B173" s="1" t="n">
        <v>45728</v>
      </c>
      <c r="C173" s="1" t="n">
        <v>45881</v>
      </c>
      <c r="D173" t="inlineStr">
        <is>
          <t>NORRBOTTENS LÄN</t>
        </is>
      </c>
      <c r="E173" t="inlineStr">
        <is>
          <t>ARVIDSJAUR</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50889-2024</t>
        </is>
      </c>
      <c r="B174" s="1" t="n">
        <v>45602.6681712963</v>
      </c>
      <c r="C174" s="1" t="n">
        <v>45881</v>
      </c>
      <c r="D174" t="inlineStr">
        <is>
          <t>NORRBOTTENS LÄN</t>
        </is>
      </c>
      <c r="E174" t="inlineStr">
        <is>
          <t>ARVIDSJAUR</t>
        </is>
      </c>
      <c r="F174" t="inlineStr">
        <is>
          <t>Sveaskog</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61202-2022</t>
        </is>
      </c>
      <c r="B175" s="1" t="n">
        <v>44915</v>
      </c>
      <c r="C175" s="1" t="n">
        <v>45881</v>
      </c>
      <c r="D175" t="inlineStr">
        <is>
          <t>NORRBOTTENS LÄN</t>
        </is>
      </c>
      <c r="E175" t="inlineStr">
        <is>
          <t>ARVIDSJAUR</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27742-2024</t>
        </is>
      </c>
      <c r="B176" s="1" t="n">
        <v>45475.46423611111</v>
      </c>
      <c r="C176" s="1" t="n">
        <v>45881</v>
      </c>
      <c r="D176" t="inlineStr">
        <is>
          <t>NORRBOTTENS LÄN</t>
        </is>
      </c>
      <c r="E176" t="inlineStr">
        <is>
          <t>ARVIDSJAUR</t>
        </is>
      </c>
      <c r="G176" t="n">
        <v>16.8</v>
      </c>
      <c r="H176" t="n">
        <v>0</v>
      </c>
      <c r="I176" t="n">
        <v>0</v>
      </c>
      <c r="J176" t="n">
        <v>0</v>
      </c>
      <c r="K176" t="n">
        <v>0</v>
      </c>
      <c r="L176" t="n">
        <v>0</v>
      </c>
      <c r="M176" t="n">
        <v>0</v>
      </c>
      <c r="N176" t="n">
        <v>0</v>
      </c>
      <c r="O176" t="n">
        <v>0</v>
      </c>
      <c r="P176" t="n">
        <v>0</v>
      </c>
      <c r="Q176" t="n">
        <v>0</v>
      </c>
      <c r="R176" s="2" t="inlineStr"/>
    </row>
    <row r="177" ht="15" customHeight="1">
      <c r="A177" t="inlineStr">
        <is>
          <t>A 33084-2024</t>
        </is>
      </c>
      <c r="B177" s="1" t="n">
        <v>45517</v>
      </c>
      <c r="C177" s="1" t="n">
        <v>45881</v>
      </c>
      <c r="D177" t="inlineStr">
        <is>
          <t>NORRBOTTENS LÄN</t>
        </is>
      </c>
      <c r="E177" t="inlineStr">
        <is>
          <t>ARVIDSJAUR</t>
        </is>
      </c>
      <c r="G177" t="n">
        <v>0.5</v>
      </c>
      <c r="H177" t="n">
        <v>0</v>
      </c>
      <c r="I177" t="n">
        <v>0</v>
      </c>
      <c r="J177" t="n">
        <v>0</v>
      </c>
      <c r="K177" t="n">
        <v>0</v>
      </c>
      <c r="L177" t="n">
        <v>0</v>
      </c>
      <c r="M177" t="n">
        <v>0</v>
      </c>
      <c r="N177" t="n">
        <v>0</v>
      </c>
      <c r="O177" t="n">
        <v>0</v>
      </c>
      <c r="P177" t="n">
        <v>0</v>
      </c>
      <c r="Q177" t="n">
        <v>0</v>
      </c>
      <c r="R177" s="2" t="inlineStr"/>
    </row>
    <row r="178" ht="15" customHeight="1">
      <c r="A178" t="inlineStr">
        <is>
          <t>A 27778-2023</t>
        </is>
      </c>
      <c r="B178" s="1" t="n">
        <v>45098</v>
      </c>
      <c r="C178" s="1" t="n">
        <v>45881</v>
      </c>
      <c r="D178" t="inlineStr">
        <is>
          <t>NORRBOTTENS LÄN</t>
        </is>
      </c>
      <c r="E178" t="inlineStr">
        <is>
          <t>ARVIDSJAUR</t>
        </is>
      </c>
      <c r="F178" t="inlineStr">
        <is>
          <t>Sveaskog</t>
        </is>
      </c>
      <c r="G178" t="n">
        <v>15.2</v>
      </c>
      <c r="H178" t="n">
        <v>0</v>
      </c>
      <c r="I178" t="n">
        <v>0</v>
      </c>
      <c r="J178" t="n">
        <v>0</v>
      </c>
      <c r="K178" t="n">
        <v>0</v>
      </c>
      <c r="L178" t="n">
        <v>0</v>
      </c>
      <c r="M178" t="n">
        <v>0</v>
      </c>
      <c r="N178" t="n">
        <v>0</v>
      </c>
      <c r="O178" t="n">
        <v>0</v>
      </c>
      <c r="P178" t="n">
        <v>0</v>
      </c>
      <c r="Q178" t="n">
        <v>0</v>
      </c>
      <c r="R178" s="2" t="inlineStr"/>
    </row>
    <row r="179" ht="15" customHeight="1">
      <c r="A179" t="inlineStr">
        <is>
          <t>A 2392-2025</t>
        </is>
      </c>
      <c r="B179" s="1" t="n">
        <v>45674</v>
      </c>
      <c r="C179" s="1" t="n">
        <v>45881</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42842-2024</t>
        </is>
      </c>
      <c r="B180" s="1" t="n">
        <v>45566</v>
      </c>
      <c r="C180" s="1" t="n">
        <v>45881</v>
      </c>
      <c r="D180" t="inlineStr">
        <is>
          <t>NORRBOTTENS LÄN</t>
        </is>
      </c>
      <c r="E180" t="inlineStr">
        <is>
          <t>ARVIDSJAUR</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45881</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3201-2024</t>
        </is>
      </c>
      <c r="B182" s="1" t="n">
        <v>45316</v>
      </c>
      <c r="C182" s="1" t="n">
        <v>45881</v>
      </c>
      <c r="D182" t="inlineStr">
        <is>
          <t>NORRBOTTENS LÄN</t>
        </is>
      </c>
      <c r="E182" t="inlineStr">
        <is>
          <t>ARVIDSJAUR</t>
        </is>
      </c>
      <c r="F182" t="inlineStr">
        <is>
          <t>Allmännings- och besparingsskogar</t>
        </is>
      </c>
      <c r="G182" t="n">
        <v>1.9</v>
      </c>
      <c r="H182" t="n">
        <v>0</v>
      </c>
      <c r="I182" t="n">
        <v>0</v>
      </c>
      <c r="J182" t="n">
        <v>0</v>
      </c>
      <c r="K182" t="n">
        <v>0</v>
      </c>
      <c r="L182" t="n">
        <v>0</v>
      </c>
      <c r="M182" t="n">
        <v>0</v>
      </c>
      <c r="N182" t="n">
        <v>0</v>
      </c>
      <c r="O182" t="n">
        <v>0</v>
      </c>
      <c r="P182" t="n">
        <v>0</v>
      </c>
      <c r="Q182" t="n">
        <v>0</v>
      </c>
      <c r="R182" s="2" t="inlineStr"/>
    </row>
    <row r="183" ht="15" customHeight="1">
      <c r="A183" t="inlineStr">
        <is>
          <t>A 36791-2024</t>
        </is>
      </c>
      <c r="B183" s="1" t="n">
        <v>45538</v>
      </c>
      <c r="C183" s="1" t="n">
        <v>45881</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11542-2025</t>
        </is>
      </c>
      <c r="B184" s="1" t="n">
        <v>45726</v>
      </c>
      <c r="C184" s="1" t="n">
        <v>45881</v>
      </c>
      <c r="D184" t="inlineStr">
        <is>
          <t>NORRBOTTENS LÄN</t>
        </is>
      </c>
      <c r="E184" t="inlineStr">
        <is>
          <t>ARVIDSJAUR</t>
        </is>
      </c>
      <c r="F184" t="inlineStr">
        <is>
          <t>Allmännings- och besparingsskogar</t>
        </is>
      </c>
      <c r="G184" t="n">
        <v>14.2</v>
      </c>
      <c r="H184" t="n">
        <v>0</v>
      </c>
      <c r="I184" t="n">
        <v>0</v>
      </c>
      <c r="J184" t="n">
        <v>0</v>
      </c>
      <c r="K184" t="n">
        <v>0</v>
      </c>
      <c r="L184" t="n">
        <v>0</v>
      </c>
      <c r="M184" t="n">
        <v>0</v>
      </c>
      <c r="N184" t="n">
        <v>0</v>
      </c>
      <c r="O184" t="n">
        <v>0</v>
      </c>
      <c r="P184" t="n">
        <v>0</v>
      </c>
      <c r="Q184" t="n">
        <v>0</v>
      </c>
      <c r="R184" s="2" t="inlineStr"/>
    </row>
    <row r="185" ht="15" customHeight="1">
      <c r="A185" t="inlineStr">
        <is>
          <t>A 42870-2024</t>
        </is>
      </c>
      <c r="B185" s="1" t="n">
        <v>45566.66489583333</v>
      </c>
      <c r="C185" s="1" t="n">
        <v>45881</v>
      </c>
      <c r="D185" t="inlineStr">
        <is>
          <t>NORRBOTTENS LÄN</t>
        </is>
      </c>
      <c r="E185" t="inlineStr">
        <is>
          <t>ARVIDSJAUR</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38472-2024</t>
        </is>
      </c>
      <c r="B186" s="1" t="n">
        <v>45546</v>
      </c>
      <c r="C186" s="1" t="n">
        <v>45881</v>
      </c>
      <c r="D186" t="inlineStr">
        <is>
          <t>NORRBOTTENS LÄN</t>
        </is>
      </c>
      <c r="E186" t="inlineStr">
        <is>
          <t>ARVIDSJAUR</t>
        </is>
      </c>
      <c r="G186" t="n">
        <v>3.6</v>
      </c>
      <c r="H186" t="n">
        <v>0</v>
      </c>
      <c r="I186" t="n">
        <v>0</v>
      </c>
      <c r="J186" t="n">
        <v>0</v>
      </c>
      <c r="K186" t="n">
        <v>0</v>
      </c>
      <c r="L186" t="n">
        <v>0</v>
      </c>
      <c r="M186" t="n">
        <v>0</v>
      </c>
      <c r="N186" t="n">
        <v>0</v>
      </c>
      <c r="O186" t="n">
        <v>0</v>
      </c>
      <c r="P186" t="n">
        <v>0</v>
      </c>
      <c r="Q186" t="n">
        <v>0</v>
      </c>
      <c r="R186" s="2" t="inlineStr"/>
    </row>
    <row r="187" ht="15" customHeight="1">
      <c r="A187" t="inlineStr">
        <is>
          <t>A 32605-2024</t>
        </is>
      </c>
      <c r="B187" s="1" t="n">
        <v>45513</v>
      </c>
      <c r="C187" s="1" t="n">
        <v>45881</v>
      </c>
      <c r="D187" t="inlineStr">
        <is>
          <t>NORRBOTTENS LÄN</t>
        </is>
      </c>
      <c r="E187" t="inlineStr">
        <is>
          <t>ARVIDSJAUR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48048-2022</t>
        </is>
      </c>
      <c r="B188" s="1" t="n">
        <v>44855</v>
      </c>
      <c r="C188" s="1" t="n">
        <v>45881</v>
      </c>
      <c r="D188" t="inlineStr">
        <is>
          <t>NORRBOTTENS LÄN</t>
        </is>
      </c>
      <c r="E188" t="inlineStr">
        <is>
          <t>ARVIDSJAUR</t>
        </is>
      </c>
      <c r="G188" t="n">
        <v>3.2</v>
      </c>
      <c r="H188" t="n">
        <v>0</v>
      </c>
      <c r="I188" t="n">
        <v>0</v>
      </c>
      <c r="J188" t="n">
        <v>0</v>
      </c>
      <c r="K188" t="n">
        <v>0</v>
      </c>
      <c r="L188" t="n">
        <v>0</v>
      </c>
      <c r="M188" t="n">
        <v>0</v>
      </c>
      <c r="N188" t="n">
        <v>0</v>
      </c>
      <c r="O188" t="n">
        <v>0</v>
      </c>
      <c r="P188" t="n">
        <v>0</v>
      </c>
      <c r="Q188" t="n">
        <v>0</v>
      </c>
      <c r="R188" s="2" t="inlineStr"/>
    </row>
    <row r="189" ht="15" customHeight="1">
      <c r="A189" t="inlineStr">
        <is>
          <t>A 10126-2024</t>
        </is>
      </c>
      <c r="B189" s="1" t="n">
        <v>45364</v>
      </c>
      <c r="C189" s="1" t="n">
        <v>45881</v>
      </c>
      <c r="D189" t="inlineStr">
        <is>
          <t>NORRBOTTENS LÄN</t>
        </is>
      </c>
      <c r="E189" t="inlineStr">
        <is>
          <t>ARVIDSJAUR</t>
        </is>
      </c>
      <c r="F189" t="inlineStr">
        <is>
          <t>Sveaskog</t>
        </is>
      </c>
      <c r="G189" t="n">
        <v>19.8</v>
      </c>
      <c r="H189" t="n">
        <v>0</v>
      </c>
      <c r="I189" t="n">
        <v>0</v>
      </c>
      <c r="J189" t="n">
        <v>0</v>
      </c>
      <c r="K189" t="n">
        <v>0</v>
      </c>
      <c r="L189" t="n">
        <v>0</v>
      </c>
      <c r="M189" t="n">
        <v>0</v>
      </c>
      <c r="N189" t="n">
        <v>0</v>
      </c>
      <c r="O189" t="n">
        <v>0</v>
      </c>
      <c r="P189" t="n">
        <v>0</v>
      </c>
      <c r="Q189" t="n">
        <v>0</v>
      </c>
      <c r="R189" s="2" t="inlineStr"/>
    </row>
    <row r="190" ht="15" customHeight="1">
      <c r="A190" t="inlineStr">
        <is>
          <t>A 2778-2023</t>
        </is>
      </c>
      <c r="B190" s="1" t="n">
        <v>44944</v>
      </c>
      <c r="C190" s="1" t="n">
        <v>45881</v>
      </c>
      <c r="D190" t="inlineStr">
        <is>
          <t>NORRBOTTENS LÄN</t>
        </is>
      </c>
      <c r="E190" t="inlineStr">
        <is>
          <t>ARVIDSJAUR</t>
        </is>
      </c>
      <c r="F190" t="inlineStr">
        <is>
          <t>Sveaskog</t>
        </is>
      </c>
      <c r="G190" t="n">
        <v>11.1</v>
      </c>
      <c r="H190" t="n">
        <v>0</v>
      </c>
      <c r="I190" t="n">
        <v>0</v>
      </c>
      <c r="J190" t="n">
        <v>0</v>
      </c>
      <c r="K190" t="n">
        <v>0</v>
      </c>
      <c r="L190" t="n">
        <v>0</v>
      </c>
      <c r="M190" t="n">
        <v>0</v>
      </c>
      <c r="N190" t="n">
        <v>0</v>
      </c>
      <c r="O190" t="n">
        <v>0</v>
      </c>
      <c r="P190" t="n">
        <v>0</v>
      </c>
      <c r="Q190" t="n">
        <v>0</v>
      </c>
      <c r="R190" s="2" t="inlineStr"/>
    </row>
    <row r="191" ht="15" customHeight="1">
      <c r="A191" t="inlineStr">
        <is>
          <t>A 10243-2024</t>
        </is>
      </c>
      <c r="B191" s="1" t="n">
        <v>45365</v>
      </c>
      <c r="C191" s="1" t="n">
        <v>45881</v>
      </c>
      <c r="D191" t="inlineStr">
        <is>
          <t>NORRBOTTENS LÄN</t>
        </is>
      </c>
      <c r="E191" t="inlineStr">
        <is>
          <t>ARVIDSJAUR</t>
        </is>
      </c>
      <c r="F191" t="inlineStr">
        <is>
          <t>Sveaskog</t>
        </is>
      </c>
      <c r="G191" t="n">
        <v>7.5</v>
      </c>
      <c r="H191" t="n">
        <v>0</v>
      </c>
      <c r="I191" t="n">
        <v>0</v>
      </c>
      <c r="J191" t="n">
        <v>0</v>
      </c>
      <c r="K191" t="n">
        <v>0</v>
      </c>
      <c r="L191" t="n">
        <v>0</v>
      </c>
      <c r="M191" t="n">
        <v>0</v>
      </c>
      <c r="N191" t="n">
        <v>0</v>
      </c>
      <c r="O191" t="n">
        <v>0</v>
      </c>
      <c r="P191" t="n">
        <v>0</v>
      </c>
      <c r="Q191" t="n">
        <v>0</v>
      </c>
      <c r="R191" s="2" t="inlineStr"/>
    </row>
    <row r="192" ht="15" customHeight="1">
      <c r="A192" t="inlineStr">
        <is>
          <t>A 56980-2024</t>
        </is>
      </c>
      <c r="B192" s="1" t="n">
        <v>45628</v>
      </c>
      <c r="C192" s="1" t="n">
        <v>45881</v>
      </c>
      <c r="D192" t="inlineStr">
        <is>
          <t>NORRBOTTENS LÄN</t>
        </is>
      </c>
      <c r="E192" t="inlineStr">
        <is>
          <t>ARVIDSJAUR</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10130-2024</t>
        </is>
      </c>
      <c r="B193" s="1" t="n">
        <v>45364</v>
      </c>
      <c r="C193" s="1" t="n">
        <v>45881</v>
      </c>
      <c r="D193" t="inlineStr">
        <is>
          <t>NORRBOTTENS LÄN</t>
        </is>
      </c>
      <c r="E193" t="inlineStr">
        <is>
          <t>ARVIDSJAUR</t>
        </is>
      </c>
      <c r="F193" t="inlineStr">
        <is>
          <t>Sveaskog</t>
        </is>
      </c>
      <c r="G193" t="n">
        <v>22.5</v>
      </c>
      <c r="H193" t="n">
        <v>0</v>
      </c>
      <c r="I193" t="n">
        <v>0</v>
      </c>
      <c r="J193" t="n">
        <v>0</v>
      </c>
      <c r="K193" t="n">
        <v>0</v>
      </c>
      <c r="L193" t="n">
        <v>0</v>
      </c>
      <c r="M193" t="n">
        <v>0</v>
      </c>
      <c r="N193" t="n">
        <v>0</v>
      </c>
      <c r="O193" t="n">
        <v>0</v>
      </c>
      <c r="P193" t="n">
        <v>0</v>
      </c>
      <c r="Q193" t="n">
        <v>0</v>
      </c>
      <c r="R193" s="2" t="inlineStr"/>
    </row>
    <row r="194" ht="15" customHeight="1">
      <c r="A194" t="inlineStr">
        <is>
          <t>A 9621-2024</t>
        </is>
      </c>
      <c r="B194" s="1" t="n">
        <v>45361</v>
      </c>
      <c r="C194" s="1" t="n">
        <v>45881</v>
      </c>
      <c r="D194" t="inlineStr">
        <is>
          <t>NORRBOTTENS LÄN</t>
        </is>
      </c>
      <c r="E194" t="inlineStr">
        <is>
          <t>ARVIDSJAUR</t>
        </is>
      </c>
      <c r="G194" t="n">
        <v>0.4</v>
      </c>
      <c r="H194" t="n">
        <v>0</v>
      </c>
      <c r="I194" t="n">
        <v>0</v>
      </c>
      <c r="J194" t="n">
        <v>0</v>
      </c>
      <c r="K194" t="n">
        <v>0</v>
      </c>
      <c r="L194" t="n">
        <v>0</v>
      </c>
      <c r="M194" t="n">
        <v>0</v>
      </c>
      <c r="N194" t="n">
        <v>0</v>
      </c>
      <c r="O194" t="n">
        <v>0</v>
      </c>
      <c r="P194" t="n">
        <v>0</v>
      </c>
      <c r="Q194" t="n">
        <v>0</v>
      </c>
      <c r="R194" s="2" t="inlineStr"/>
    </row>
    <row r="195" ht="15" customHeight="1">
      <c r="A195" t="inlineStr">
        <is>
          <t>A 22688-2024</t>
        </is>
      </c>
      <c r="B195" s="1" t="n">
        <v>45448</v>
      </c>
      <c r="C195" s="1" t="n">
        <v>45881</v>
      </c>
      <c r="D195" t="inlineStr">
        <is>
          <t>NORRBOTTENS LÄN</t>
        </is>
      </c>
      <c r="E195" t="inlineStr">
        <is>
          <t>ARVIDSJAUR</t>
        </is>
      </c>
      <c r="G195" t="n">
        <v>6.4</v>
      </c>
      <c r="H195" t="n">
        <v>0</v>
      </c>
      <c r="I195" t="n">
        <v>0</v>
      </c>
      <c r="J195" t="n">
        <v>0</v>
      </c>
      <c r="K195" t="n">
        <v>0</v>
      </c>
      <c r="L195" t="n">
        <v>0</v>
      </c>
      <c r="M195" t="n">
        <v>0</v>
      </c>
      <c r="N195" t="n">
        <v>0</v>
      </c>
      <c r="O195" t="n">
        <v>0</v>
      </c>
      <c r="P195" t="n">
        <v>0</v>
      </c>
      <c r="Q195" t="n">
        <v>0</v>
      </c>
      <c r="R195" s="2" t="inlineStr"/>
    </row>
    <row r="196" ht="15" customHeight="1">
      <c r="A196" t="inlineStr">
        <is>
          <t>A 41235-2022</t>
        </is>
      </c>
      <c r="B196" s="1" t="n">
        <v>44825</v>
      </c>
      <c r="C196" s="1" t="n">
        <v>45881</v>
      </c>
      <c r="D196" t="inlineStr">
        <is>
          <t>NORRBOTTENS LÄN</t>
        </is>
      </c>
      <c r="E196" t="inlineStr">
        <is>
          <t>ARVIDSJAUR</t>
        </is>
      </c>
      <c r="G196" t="n">
        <v>0.8</v>
      </c>
      <c r="H196" t="n">
        <v>0</v>
      </c>
      <c r="I196" t="n">
        <v>0</v>
      </c>
      <c r="J196" t="n">
        <v>0</v>
      </c>
      <c r="K196" t="n">
        <v>0</v>
      </c>
      <c r="L196" t="n">
        <v>0</v>
      </c>
      <c r="M196" t="n">
        <v>0</v>
      </c>
      <c r="N196" t="n">
        <v>0</v>
      </c>
      <c r="O196" t="n">
        <v>0</v>
      </c>
      <c r="P196" t="n">
        <v>0</v>
      </c>
      <c r="Q196" t="n">
        <v>0</v>
      </c>
      <c r="R196" s="2" t="inlineStr"/>
    </row>
    <row r="197" ht="15" customHeight="1">
      <c r="A197" t="inlineStr">
        <is>
          <t>A 49141-2022</t>
        </is>
      </c>
      <c r="B197" s="1" t="n">
        <v>44860</v>
      </c>
      <c r="C197" s="1" t="n">
        <v>45881</v>
      </c>
      <c r="D197" t="inlineStr">
        <is>
          <t>NORRBOTTENS LÄN</t>
        </is>
      </c>
      <c r="E197" t="inlineStr">
        <is>
          <t>ARVIDSJAUR</t>
        </is>
      </c>
      <c r="G197" t="n">
        <v>4</v>
      </c>
      <c r="H197" t="n">
        <v>0</v>
      </c>
      <c r="I197" t="n">
        <v>0</v>
      </c>
      <c r="J197" t="n">
        <v>0</v>
      </c>
      <c r="K197" t="n">
        <v>0</v>
      </c>
      <c r="L197" t="n">
        <v>0</v>
      </c>
      <c r="M197" t="n">
        <v>0</v>
      </c>
      <c r="N197" t="n">
        <v>0</v>
      </c>
      <c r="O197" t="n">
        <v>0</v>
      </c>
      <c r="P197" t="n">
        <v>0</v>
      </c>
      <c r="Q197" t="n">
        <v>0</v>
      </c>
      <c r="R197" s="2" t="inlineStr"/>
    </row>
    <row r="198" ht="15" customHeight="1">
      <c r="A198" t="inlineStr">
        <is>
          <t>A 3207-2024</t>
        </is>
      </c>
      <c r="B198" s="1" t="n">
        <v>45316</v>
      </c>
      <c r="C198" s="1" t="n">
        <v>45881</v>
      </c>
      <c r="D198" t="inlineStr">
        <is>
          <t>NORRBOTTENS LÄN</t>
        </is>
      </c>
      <c r="E198" t="inlineStr">
        <is>
          <t>ARVIDSJAUR</t>
        </is>
      </c>
      <c r="F198" t="inlineStr">
        <is>
          <t>Allmännings- och besparingsskogar</t>
        </is>
      </c>
      <c r="G198" t="n">
        <v>6.6</v>
      </c>
      <c r="H198" t="n">
        <v>0</v>
      </c>
      <c r="I198" t="n">
        <v>0</v>
      </c>
      <c r="J198" t="n">
        <v>0</v>
      </c>
      <c r="K198" t="n">
        <v>0</v>
      </c>
      <c r="L198" t="n">
        <v>0</v>
      </c>
      <c r="M198" t="n">
        <v>0</v>
      </c>
      <c r="N198" t="n">
        <v>0</v>
      </c>
      <c r="O198" t="n">
        <v>0</v>
      </c>
      <c r="P198" t="n">
        <v>0</v>
      </c>
      <c r="Q198" t="n">
        <v>0</v>
      </c>
      <c r="R198" s="2" t="inlineStr"/>
    </row>
    <row r="199" ht="15" customHeight="1">
      <c r="A199" t="inlineStr">
        <is>
          <t>A 48614-2024</t>
        </is>
      </c>
      <c r="B199" s="1" t="n">
        <v>45593</v>
      </c>
      <c r="C199" s="1" t="n">
        <v>45881</v>
      </c>
      <c r="D199" t="inlineStr">
        <is>
          <t>NORRBOTTENS LÄN</t>
        </is>
      </c>
      <c r="E199" t="inlineStr">
        <is>
          <t>ARVIDSJAUR</t>
        </is>
      </c>
      <c r="G199" t="n">
        <v>13.4</v>
      </c>
      <c r="H199" t="n">
        <v>0</v>
      </c>
      <c r="I199" t="n">
        <v>0</v>
      </c>
      <c r="J199" t="n">
        <v>0</v>
      </c>
      <c r="K199" t="n">
        <v>0</v>
      </c>
      <c r="L199" t="n">
        <v>0</v>
      </c>
      <c r="M199" t="n">
        <v>0</v>
      </c>
      <c r="N199" t="n">
        <v>0</v>
      </c>
      <c r="O199" t="n">
        <v>0</v>
      </c>
      <c r="P199" t="n">
        <v>0</v>
      </c>
      <c r="Q199" t="n">
        <v>0</v>
      </c>
      <c r="R199" s="2" t="inlineStr"/>
    </row>
    <row r="200" ht="15" customHeight="1">
      <c r="A200" t="inlineStr">
        <is>
          <t>A 37649-2024</t>
        </is>
      </c>
      <c r="B200" s="1" t="n">
        <v>45541</v>
      </c>
      <c r="C200" s="1" t="n">
        <v>45881</v>
      </c>
      <c r="D200" t="inlineStr">
        <is>
          <t>NORRBOTTENS LÄN</t>
        </is>
      </c>
      <c r="E200" t="inlineStr">
        <is>
          <t>ARVIDSJAUR</t>
        </is>
      </c>
      <c r="F200" t="inlineStr">
        <is>
          <t>Allmännings- och besparingsskogar</t>
        </is>
      </c>
      <c r="G200" t="n">
        <v>6.1</v>
      </c>
      <c r="H200" t="n">
        <v>0</v>
      </c>
      <c r="I200" t="n">
        <v>0</v>
      </c>
      <c r="J200" t="n">
        <v>0</v>
      </c>
      <c r="K200" t="n">
        <v>0</v>
      </c>
      <c r="L200" t="n">
        <v>0</v>
      </c>
      <c r="M200" t="n">
        <v>0</v>
      </c>
      <c r="N200" t="n">
        <v>0</v>
      </c>
      <c r="O200" t="n">
        <v>0</v>
      </c>
      <c r="P200" t="n">
        <v>0</v>
      </c>
      <c r="Q200" t="n">
        <v>0</v>
      </c>
      <c r="R200" s="2" t="inlineStr"/>
      <c r="U200">
        <f>HYPERLINK("https://klasma.github.io/Logging_2505/knärot/A 37649-2024 karta knärot.png", "A 37649-2024")</f>
        <v/>
      </c>
      <c r="V200">
        <f>HYPERLINK("https://klasma.github.io/Logging_2505/klagomål/A 37649-2024 FSC-klagomål.docx", "A 37649-2024")</f>
        <v/>
      </c>
      <c r="W200">
        <f>HYPERLINK("https://klasma.github.io/Logging_2505/klagomålsmail/A 37649-2024 FSC-klagomål mail.docx", "A 37649-2024")</f>
        <v/>
      </c>
      <c r="X200">
        <f>HYPERLINK("https://klasma.github.io/Logging_2505/tillsyn/A 37649-2024 tillsynsbegäran.docx", "A 37649-2024")</f>
        <v/>
      </c>
      <c r="Y200">
        <f>HYPERLINK("https://klasma.github.io/Logging_2505/tillsynsmail/A 37649-2024 tillsynsbegäran mail.docx", "A 37649-2024")</f>
        <v/>
      </c>
    </row>
    <row r="201" ht="15" customHeight="1">
      <c r="A201" t="inlineStr">
        <is>
          <t>A 41659-2024</t>
        </is>
      </c>
      <c r="B201" s="1" t="n">
        <v>45560</v>
      </c>
      <c r="C201" s="1" t="n">
        <v>45881</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52837-2024</t>
        </is>
      </c>
      <c r="B202" s="1" t="n">
        <v>45610</v>
      </c>
      <c r="C202" s="1" t="n">
        <v>45881</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10851-2025</t>
        </is>
      </c>
      <c r="B203" s="1" t="n">
        <v>45722</v>
      </c>
      <c r="C203" s="1" t="n">
        <v>45881</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39328-2023</t>
        </is>
      </c>
      <c r="B204" s="1" t="n">
        <v>45166</v>
      </c>
      <c r="C204" s="1" t="n">
        <v>45881</v>
      </c>
      <c r="D204" t="inlineStr">
        <is>
          <t>NORRBOTTENS LÄN</t>
        </is>
      </c>
      <c r="E204" t="inlineStr">
        <is>
          <t>ARVIDSJAUR</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22996-2024</t>
        </is>
      </c>
      <c r="B205" s="1" t="n">
        <v>45450</v>
      </c>
      <c r="C205" s="1" t="n">
        <v>45881</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8483-2021</t>
        </is>
      </c>
      <c r="B206" s="1" t="n">
        <v>44244</v>
      </c>
      <c r="C206" s="1" t="n">
        <v>45881</v>
      </c>
      <c r="D206" t="inlineStr">
        <is>
          <t>NORRBOTTENS LÄN</t>
        </is>
      </c>
      <c r="E206" t="inlineStr">
        <is>
          <t>ARVIDSJAUR</t>
        </is>
      </c>
      <c r="G206" t="n">
        <v>33.1</v>
      </c>
      <c r="H206" t="n">
        <v>0</v>
      </c>
      <c r="I206" t="n">
        <v>0</v>
      </c>
      <c r="J206" t="n">
        <v>0</v>
      </c>
      <c r="K206" t="n">
        <v>0</v>
      </c>
      <c r="L206" t="n">
        <v>0</v>
      </c>
      <c r="M206" t="n">
        <v>0</v>
      </c>
      <c r="N206" t="n">
        <v>0</v>
      </c>
      <c r="O206" t="n">
        <v>0</v>
      </c>
      <c r="P206" t="n">
        <v>0</v>
      </c>
      <c r="Q206" t="n">
        <v>0</v>
      </c>
      <c r="R206" s="2" t="inlineStr"/>
    </row>
    <row r="207" ht="15" customHeight="1">
      <c r="A207" t="inlineStr">
        <is>
          <t>A 22696-2024</t>
        </is>
      </c>
      <c r="B207" s="1" t="n">
        <v>45448</v>
      </c>
      <c r="C207" s="1" t="n">
        <v>45881</v>
      </c>
      <c r="D207" t="inlineStr">
        <is>
          <t>NORRBOTTENS LÄN</t>
        </is>
      </c>
      <c r="E207" t="inlineStr">
        <is>
          <t>ARVIDSJAUR</t>
        </is>
      </c>
      <c r="F207" t="inlineStr">
        <is>
          <t>Sveaskog</t>
        </is>
      </c>
      <c r="G207" t="n">
        <v>23.1</v>
      </c>
      <c r="H207" t="n">
        <v>0</v>
      </c>
      <c r="I207" t="n">
        <v>0</v>
      </c>
      <c r="J207" t="n">
        <v>0</v>
      </c>
      <c r="K207" t="n">
        <v>0</v>
      </c>
      <c r="L207" t="n">
        <v>0</v>
      </c>
      <c r="M207" t="n">
        <v>0</v>
      </c>
      <c r="N207" t="n">
        <v>0</v>
      </c>
      <c r="O207" t="n">
        <v>0</v>
      </c>
      <c r="P207" t="n">
        <v>0</v>
      </c>
      <c r="Q207" t="n">
        <v>0</v>
      </c>
      <c r="R207" s="2" t="inlineStr"/>
    </row>
    <row r="208" ht="15" customHeight="1">
      <c r="A208" t="inlineStr">
        <is>
          <t>A 34998-2023</t>
        </is>
      </c>
      <c r="B208" s="1" t="n">
        <v>45142</v>
      </c>
      <c r="C208" s="1" t="n">
        <v>45881</v>
      </c>
      <c r="D208" t="inlineStr">
        <is>
          <t>NORRBOTTENS LÄN</t>
        </is>
      </c>
      <c r="E208" t="inlineStr">
        <is>
          <t>ARVIDSJAUR</t>
        </is>
      </c>
      <c r="G208" t="n">
        <v>10.3</v>
      </c>
      <c r="H208" t="n">
        <v>0</v>
      </c>
      <c r="I208" t="n">
        <v>0</v>
      </c>
      <c r="J208" t="n">
        <v>0</v>
      </c>
      <c r="K208" t="n">
        <v>0</v>
      </c>
      <c r="L208" t="n">
        <v>0</v>
      </c>
      <c r="M208" t="n">
        <v>0</v>
      </c>
      <c r="N208" t="n">
        <v>0</v>
      </c>
      <c r="O208" t="n">
        <v>0</v>
      </c>
      <c r="P208" t="n">
        <v>0</v>
      </c>
      <c r="Q208" t="n">
        <v>0</v>
      </c>
      <c r="R208" s="2" t="inlineStr"/>
    </row>
    <row r="209" ht="15" customHeight="1">
      <c r="A209" t="inlineStr">
        <is>
          <t>A 39436-2024</t>
        </is>
      </c>
      <c r="B209" s="1" t="n">
        <v>45551</v>
      </c>
      <c r="C209" s="1" t="n">
        <v>45881</v>
      </c>
      <c r="D209" t="inlineStr">
        <is>
          <t>NORRBOTTENS LÄN</t>
        </is>
      </c>
      <c r="E209" t="inlineStr">
        <is>
          <t>ARVIDSJAUR</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53878-2024</t>
        </is>
      </c>
      <c r="B210" s="1" t="n">
        <v>45614</v>
      </c>
      <c r="C210" s="1" t="n">
        <v>45881</v>
      </c>
      <c r="D210" t="inlineStr">
        <is>
          <t>NORRBOTTENS LÄN</t>
        </is>
      </c>
      <c r="E210" t="inlineStr">
        <is>
          <t>ARVIDSJAUR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20393-2025</t>
        </is>
      </c>
      <c r="B211" s="1" t="n">
        <v>45775.44886574074</v>
      </c>
      <c r="C211" s="1" t="n">
        <v>45881</v>
      </c>
      <c r="D211" t="inlineStr">
        <is>
          <t>NORRBOTTENS LÄN</t>
        </is>
      </c>
      <c r="E211" t="inlineStr">
        <is>
          <t>ARVIDSJAUR</t>
        </is>
      </c>
      <c r="G211" t="n">
        <v>7.6</v>
      </c>
      <c r="H211" t="n">
        <v>0</v>
      </c>
      <c r="I211" t="n">
        <v>0</v>
      </c>
      <c r="J211" t="n">
        <v>0</v>
      </c>
      <c r="K211" t="n">
        <v>0</v>
      </c>
      <c r="L211" t="n">
        <v>0</v>
      </c>
      <c r="M211" t="n">
        <v>0</v>
      </c>
      <c r="N211" t="n">
        <v>0</v>
      </c>
      <c r="O211" t="n">
        <v>0</v>
      </c>
      <c r="P211" t="n">
        <v>0</v>
      </c>
      <c r="Q211" t="n">
        <v>0</v>
      </c>
      <c r="R211" s="2" t="inlineStr"/>
    </row>
    <row r="212" ht="15" customHeight="1">
      <c r="A212" t="inlineStr">
        <is>
          <t>A 36403-2023</t>
        </is>
      </c>
      <c r="B212" s="1" t="n">
        <v>45152</v>
      </c>
      <c r="C212" s="1" t="n">
        <v>45881</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50119-2024</t>
        </is>
      </c>
      <c r="B213" s="1" t="n">
        <v>45600.41550925926</v>
      </c>
      <c r="C213" s="1" t="n">
        <v>45881</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30756-2023</t>
        </is>
      </c>
      <c r="B214" s="1" t="n">
        <v>45103</v>
      </c>
      <c r="C214" s="1" t="n">
        <v>45881</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45769-2021</t>
        </is>
      </c>
      <c r="B215" s="1" t="n">
        <v>44441</v>
      </c>
      <c r="C215" s="1" t="n">
        <v>45881</v>
      </c>
      <c r="D215" t="inlineStr">
        <is>
          <t>NORRBOTTENS LÄN</t>
        </is>
      </c>
      <c r="E215" t="inlineStr">
        <is>
          <t>ARVIDSJAUR</t>
        </is>
      </c>
      <c r="G215" t="n">
        <v>1.4</v>
      </c>
      <c r="H215" t="n">
        <v>0</v>
      </c>
      <c r="I215" t="n">
        <v>0</v>
      </c>
      <c r="J215" t="n">
        <v>0</v>
      </c>
      <c r="K215" t="n">
        <v>0</v>
      </c>
      <c r="L215" t="n">
        <v>0</v>
      </c>
      <c r="M215" t="n">
        <v>0</v>
      </c>
      <c r="N215" t="n">
        <v>0</v>
      </c>
      <c r="O215" t="n">
        <v>0</v>
      </c>
      <c r="P215" t="n">
        <v>0</v>
      </c>
      <c r="Q215" t="n">
        <v>0</v>
      </c>
      <c r="R215" s="2" t="inlineStr"/>
    </row>
    <row r="216" ht="15" customHeight="1">
      <c r="A216" t="inlineStr">
        <is>
          <t>A 8626-2023</t>
        </is>
      </c>
      <c r="B216" s="1" t="n">
        <v>44977</v>
      </c>
      <c r="C216" s="1" t="n">
        <v>45881</v>
      </c>
      <c r="D216" t="inlineStr">
        <is>
          <t>NORRBOTTENS LÄN</t>
        </is>
      </c>
      <c r="E216" t="inlineStr">
        <is>
          <t>ARVIDSJAUR</t>
        </is>
      </c>
      <c r="G216" t="n">
        <v>3.4</v>
      </c>
      <c r="H216" t="n">
        <v>0</v>
      </c>
      <c r="I216" t="n">
        <v>0</v>
      </c>
      <c r="J216" t="n">
        <v>0</v>
      </c>
      <c r="K216" t="n">
        <v>0</v>
      </c>
      <c r="L216" t="n">
        <v>0</v>
      </c>
      <c r="M216" t="n">
        <v>0</v>
      </c>
      <c r="N216" t="n">
        <v>0</v>
      </c>
      <c r="O216" t="n">
        <v>0</v>
      </c>
      <c r="P216" t="n">
        <v>0</v>
      </c>
      <c r="Q216" t="n">
        <v>0</v>
      </c>
      <c r="R216" s="2" t="inlineStr"/>
    </row>
    <row r="217" ht="15" customHeight="1">
      <c r="A217" t="inlineStr">
        <is>
          <t>A 36090-2023</t>
        </is>
      </c>
      <c r="B217" s="1" t="n">
        <v>45149</v>
      </c>
      <c r="C217" s="1" t="n">
        <v>45881</v>
      </c>
      <c r="D217" t="inlineStr">
        <is>
          <t>NORRBOTTENS LÄN</t>
        </is>
      </c>
      <c r="E217" t="inlineStr">
        <is>
          <t>ARVIDSJAUR</t>
        </is>
      </c>
      <c r="F217" t="inlineStr">
        <is>
          <t>Sveaskog</t>
        </is>
      </c>
      <c r="G217" t="n">
        <v>0.5</v>
      </c>
      <c r="H217" t="n">
        <v>0</v>
      </c>
      <c r="I217" t="n">
        <v>0</v>
      </c>
      <c r="J217" t="n">
        <v>0</v>
      </c>
      <c r="K217" t="n">
        <v>0</v>
      </c>
      <c r="L217" t="n">
        <v>0</v>
      </c>
      <c r="M217" t="n">
        <v>0</v>
      </c>
      <c r="N217" t="n">
        <v>0</v>
      </c>
      <c r="O217" t="n">
        <v>0</v>
      </c>
      <c r="P217" t="n">
        <v>0</v>
      </c>
      <c r="Q217" t="n">
        <v>0</v>
      </c>
      <c r="R217" s="2" t="inlineStr"/>
    </row>
    <row r="218" ht="15" customHeight="1">
      <c r="A218" t="inlineStr">
        <is>
          <t>A 50323-2024</t>
        </is>
      </c>
      <c r="B218" s="1" t="n">
        <v>45600.67706018518</v>
      </c>
      <c r="C218" s="1" t="n">
        <v>45881</v>
      </c>
      <c r="D218" t="inlineStr">
        <is>
          <t>NORRBOTTENS LÄN</t>
        </is>
      </c>
      <c r="E218" t="inlineStr">
        <is>
          <t>ARVIDSJAUR</t>
        </is>
      </c>
      <c r="F218" t="inlineStr">
        <is>
          <t>Sveaskog</t>
        </is>
      </c>
      <c r="G218" t="n">
        <v>5.1</v>
      </c>
      <c r="H218" t="n">
        <v>0</v>
      </c>
      <c r="I218" t="n">
        <v>0</v>
      </c>
      <c r="J218" t="n">
        <v>0</v>
      </c>
      <c r="K218" t="n">
        <v>0</v>
      </c>
      <c r="L218" t="n">
        <v>0</v>
      </c>
      <c r="M218" t="n">
        <v>0</v>
      </c>
      <c r="N218" t="n">
        <v>0</v>
      </c>
      <c r="O218" t="n">
        <v>0</v>
      </c>
      <c r="P218" t="n">
        <v>0</v>
      </c>
      <c r="Q218" t="n">
        <v>0</v>
      </c>
      <c r="R218" s="2" t="inlineStr"/>
    </row>
    <row r="219" ht="15" customHeight="1">
      <c r="A219" t="inlineStr">
        <is>
          <t>A 3343-2024</t>
        </is>
      </c>
      <c r="B219" s="1" t="n">
        <v>45317</v>
      </c>
      <c r="C219" s="1" t="n">
        <v>45881</v>
      </c>
      <c r="D219" t="inlineStr">
        <is>
          <t>NORRBOTTENS LÄN</t>
        </is>
      </c>
      <c r="E219" t="inlineStr">
        <is>
          <t>ARVIDSJAUR</t>
        </is>
      </c>
      <c r="G219" t="n">
        <v>10.9</v>
      </c>
      <c r="H219" t="n">
        <v>0</v>
      </c>
      <c r="I219" t="n">
        <v>0</v>
      </c>
      <c r="J219" t="n">
        <v>0</v>
      </c>
      <c r="K219" t="n">
        <v>0</v>
      </c>
      <c r="L219" t="n">
        <v>0</v>
      </c>
      <c r="M219" t="n">
        <v>0</v>
      </c>
      <c r="N219" t="n">
        <v>0</v>
      </c>
      <c r="O219" t="n">
        <v>0</v>
      </c>
      <c r="P219" t="n">
        <v>0</v>
      </c>
      <c r="Q219" t="n">
        <v>0</v>
      </c>
      <c r="R219" s="2" t="inlineStr"/>
    </row>
    <row r="220" ht="15" customHeight="1">
      <c r="A220" t="inlineStr">
        <is>
          <t>A 55938-2024</t>
        </is>
      </c>
      <c r="B220" s="1" t="n">
        <v>45622</v>
      </c>
      <c r="C220" s="1" t="n">
        <v>45881</v>
      </c>
      <c r="D220" t="inlineStr">
        <is>
          <t>NORRBOTTENS LÄN</t>
        </is>
      </c>
      <c r="E220" t="inlineStr">
        <is>
          <t>ARVIDSJAUR</t>
        </is>
      </c>
      <c r="G220" t="n">
        <v>1.5</v>
      </c>
      <c r="H220" t="n">
        <v>0</v>
      </c>
      <c r="I220" t="n">
        <v>0</v>
      </c>
      <c r="J220" t="n">
        <v>0</v>
      </c>
      <c r="K220" t="n">
        <v>0</v>
      </c>
      <c r="L220" t="n">
        <v>0</v>
      </c>
      <c r="M220" t="n">
        <v>0</v>
      </c>
      <c r="N220" t="n">
        <v>0</v>
      </c>
      <c r="O220" t="n">
        <v>0</v>
      </c>
      <c r="P220" t="n">
        <v>0</v>
      </c>
      <c r="Q220" t="n">
        <v>0</v>
      </c>
      <c r="R220" s="2" t="inlineStr"/>
    </row>
    <row r="221" ht="15" customHeight="1">
      <c r="A221" t="inlineStr">
        <is>
          <t>A 12023-2025</t>
        </is>
      </c>
      <c r="B221" s="1" t="n">
        <v>45728</v>
      </c>
      <c r="C221" s="1" t="n">
        <v>45881</v>
      </c>
      <c r="D221" t="inlineStr">
        <is>
          <t>NORRBOTTENS LÄN</t>
        </is>
      </c>
      <c r="E221" t="inlineStr">
        <is>
          <t>ARVIDSJAUR</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49207-2024</t>
        </is>
      </c>
      <c r="B222" s="1" t="n">
        <v>45595</v>
      </c>
      <c r="C222" s="1" t="n">
        <v>45881</v>
      </c>
      <c r="D222" t="inlineStr">
        <is>
          <t>NORRBOTTENS LÄN</t>
        </is>
      </c>
      <c r="E222" t="inlineStr">
        <is>
          <t>ARVIDSJAUR</t>
        </is>
      </c>
      <c r="G222" t="n">
        <v>2.5</v>
      </c>
      <c r="H222" t="n">
        <v>0</v>
      </c>
      <c r="I222" t="n">
        <v>0</v>
      </c>
      <c r="J222" t="n">
        <v>0</v>
      </c>
      <c r="K222" t="n">
        <v>0</v>
      </c>
      <c r="L222" t="n">
        <v>0</v>
      </c>
      <c r="M222" t="n">
        <v>0</v>
      </c>
      <c r="N222" t="n">
        <v>0</v>
      </c>
      <c r="O222" t="n">
        <v>0</v>
      </c>
      <c r="P222" t="n">
        <v>0</v>
      </c>
      <c r="Q222" t="n">
        <v>0</v>
      </c>
      <c r="R222" s="2" t="inlineStr"/>
    </row>
    <row r="223" ht="15" customHeight="1">
      <c r="A223" t="inlineStr">
        <is>
          <t>A 50109-2024</t>
        </is>
      </c>
      <c r="B223" s="1" t="n">
        <v>45600</v>
      </c>
      <c r="C223" s="1" t="n">
        <v>45881</v>
      </c>
      <c r="D223" t="inlineStr">
        <is>
          <t>NORRBOTTENS LÄN</t>
        </is>
      </c>
      <c r="E223" t="inlineStr">
        <is>
          <t>ARVIDSJAUR</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48461-2024</t>
        </is>
      </c>
      <c r="B224" s="1" t="n">
        <v>45590</v>
      </c>
      <c r="C224" s="1" t="n">
        <v>45881</v>
      </c>
      <c r="D224" t="inlineStr">
        <is>
          <t>NORRBOTTENS LÄN</t>
        </is>
      </c>
      <c r="E224" t="inlineStr">
        <is>
          <t>ARVIDSJAUR</t>
        </is>
      </c>
      <c r="G224" t="n">
        <v>3.1</v>
      </c>
      <c r="H224" t="n">
        <v>0</v>
      </c>
      <c r="I224" t="n">
        <v>0</v>
      </c>
      <c r="J224" t="n">
        <v>0</v>
      </c>
      <c r="K224" t="n">
        <v>0</v>
      </c>
      <c r="L224" t="n">
        <v>0</v>
      </c>
      <c r="M224" t="n">
        <v>0</v>
      </c>
      <c r="N224" t="n">
        <v>0</v>
      </c>
      <c r="O224" t="n">
        <v>0</v>
      </c>
      <c r="P224" t="n">
        <v>0</v>
      </c>
      <c r="Q224" t="n">
        <v>0</v>
      </c>
      <c r="R224" s="2" t="inlineStr"/>
    </row>
    <row r="225" ht="15" customHeight="1">
      <c r="A225" t="inlineStr">
        <is>
          <t>A 39925-2024</t>
        </is>
      </c>
      <c r="B225" s="1" t="n">
        <v>45553</v>
      </c>
      <c r="C225" s="1" t="n">
        <v>45881</v>
      </c>
      <c r="D225" t="inlineStr">
        <is>
          <t>NORRBOTTENS LÄN</t>
        </is>
      </c>
      <c r="E225" t="inlineStr">
        <is>
          <t>ARVIDSJAUR</t>
        </is>
      </c>
      <c r="G225" t="n">
        <v>6.9</v>
      </c>
      <c r="H225" t="n">
        <v>0</v>
      </c>
      <c r="I225" t="n">
        <v>0</v>
      </c>
      <c r="J225" t="n">
        <v>0</v>
      </c>
      <c r="K225" t="n">
        <v>0</v>
      </c>
      <c r="L225" t="n">
        <v>0</v>
      </c>
      <c r="M225" t="n">
        <v>0</v>
      </c>
      <c r="N225" t="n">
        <v>0</v>
      </c>
      <c r="O225" t="n">
        <v>0</v>
      </c>
      <c r="P225" t="n">
        <v>0</v>
      </c>
      <c r="Q225" t="n">
        <v>0</v>
      </c>
      <c r="R225" s="2" t="inlineStr"/>
    </row>
    <row r="226" ht="15" customHeight="1">
      <c r="A226" t="inlineStr">
        <is>
          <t>A 36764-2024</t>
        </is>
      </c>
      <c r="B226" s="1" t="n">
        <v>45538</v>
      </c>
      <c r="C226" s="1" t="n">
        <v>45881</v>
      </c>
      <c r="D226" t="inlineStr">
        <is>
          <t>NORRBOTTENS LÄN</t>
        </is>
      </c>
      <c r="E226" t="inlineStr">
        <is>
          <t>ARVIDSJAUR</t>
        </is>
      </c>
      <c r="G226" t="n">
        <v>2.9</v>
      </c>
      <c r="H226" t="n">
        <v>0</v>
      </c>
      <c r="I226" t="n">
        <v>0</v>
      </c>
      <c r="J226" t="n">
        <v>0</v>
      </c>
      <c r="K226" t="n">
        <v>0</v>
      </c>
      <c r="L226" t="n">
        <v>0</v>
      </c>
      <c r="M226" t="n">
        <v>0</v>
      </c>
      <c r="N226" t="n">
        <v>0</v>
      </c>
      <c r="O226" t="n">
        <v>0</v>
      </c>
      <c r="P226" t="n">
        <v>0</v>
      </c>
      <c r="Q226" t="n">
        <v>0</v>
      </c>
      <c r="R226" s="2" t="inlineStr"/>
    </row>
    <row r="227" ht="15" customHeight="1">
      <c r="A227" t="inlineStr">
        <is>
          <t>A 49170-2024</t>
        </is>
      </c>
      <c r="B227" s="1" t="n">
        <v>45595.305</v>
      </c>
      <c r="C227" s="1" t="n">
        <v>45881</v>
      </c>
      <c r="D227" t="inlineStr">
        <is>
          <t>NORRBOTTENS LÄN</t>
        </is>
      </c>
      <c r="E227" t="inlineStr">
        <is>
          <t>ARVIDSJAUR</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54341-2024</t>
        </is>
      </c>
      <c r="B228" s="1" t="n">
        <v>45617</v>
      </c>
      <c r="C228" s="1" t="n">
        <v>45881</v>
      </c>
      <c r="D228" t="inlineStr">
        <is>
          <t>NORRBOTTENS LÄN</t>
        </is>
      </c>
      <c r="E228" t="inlineStr">
        <is>
          <t>ARVIDSJAUR</t>
        </is>
      </c>
      <c r="F228" t="inlineStr">
        <is>
          <t>Sveaskog</t>
        </is>
      </c>
      <c r="G228" t="n">
        <v>5.7</v>
      </c>
      <c r="H228" t="n">
        <v>0</v>
      </c>
      <c r="I228" t="n">
        <v>0</v>
      </c>
      <c r="J228" t="n">
        <v>0</v>
      </c>
      <c r="K228" t="n">
        <v>0</v>
      </c>
      <c r="L228" t="n">
        <v>0</v>
      </c>
      <c r="M228" t="n">
        <v>0</v>
      </c>
      <c r="N228" t="n">
        <v>0</v>
      </c>
      <c r="O228" t="n">
        <v>0</v>
      </c>
      <c r="P228" t="n">
        <v>0</v>
      </c>
      <c r="Q228" t="n">
        <v>0</v>
      </c>
      <c r="R228" s="2" t="inlineStr"/>
    </row>
    <row r="229" ht="15" customHeight="1">
      <c r="A229" t="inlineStr">
        <is>
          <t>A 42695-2023</t>
        </is>
      </c>
      <c r="B229" s="1" t="n">
        <v>45176</v>
      </c>
      <c r="C229" s="1" t="n">
        <v>45881</v>
      </c>
      <c r="D229" t="inlineStr">
        <is>
          <t>NORRBOTTENS LÄN</t>
        </is>
      </c>
      <c r="E229" t="inlineStr">
        <is>
          <t>ARVIDSJAUR</t>
        </is>
      </c>
      <c r="G229" t="n">
        <v>2.7</v>
      </c>
      <c r="H229" t="n">
        <v>0</v>
      </c>
      <c r="I229" t="n">
        <v>0</v>
      </c>
      <c r="J229" t="n">
        <v>0</v>
      </c>
      <c r="K229" t="n">
        <v>0</v>
      </c>
      <c r="L229" t="n">
        <v>0</v>
      </c>
      <c r="M229" t="n">
        <v>0</v>
      </c>
      <c r="N229" t="n">
        <v>0</v>
      </c>
      <c r="O229" t="n">
        <v>0</v>
      </c>
      <c r="P229" t="n">
        <v>0</v>
      </c>
      <c r="Q229" t="n">
        <v>0</v>
      </c>
      <c r="R229" s="2" t="inlineStr"/>
    </row>
    <row r="230" ht="15" customHeight="1">
      <c r="A230" t="inlineStr">
        <is>
          <t>A 55557-2023</t>
        </is>
      </c>
      <c r="B230" s="1" t="n">
        <v>45232</v>
      </c>
      <c r="C230" s="1" t="n">
        <v>45881</v>
      </c>
      <c r="D230" t="inlineStr">
        <is>
          <t>NORRBOTTENS LÄN</t>
        </is>
      </c>
      <c r="E230" t="inlineStr">
        <is>
          <t>ARVIDSJAUR</t>
        </is>
      </c>
      <c r="G230" t="n">
        <v>6.3</v>
      </c>
      <c r="H230" t="n">
        <v>0</v>
      </c>
      <c r="I230" t="n">
        <v>0</v>
      </c>
      <c r="J230" t="n">
        <v>0</v>
      </c>
      <c r="K230" t="n">
        <v>0</v>
      </c>
      <c r="L230" t="n">
        <v>0</v>
      </c>
      <c r="M230" t="n">
        <v>0</v>
      </c>
      <c r="N230" t="n">
        <v>0</v>
      </c>
      <c r="O230" t="n">
        <v>0</v>
      </c>
      <c r="P230" t="n">
        <v>0</v>
      </c>
      <c r="Q230" t="n">
        <v>0</v>
      </c>
      <c r="R230" s="2" t="inlineStr"/>
    </row>
    <row r="231" ht="15" customHeight="1">
      <c r="A231" t="inlineStr">
        <is>
          <t>A 3034-2024</t>
        </is>
      </c>
      <c r="B231" s="1" t="n">
        <v>45316</v>
      </c>
      <c r="C231" s="1" t="n">
        <v>45881</v>
      </c>
      <c r="D231" t="inlineStr">
        <is>
          <t>NORRBOTTENS LÄN</t>
        </is>
      </c>
      <c r="E231" t="inlineStr">
        <is>
          <t>ARVIDSJAUR</t>
        </is>
      </c>
      <c r="F231" t="inlineStr">
        <is>
          <t>Allmännings- och besparingsskogar</t>
        </is>
      </c>
      <c r="G231" t="n">
        <v>3.9</v>
      </c>
      <c r="H231" t="n">
        <v>0</v>
      </c>
      <c r="I231" t="n">
        <v>0</v>
      </c>
      <c r="J231" t="n">
        <v>0</v>
      </c>
      <c r="K231" t="n">
        <v>0</v>
      </c>
      <c r="L231" t="n">
        <v>0</v>
      </c>
      <c r="M231" t="n">
        <v>0</v>
      </c>
      <c r="N231" t="n">
        <v>0</v>
      </c>
      <c r="O231" t="n">
        <v>0</v>
      </c>
      <c r="P231" t="n">
        <v>0</v>
      </c>
      <c r="Q231" t="n">
        <v>0</v>
      </c>
      <c r="R231" s="2" t="inlineStr"/>
    </row>
    <row r="232" ht="15" customHeight="1">
      <c r="A232" t="inlineStr">
        <is>
          <t>A 9996-2023</t>
        </is>
      </c>
      <c r="B232" s="1" t="n">
        <v>44979</v>
      </c>
      <c r="C232" s="1" t="n">
        <v>45881</v>
      </c>
      <c r="D232" t="inlineStr">
        <is>
          <t>NORRBOTTENS LÄN</t>
        </is>
      </c>
      <c r="E232" t="inlineStr">
        <is>
          <t>ARVIDSJAUR</t>
        </is>
      </c>
      <c r="G232" t="n">
        <v>6.6</v>
      </c>
      <c r="H232" t="n">
        <v>0</v>
      </c>
      <c r="I232" t="n">
        <v>0</v>
      </c>
      <c r="J232" t="n">
        <v>0</v>
      </c>
      <c r="K232" t="n">
        <v>0</v>
      </c>
      <c r="L232" t="n">
        <v>0</v>
      </c>
      <c r="M232" t="n">
        <v>0</v>
      </c>
      <c r="N232" t="n">
        <v>0</v>
      </c>
      <c r="O232" t="n">
        <v>0</v>
      </c>
      <c r="P232" t="n">
        <v>0</v>
      </c>
      <c r="Q232" t="n">
        <v>0</v>
      </c>
      <c r="R232" s="2" t="inlineStr"/>
    </row>
    <row r="233" ht="15" customHeight="1">
      <c r="A233" t="inlineStr">
        <is>
          <t>A 40937-2024</t>
        </is>
      </c>
      <c r="B233" s="1" t="n">
        <v>45558.6424537037</v>
      </c>
      <c r="C233" s="1" t="n">
        <v>45881</v>
      </c>
      <c r="D233" t="inlineStr">
        <is>
          <t>NORRBOTTENS LÄN</t>
        </is>
      </c>
      <c r="E233" t="inlineStr">
        <is>
          <t>ARVIDSJAUR</t>
        </is>
      </c>
      <c r="F233" t="inlineStr">
        <is>
          <t>Sveaskog</t>
        </is>
      </c>
      <c r="G233" t="n">
        <v>22.6</v>
      </c>
      <c r="H233" t="n">
        <v>0</v>
      </c>
      <c r="I233" t="n">
        <v>0</v>
      </c>
      <c r="J233" t="n">
        <v>0</v>
      </c>
      <c r="K233" t="n">
        <v>0</v>
      </c>
      <c r="L233" t="n">
        <v>0</v>
      </c>
      <c r="M233" t="n">
        <v>0</v>
      </c>
      <c r="N233" t="n">
        <v>0</v>
      </c>
      <c r="O233" t="n">
        <v>0</v>
      </c>
      <c r="P233" t="n">
        <v>0</v>
      </c>
      <c r="Q233" t="n">
        <v>0</v>
      </c>
      <c r="R233" s="2" t="inlineStr"/>
    </row>
    <row r="234" ht="15" customHeight="1">
      <c r="A234" t="inlineStr">
        <is>
          <t>A 39591-2023</t>
        </is>
      </c>
      <c r="B234" s="1" t="n">
        <v>45167</v>
      </c>
      <c r="C234" s="1" t="n">
        <v>45881</v>
      </c>
      <c r="D234" t="inlineStr">
        <is>
          <t>NORRBOTTENS LÄN</t>
        </is>
      </c>
      <c r="E234" t="inlineStr">
        <is>
          <t>ARVIDSJAUR</t>
        </is>
      </c>
      <c r="F234" t="inlineStr">
        <is>
          <t>Sveaskog</t>
        </is>
      </c>
      <c r="G234" t="n">
        <v>3.6</v>
      </c>
      <c r="H234" t="n">
        <v>0</v>
      </c>
      <c r="I234" t="n">
        <v>0</v>
      </c>
      <c r="J234" t="n">
        <v>0</v>
      </c>
      <c r="K234" t="n">
        <v>0</v>
      </c>
      <c r="L234" t="n">
        <v>0</v>
      </c>
      <c r="M234" t="n">
        <v>0</v>
      </c>
      <c r="N234" t="n">
        <v>0</v>
      </c>
      <c r="O234" t="n">
        <v>0</v>
      </c>
      <c r="P234" t="n">
        <v>0</v>
      </c>
      <c r="Q234" t="n">
        <v>0</v>
      </c>
      <c r="R234" s="2" t="inlineStr"/>
    </row>
    <row r="235" ht="15" customHeight="1">
      <c r="A235" t="inlineStr">
        <is>
          <t>A 30343-2023</t>
        </is>
      </c>
      <c r="B235" s="1" t="n">
        <v>45111</v>
      </c>
      <c r="C235" s="1" t="n">
        <v>45881</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50043-2024</t>
        </is>
      </c>
      <c r="B236" s="1" t="n">
        <v>45597</v>
      </c>
      <c r="C236" s="1" t="n">
        <v>45881</v>
      </c>
      <c r="D236" t="inlineStr">
        <is>
          <t>NORRBOTTENS LÄN</t>
        </is>
      </c>
      <c r="E236" t="inlineStr">
        <is>
          <t>ARVIDSJAUR</t>
        </is>
      </c>
      <c r="G236" t="n">
        <v>10.4</v>
      </c>
      <c r="H236" t="n">
        <v>0</v>
      </c>
      <c r="I236" t="n">
        <v>0</v>
      </c>
      <c r="J236" t="n">
        <v>0</v>
      </c>
      <c r="K236" t="n">
        <v>0</v>
      </c>
      <c r="L236" t="n">
        <v>0</v>
      </c>
      <c r="M236" t="n">
        <v>0</v>
      </c>
      <c r="N236" t="n">
        <v>0</v>
      </c>
      <c r="O236" t="n">
        <v>0</v>
      </c>
      <c r="P236" t="n">
        <v>0</v>
      </c>
      <c r="Q236" t="n">
        <v>0</v>
      </c>
      <c r="R236" s="2" t="inlineStr"/>
    </row>
    <row r="237" ht="15" customHeight="1">
      <c r="A237" t="inlineStr">
        <is>
          <t>A 4937-2024</t>
        </is>
      </c>
      <c r="B237" s="1" t="n">
        <v>45329</v>
      </c>
      <c r="C237" s="1" t="n">
        <v>45881</v>
      </c>
      <c r="D237" t="inlineStr">
        <is>
          <t>NORRBOTTENS LÄN</t>
        </is>
      </c>
      <c r="E237" t="inlineStr">
        <is>
          <t>ARVIDSJAUR</t>
        </is>
      </c>
      <c r="F237" t="inlineStr">
        <is>
          <t>Sveaskog</t>
        </is>
      </c>
      <c r="G237" t="n">
        <v>0.4</v>
      </c>
      <c r="H237" t="n">
        <v>0</v>
      </c>
      <c r="I237" t="n">
        <v>0</v>
      </c>
      <c r="J237" t="n">
        <v>0</v>
      </c>
      <c r="K237" t="n">
        <v>0</v>
      </c>
      <c r="L237" t="n">
        <v>0</v>
      </c>
      <c r="M237" t="n">
        <v>0</v>
      </c>
      <c r="N237" t="n">
        <v>0</v>
      </c>
      <c r="O237" t="n">
        <v>0</v>
      </c>
      <c r="P237" t="n">
        <v>0</v>
      </c>
      <c r="Q237" t="n">
        <v>0</v>
      </c>
      <c r="R237" s="2" t="inlineStr"/>
    </row>
    <row r="238" ht="15" customHeight="1">
      <c r="A238" t="inlineStr">
        <is>
          <t>A 15475-2023</t>
        </is>
      </c>
      <c r="B238" s="1" t="n">
        <v>45020</v>
      </c>
      <c r="C238" s="1" t="n">
        <v>45881</v>
      </c>
      <c r="D238" t="inlineStr">
        <is>
          <t>NORRBOTTENS LÄN</t>
        </is>
      </c>
      <c r="E238" t="inlineStr">
        <is>
          <t>ARVIDSJAUR</t>
        </is>
      </c>
      <c r="F238" t="inlineStr">
        <is>
          <t>Sveaskog</t>
        </is>
      </c>
      <c r="G238" t="n">
        <v>5.5</v>
      </c>
      <c r="H238" t="n">
        <v>0</v>
      </c>
      <c r="I238" t="n">
        <v>0</v>
      </c>
      <c r="J238" t="n">
        <v>0</v>
      </c>
      <c r="K238" t="n">
        <v>0</v>
      </c>
      <c r="L238" t="n">
        <v>0</v>
      </c>
      <c r="M238" t="n">
        <v>0</v>
      </c>
      <c r="N238" t="n">
        <v>0</v>
      </c>
      <c r="O238" t="n">
        <v>0</v>
      </c>
      <c r="P238" t="n">
        <v>0</v>
      </c>
      <c r="Q238" t="n">
        <v>0</v>
      </c>
      <c r="R238" s="2" t="inlineStr"/>
    </row>
    <row r="239" ht="15" customHeight="1">
      <c r="A239" t="inlineStr">
        <is>
          <t>A 21704-2024</t>
        </is>
      </c>
      <c r="B239" s="1" t="n">
        <v>45442</v>
      </c>
      <c r="C239" s="1" t="n">
        <v>45881</v>
      </c>
      <c r="D239" t="inlineStr">
        <is>
          <t>NORRBOTTENS LÄN</t>
        </is>
      </c>
      <c r="E239" t="inlineStr">
        <is>
          <t>ARVIDSJAUR</t>
        </is>
      </c>
      <c r="G239" t="n">
        <v>3.1</v>
      </c>
      <c r="H239" t="n">
        <v>0</v>
      </c>
      <c r="I239" t="n">
        <v>0</v>
      </c>
      <c r="J239" t="n">
        <v>0</v>
      </c>
      <c r="K239" t="n">
        <v>0</v>
      </c>
      <c r="L239" t="n">
        <v>0</v>
      </c>
      <c r="M239" t="n">
        <v>0</v>
      </c>
      <c r="N239" t="n">
        <v>0</v>
      </c>
      <c r="O239" t="n">
        <v>0</v>
      </c>
      <c r="P239" t="n">
        <v>0</v>
      </c>
      <c r="Q239" t="n">
        <v>0</v>
      </c>
      <c r="R239" s="2" t="inlineStr"/>
    </row>
    <row r="240" ht="15" customHeight="1">
      <c r="A240" t="inlineStr">
        <is>
          <t>A 26835-2024</t>
        </is>
      </c>
      <c r="B240" s="1" t="n">
        <v>45470.57364583333</v>
      </c>
      <c r="C240" s="1" t="n">
        <v>45881</v>
      </c>
      <c r="D240" t="inlineStr">
        <is>
          <t>NORRBOTTENS LÄN</t>
        </is>
      </c>
      <c r="E240" t="inlineStr">
        <is>
          <t>ARVIDSJAUR</t>
        </is>
      </c>
      <c r="G240" t="n">
        <v>1.5</v>
      </c>
      <c r="H240" t="n">
        <v>0</v>
      </c>
      <c r="I240" t="n">
        <v>0</v>
      </c>
      <c r="J240" t="n">
        <v>0</v>
      </c>
      <c r="K240" t="n">
        <v>0</v>
      </c>
      <c r="L240" t="n">
        <v>0</v>
      </c>
      <c r="M240" t="n">
        <v>0</v>
      </c>
      <c r="N240" t="n">
        <v>0</v>
      </c>
      <c r="O240" t="n">
        <v>0</v>
      </c>
      <c r="P240" t="n">
        <v>0</v>
      </c>
      <c r="Q240" t="n">
        <v>0</v>
      </c>
      <c r="R240" s="2" t="inlineStr"/>
    </row>
    <row r="241" ht="15" customHeight="1">
      <c r="A241" t="inlineStr">
        <is>
          <t>A 2908-2024</t>
        </is>
      </c>
      <c r="B241" s="1" t="n">
        <v>45315</v>
      </c>
      <c r="C241" s="1" t="n">
        <v>45881</v>
      </c>
      <c r="D241" t="inlineStr">
        <is>
          <t>NORRBOTTENS LÄN</t>
        </is>
      </c>
      <c r="E241" t="inlineStr">
        <is>
          <t>ARVIDSJAUR</t>
        </is>
      </c>
      <c r="F241" t="inlineStr">
        <is>
          <t>Allmännings- och besparingsskogar</t>
        </is>
      </c>
      <c r="G241" t="n">
        <v>6.1</v>
      </c>
      <c r="H241" t="n">
        <v>0</v>
      </c>
      <c r="I241" t="n">
        <v>0</v>
      </c>
      <c r="J241" t="n">
        <v>0</v>
      </c>
      <c r="K241" t="n">
        <v>0</v>
      </c>
      <c r="L241" t="n">
        <v>0</v>
      </c>
      <c r="M241" t="n">
        <v>0</v>
      </c>
      <c r="N241" t="n">
        <v>0</v>
      </c>
      <c r="O241" t="n">
        <v>0</v>
      </c>
      <c r="P241" t="n">
        <v>0</v>
      </c>
      <c r="Q241" t="n">
        <v>0</v>
      </c>
      <c r="R241" s="2" t="inlineStr"/>
    </row>
    <row r="242" ht="15" customHeight="1">
      <c r="A242" t="inlineStr">
        <is>
          <t>A 41599-2024</t>
        </is>
      </c>
      <c r="B242" s="1" t="n">
        <v>45560</v>
      </c>
      <c r="C242" s="1" t="n">
        <v>45881</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54218-2024</t>
        </is>
      </c>
      <c r="B243" s="1" t="n">
        <v>45616</v>
      </c>
      <c r="C243" s="1" t="n">
        <v>45881</v>
      </c>
      <c r="D243" t="inlineStr">
        <is>
          <t>NORRBOTTENS LÄN</t>
        </is>
      </c>
      <c r="E243" t="inlineStr">
        <is>
          <t>ARVIDSJAUR</t>
        </is>
      </c>
      <c r="G243" t="n">
        <v>4.4</v>
      </c>
      <c r="H243" t="n">
        <v>0</v>
      </c>
      <c r="I243" t="n">
        <v>0</v>
      </c>
      <c r="J243" t="n">
        <v>0</v>
      </c>
      <c r="K243" t="n">
        <v>0</v>
      </c>
      <c r="L243" t="n">
        <v>0</v>
      </c>
      <c r="M243" t="n">
        <v>0</v>
      </c>
      <c r="N243" t="n">
        <v>0</v>
      </c>
      <c r="O243" t="n">
        <v>0</v>
      </c>
      <c r="P243" t="n">
        <v>0</v>
      </c>
      <c r="Q243" t="n">
        <v>0</v>
      </c>
      <c r="R243" s="2" t="inlineStr"/>
    </row>
    <row r="244" ht="15" customHeight="1">
      <c r="A244" t="inlineStr">
        <is>
          <t>A 26841-2024</t>
        </is>
      </c>
      <c r="B244" s="1" t="n">
        <v>45470.57751157408</v>
      </c>
      <c r="C244" s="1" t="n">
        <v>45881</v>
      </c>
      <c r="D244" t="inlineStr">
        <is>
          <t>NORRBOTTENS LÄN</t>
        </is>
      </c>
      <c r="E244" t="inlineStr">
        <is>
          <t>ARVIDSJAUR</t>
        </is>
      </c>
      <c r="G244" t="n">
        <v>1.5</v>
      </c>
      <c r="H244" t="n">
        <v>0</v>
      </c>
      <c r="I244" t="n">
        <v>0</v>
      </c>
      <c r="J244" t="n">
        <v>0</v>
      </c>
      <c r="K244" t="n">
        <v>0</v>
      </c>
      <c r="L244" t="n">
        <v>0</v>
      </c>
      <c r="M244" t="n">
        <v>0</v>
      </c>
      <c r="N244" t="n">
        <v>0</v>
      </c>
      <c r="O244" t="n">
        <v>0</v>
      </c>
      <c r="P244" t="n">
        <v>0</v>
      </c>
      <c r="Q244" t="n">
        <v>0</v>
      </c>
      <c r="R244" s="2" t="inlineStr"/>
    </row>
    <row r="245" ht="15" customHeight="1">
      <c r="A245" t="inlineStr">
        <is>
          <t>A 53683-2024</t>
        </is>
      </c>
      <c r="B245" s="1" t="n">
        <v>45612</v>
      </c>
      <c r="C245" s="1" t="n">
        <v>45881</v>
      </c>
      <c r="D245" t="inlineStr">
        <is>
          <t>NORRBOTTENS LÄN</t>
        </is>
      </c>
      <c r="E245" t="inlineStr">
        <is>
          <t>ARVIDSJAUR</t>
        </is>
      </c>
      <c r="G245" t="n">
        <v>3.7</v>
      </c>
      <c r="H245" t="n">
        <v>0</v>
      </c>
      <c r="I245" t="n">
        <v>0</v>
      </c>
      <c r="J245" t="n">
        <v>0</v>
      </c>
      <c r="K245" t="n">
        <v>0</v>
      </c>
      <c r="L245" t="n">
        <v>0</v>
      </c>
      <c r="M245" t="n">
        <v>0</v>
      </c>
      <c r="N245" t="n">
        <v>0</v>
      </c>
      <c r="O245" t="n">
        <v>0</v>
      </c>
      <c r="P245" t="n">
        <v>0</v>
      </c>
      <c r="Q245" t="n">
        <v>0</v>
      </c>
      <c r="R245" s="2" t="inlineStr"/>
    </row>
    <row r="246" ht="15" customHeight="1">
      <c r="A246" t="inlineStr">
        <is>
          <t>A 30752-2023</t>
        </is>
      </c>
      <c r="B246" s="1" t="n">
        <v>45103</v>
      </c>
      <c r="C246" s="1" t="n">
        <v>45881</v>
      </c>
      <c r="D246" t="inlineStr">
        <is>
          <t>NORRBOTTENS LÄN</t>
        </is>
      </c>
      <c r="E246" t="inlineStr">
        <is>
          <t>ARVIDSJAUR</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33134-2023</t>
        </is>
      </c>
      <c r="B247" s="1" t="n">
        <v>45114</v>
      </c>
      <c r="C247" s="1" t="n">
        <v>45881</v>
      </c>
      <c r="D247" t="inlineStr">
        <is>
          <t>NORRBOTTENS LÄN</t>
        </is>
      </c>
      <c r="E247" t="inlineStr">
        <is>
          <t>ARVIDSJAUR</t>
        </is>
      </c>
      <c r="G247" t="n">
        <v>16.3</v>
      </c>
      <c r="H247" t="n">
        <v>0</v>
      </c>
      <c r="I247" t="n">
        <v>0</v>
      </c>
      <c r="J247" t="n">
        <v>0</v>
      </c>
      <c r="K247" t="n">
        <v>0</v>
      </c>
      <c r="L247" t="n">
        <v>0</v>
      </c>
      <c r="M247" t="n">
        <v>0</v>
      </c>
      <c r="N247" t="n">
        <v>0</v>
      </c>
      <c r="O247" t="n">
        <v>0</v>
      </c>
      <c r="P247" t="n">
        <v>0</v>
      </c>
      <c r="Q247" t="n">
        <v>0</v>
      </c>
      <c r="R247" s="2" t="inlineStr"/>
    </row>
    <row r="248" ht="15" customHeight="1">
      <c r="A248" t="inlineStr">
        <is>
          <t>A 52145-2024</t>
        </is>
      </c>
      <c r="B248" s="1" t="n">
        <v>45608.51888888889</v>
      </c>
      <c r="C248" s="1" t="n">
        <v>45881</v>
      </c>
      <c r="D248" t="inlineStr">
        <is>
          <t>NORRBOTTENS LÄN</t>
        </is>
      </c>
      <c r="E248" t="inlineStr">
        <is>
          <t>ARVIDSJAUR</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50111-2024</t>
        </is>
      </c>
      <c r="B249" s="1" t="n">
        <v>45600</v>
      </c>
      <c r="C249" s="1" t="n">
        <v>45881</v>
      </c>
      <c r="D249" t="inlineStr">
        <is>
          <t>NORRBOTTENS LÄN</t>
        </is>
      </c>
      <c r="E249" t="inlineStr">
        <is>
          <t>ARVIDSJAUR</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48358-2024</t>
        </is>
      </c>
      <c r="B250" s="1" t="n">
        <v>45590</v>
      </c>
      <c r="C250" s="1" t="n">
        <v>45881</v>
      </c>
      <c r="D250" t="inlineStr">
        <is>
          <t>NORRBOTTENS LÄN</t>
        </is>
      </c>
      <c r="E250" t="inlineStr">
        <is>
          <t>ARVIDSJAUR</t>
        </is>
      </c>
      <c r="F250" t="inlineStr">
        <is>
          <t>Sveaskog</t>
        </is>
      </c>
      <c r="G250" t="n">
        <v>20.3</v>
      </c>
      <c r="H250" t="n">
        <v>0</v>
      </c>
      <c r="I250" t="n">
        <v>0</v>
      </c>
      <c r="J250" t="n">
        <v>0</v>
      </c>
      <c r="K250" t="n">
        <v>0</v>
      </c>
      <c r="L250" t="n">
        <v>0</v>
      </c>
      <c r="M250" t="n">
        <v>0</v>
      </c>
      <c r="N250" t="n">
        <v>0</v>
      </c>
      <c r="O250" t="n">
        <v>0</v>
      </c>
      <c r="P250" t="n">
        <v>0</v>
      </c>
      <c r="Q250" t="n">
        <v>0</v>
      </c>
      <c r="R250" s="2" t="inlineStr"/>
    </row>
    <row r="251" ht="15" customHeight="1">
      <c r="A251" t="inlineStr">
        <is>
          <t>A 49172-2024</t>
        </is>
      </c>
      <c r="B251" s="1" t="n">
        <v>45595.31174768518</v>
      </c>
      <c r="C251" s="1" t="n">
        <v>45881</v>
      </c>
      <c r="D251" t="inlineStr">
        <is>
          <t>NORRBOTTENS LÄN</t>
        </is>
      </c>
      <c r="E251" t="inlineStr">
        <is>
          <t>ARVIDSJAUR</t>
        </is>
      </c>
      <c r="F251" t="inlineStr">
        <is>
          <t>Sveaskog</t>
        </is>
      </c>
      <c r="G251" t="n">
        <v>10.8</v>
      </c>
      <c r="H251" t="n">
        <v>0</v>
      </c>
      <c r="I251" t="n">
        <v>0</v>
      </c>
      <c r="J251" t="n">
        <v>0</v>
      </c>
      <c r="K251" t="n">
        <v>0</v>
      </c>
      <c r="L251" t="n">
        <v>0</v>
      </c>
      <c r="M251" t="n">
        <v>0</v>
      </c>
      <c r="N251" t="n">
        <v>0</v>
      </c>
      <c r="O251" t="n">
        <v>0</v>
      </c>
      <c r="P251" t="n">
        <v>0</v>
      </c>
      <c r="Q251" t="n">
        <v>0</v>
      </c>
      <c r="R251" s="2" t="inlineStr"/>
    </row>
    <row r="252" ht="15" customHeight="1">
      <c r="A252" t="inlineStr">
        <is>
          <t>A 11741-2025</t>
        </is>
      </c>
      <c r="B252" s="1" t="n">
        <v>45727</v>
      </c>
      <c r="C252" s="1" t="n">
        <v>45881</v>
      </c>
      <c r="D252" t="inlineStr">
        <is>
          <t>NORRBOTTENS LÄN</t>
        </is>
      </c>
      <c r="E252" t="inlineStr">
        <is>
          <t>ARVIDSJAUR</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26684-2024</t>
        </is>
      </c>
      <c r="B253" s="1" t="n">
        <v>45470.35256944445</v>
      </c>
      <c r="C253" s="1" t="n">
        <v>45881</v>
      </c>
      <c r="D253" t="inlineStr">
        <is>
          <t>NORRBOTTENS LÄN</t>
        </is>
      </c>
      <c r="E253" t="inlineStr">
        <is>
          <t>ARVIDSJAUR</t>
        </is>
      </c>
      <c r="F253" t="inlineStr">
        <is>
          <t>Sveaskog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26689-2024</t>
        </is>
      </c>
      <c r="B254" s="1" t="n">
        <v>45470.35973379629</v>
      </c>
      <c r="C254" s="1" t="n">
        <v>45881</v>
      </c>
      <c r="D254" t="inlineStr">
        <is>
          <t>NORRBOTTENS LÄN</t>
        </is>
      </c>
      <c r="E254" t="inlineStr">
        <is>
          <t>ARVIDSJAUR</t>
        </is>
      </c>
      <c r="F254" t="inlineStr">
        <is>
          <t>Sveaskog</t>
        </is>
      </c>
      <c r="G254" t="n">
        <v>11.8</v>
      </c>
      <c r="H254" t="n">
        <v>0</v>
      </c>
      <c r="I254" t="n">
        <v>0</v>
      </c>
      <c r="J254" t="n">
        <v>0</v>
      </c>
      <c r="K254" t="n">
        <v>0</v>
      </c>
      <c r="L254" t="n">
        <v>0</v>
      </c>
      <c r="M254" t="n">
        <v>0</v>
      </c>
      <c r="N254" t="n">
        <v>0</v>
      </c>
      <c r="O254" t="n">
        <v>0</v>
      </c>
      <c r="P254" t="n">
        <v>0</v>
      </c>
      <c r="Q254" t="n">
        <v>0</v>
      </c>
      <c r="R254" s="2" t="inlineStr"/>
    </row>
    <row r="255" ht="15" customHeight="1">
      <c r="A255" t="inlineStr">
        <is>
          <t>A 61374-2024</t>
        </is>
      </c>
      <c r="B255" s="1" t="n">
        <v>45646</v>
      </c>
      <c r="C255" s="1" t="n">
        <v>45881</v>
      </c>
      <c r="D255" t="inlineStr">
        <is>
          <t>NORRBOTTENS LÄN</t>
        </is>
      </c>
      <c r="E255" t="inlineStr">
        <is>
          <t>ARVIDSJAUR</t>
        </is>
      </c>
      <c r="G255" t="n">
        <v>13.9</v>
      </c>
      <c r="H255" t="n">
        <v>0</v>
      </c>
      <c r="I255" t="n">
        <v>0</v>
      </c>
      <c r="J255" t="n">
        <v>0</v>
      </c>
      <c r="K255" t="n">
        <v>0</v>
      </c>
      <c r="L255" t="n">
        <v>0</v>
      </c>
      <c r="M255" t="n">
        <v>0</v>
      </c>
      <c r="N255" t="n">
        <v>0</v>
      </c>
      <c r="O255" t="n">
        <v>0</v>
      </c>
      <c r="P255" t="n">
        <v>0</v>
      </c>
      <c r="Q255" t="n">
        <v>0</v>
      </c>
      <c r="R255" s="2" t="inlineStr"/>
    </row>
    <row r="256" ht="15" customHeight="1">
      <c r="A256" t="inlineStr">
        <is>
          <t>A 46443-2024</t>
        </is>
      </c>
      <c r="B256" s="1" t="n">
        <v>45582</v>
      </c>
      <c r="C256" s="1" t="n">
        <v>45881</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26686-2024</t>
        </is>
      </c>
      <c r="B257" s="1" t="n">
        <v>45470.35486111111</v>
      </c>
      <c r="C257" s="1" t="n">
        <v>45881</v>
      </c>
      <c r="D257" t="inlineStr">
        <is>
          <t>NORRBOTTENS LÄN</t>
        </is>
      </c>
      <c r="E257" t="inlineStr">
        <is>
          <t>ARVIDSJAUR</t>
        </is>
      </c>
      <c r="F257" t="inlineStr">
        <is>
          <t>Sveaskog</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10838-2025</t>
        </is>
      </c>
      <c r="B258" s="1" t="n">
        <v>45722</v>
      </c>
      <c r="C258" s="1" t="n">
        <v>45881</v>
      </c>
      <c r="D258" t="inlineStr">
        <is>
          <t>NORRBOTTENS LÄN</t>
        </is>
      </c>
      <c r="E258" t="inlineStr">
        <is>
          <t>ARVIDSJAUR</t>
        </is>
      </c>
      <c r="G258" t="n">
        <v>3.4</v>
      </c>
      <c r="H258" t="n">
        <v>0</v>
      </c>
      <c r="I258" t="n">
        <v>0</v>
      </c>
      <c r="J258" t="n">
        <v>0</v>
      </c>
      <c r="K258" t="n">
        <v>0</v>
      </c>
      <c r="L258" t="n">
        <v>0</v>
      </c>
      <c r="M258" t="n">
        <v>0</v>
      </c>
      <c r="N258" t="n">
        <v>0</v>
      </c>
      <c r="O258" t="n">
        <v>0</v>
      </c>
      <c r="P258" t="n">
        <v>0</v>
      </c>
      <c r="Q258" t="n">
        <v>0</v>
      </c>
      <c r="R258" s="2" t="inlineStr"/>
    </row>
    <row r="259" ht="15" customHeight="1">
      <c r="A259" t="inlineStr">
        <is>
          <t>A 11574-2025</t>
        </is>
      </c>
      <c r="B259" s="1" t="n">
        <v>45726</v>
      </c>
      <c r="C259" s="1" t="n">
        <v>45881</v>
      </c>
      <c r="D259" t="inlineStr">
        <is>
          <t>NORRBOTTENS LÄN</t>
        </is>
      </c>
      <c r="E259" t="inlineStr">
        <is>
          <t>ARVIDSJAUR</t>
        </is>
      </c>
      <c r="F259" t="inlineStr">
        <is>
          <t>Allmännings- och besparingsskogar</t>
        </is>
      </c>
      <c r="G259" t="n">
        <v>3.6</v>
      </c>
      <c r="H259" t="n">
        <v>0</v>
      </c>
      <c r="I259" t="n">
        <v>0</v>
      </c>
      <c r="J259" t="n">
        <v>0</v>
      </c>
      <c r="K259" t="n">
        <v>0</v>
      </c>
      <c r="L259" t="n">
        <v>0</v>
      </c>
      <c r="M259" t="n">
        <v>0</v>
      </c>
      <c r="N259" t="n">
        <v>0</v>
      </c>
      <c r="O259" t="n">
        <v>0</v>
      </c>
      <c r="P259" t="n">
        <v>0</v>
      </c>
      <c r="Q259" t="n">
        <v>0</v>
      </c>
      <c r="R259" s="2" t="inlineStr"/>
    </row>
    <row r="260" ht="15" customHeight="1">
      <c r="A260" t="inlineStr">
        <is>
          <t>A 11591-2025</t>
        </is>
      </c>
      <c r="B260" s="1" t="n">
        <v>45726</v>
      </c>
      <c r="C260" s="1" t="n">
        <v>45881</v>
      </c>
      <c r="D260" t="inlineStr">
        <is>
          <t>NORRBOTTENS LÄN</t>
        </is>
      </c>
      <c r="E260" t="inlineStr">
        <is>
          <t>ARVIDSJAUR</t>
        </is>
      </c>
      <c r="F260" t="inlineStr">
        <is>
          <t>Allmännings- och besparingsskogar</t>
        </is>
      </c>
      <c r="G260" t="n">
        <v>10.9</v>
      </c>
      <c r="H260" t="n">
        <v>0</v>
      </c>
      <c r="I260" t="n">
        <v>0</v>
      </c>
      <c r="J260" t="n">
        <v>0</v>
      </c>
      <c r="K260" t="n">
        <v>0</v>
      </c>
      <c r="L260" t="n">
        <v>0</v>
      </c>
      <c r="M260" t="n">
        <v>0</v>
      </c>
      <c r="N260" t="n">
        <v>0</v>
      </c>
      <c r="O260" t="n">
        <v>0</v>
      </c>
      <c r="P260" t="n">
        <v>0</v>
      </c>
      <c r="Q260" t="n">
        <v>0</v>
      </c>
      <c r="R260" s="2" t="inlineStr"/>
    </row>
    <row r="261" ht="15" customHeight="1">
      <c r="A261" t="inlineStr">
        <is>
          <t>A 40940-2024</t>
        </is>
      </c>
      <c r="B261" s="1" t="n">
        <v>45558.64387731482</v>
      </c>
      <c r="C261" s="1" t="n">
        <v>45881</v>
      </c>
      <c r="D261" t="inlineStr">
        <is>
          <t>NORRBOTTENS LÄN</t>
        </is>
      </c>
      <c r="E261" t="inlineStr">
        <is>
          <t>ARVIDSJAUR</t>
        </is>
      </c>
      <c r="F261" t="inlineStr">
        <is>
          <t>Sveaskog</t>
        </is>
      </c>
      <c r="G261" t="n">
        <v>15.4</v>
      </c>
      <c r="H261" t="n">
        <v>0</v>
      </c>
      <c r="I261" t="n">
        <v>0</v>
      </c>
      <c r="J261" t="n">
        <v>0</v>
      </c>
      <c r="K261" t="n">
        <v>0</v>
      </c>
      <c r="L261" t="n">
        <v>0</v>
      </c>
      <c r="M261" t="n">
        <v>0</v>
      </c>
      <c r="N261" t="n">
        <v>0</v>
      </c>
      <c r="O261" t="n">
        <v>0</v>
      </c>
      <c r="P261" t="n">
        <v>0</v>
      </c>
      <c r="Q261" t="n">
        <v>0</v>
      </c>
      <c r="R261" s="2" t="inlineStr"/>
    </row>
    <row r="262" ht="15" customHeight="1">
      <c r="A262" t="inlineStr">
        <is>
          <t>A 7327-2025</t>
        </is>
      </c>
      <c r="B262" s="1" t="n">
        <v>45702</v>
      </c>
      <c r="C262" s="1" t="n">
        <v>45881</v>
      </c>
      <c r="D262" t="inlineStr">
        <is>
          <t>NORRBOTTENS LÄN</t>
        </is>
      </c>
      <c r="E262" t="inlineStr">
        <is>
          <t>ARVIDSJAUR</t>
        </is>
      </c>
      <c r="G262" t="n">
        <v>1.6</v>
      </c>
      <c r="H262" t="n">
        <v>0</v>
      </c>
      <c r="I262" t="n">
        <v>0</v>
      </c>
      <c r="J262" t="n">
        <v>0</v>
      </c>
      <c r="K262" t="n">
        <v>0</v>
      </c>
      <c r="L262" t="n">
        <v>0</v>
      </c>
      <c r="M262" t="n">
        <v>0</v>
      </c>
      <c r="N262" t="n">
        <v>0</v>
      </c>
      <c r="O262" t="n">
        <v>0</v>
      </c>
      <c r="P262" t="n">
        <v>0</v>
      </c>
      <c r="Q262" t="n">
        <v>0</v>
      </c>
      <c r="R262" s="2" t="inlineStr"/>
    </row>
    <row r="263" ht="15" customHeight="1">
      <c r="A263" t="inlineStr">
        <is>
          <t>A 10832-2025</t>
        </is>
      </c>
      <c r="B263" s="1" t="n">
        <v>45722</v>
      </c>
      <c r="C263" s="1" t="n">
        <v>45881</v>
      </c>
      <c r="D263" t="inlineStr">
        <is>
          <t>NORRBOTTENS LÄN</t>
        </is>
      </c>
      <c r="E263" t="inlineStr">
        <is>
          <t>ARVIDSJAUR</t>
        </is>
      </c>
      <c r="G263" t="n">
        <v>1</v>
      </c>
      <c r="H263" t="n">
        <v>0</v>
      </c>
      <c r="I263" t="n">
        <v>0</v>
      </c>
      <c r="J263" t="n">
        <v>0</v>
      </c>
      <c r="K263" t="n">
        <v>0</v>
      </c>
      <c r="L263" t="n">
        <v>0</v>
      </c>
      <c r="M263" t="n">
        <v>0</v>
      </c>
      <c r="N263" t="n">
        <v>0</v>
      </c>
      <c r="O263" t="n">
        <v>0</v>
      </c>
      <c r="P263" t="n">
        <v>0</v>
      </c>
      <c r="Q263" t="n">
        <v>0</v>
      </c>
      <c r="R263" s="2" t="inlineStr"/>
    </row>
    <row r="264" ht="15" customHeight="1">
      <c r="A264" t="inlineStr">
        <is>
          <t>A 10852-2025</t>
        </is>
      </c>
      <c r="B264" s="1" t="n">
        <v>45722</v>
      </c>
      <c r="C264" s="1" t="n">
        <v>45881</v>
      </c>
      <c r="D264" t="inlineStr">
        <is>
          <t>NORRBOTTENS LÄN</t>
        </is>
      </c>
      <c r="E264" t="inlineStr">
        <is>
          <t>ARVIDSJAUR</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61625-2024</t>
        </is>
      </c>
      <c r="B265" s="1" t="n">
        <v>45646</v>
      </c>
      <c r="C265" s="1" t="n">
        <v>45881</v>
      </c>
      <c r="D265" t="inlineStr">
        <is>
          <t>NORRBOTTENS LÄN</t>
        </is>
      </c>
      <c r="E265" t="inlineStr">
        <is>
          <t>ARVIDSJAUR</t>
        </is>
      </c>
      <c r="F265" t="inlineStr">
        <is>
          <t>Sveaskog</t>
        </is>
      </c>
      <c r="G265" t="n">
        <v>7.7</v>
      </c>
      <c r="H265" t="n">
        <v>0</v>
      </c>
      <c r="I265" t="n">
        <v>0</v>
      </c>
      <c r="J265" t="n">
        <v>0</v>
      </c>
      <c r="K265" t="n">
        <v>0</v>
      </c>
      <c r="L265" t="n">
        <v>0</v>
      </c>
      <c r="M265" t="n">
        <v>0</v>
      </c>
      <c r="N265" t="n">
        <v>0</v>
      </c>
      <c r="O265" t="n">
        <v>0</v>
      </c>
      <c r="P265" t="n">
        <v>0</v>
      </c>
      <c r="Q265" t="n">
        <v>0</v>
      </c>
      <c r="R265" s="2" t="inlineStr"/>
    </row>
    <row r="266" ht="15" customHeight="1">
      <c r="A266" t="inlineStr">
        <is>
          <t>A 54336-2024</t>
        </is>
      </c>
      <c r="B266" s="1" t="n">
        <v>45617.38408564815</v>
      </c>
      <c r="C266" s="1" t="n">
        <v>45881</v>
      </c>
      <c r="D266" t="inlineStr">
        <is>
          <t>NORRBOTTENS LÄN</t>
        </is>
      </c>
      <c r="E266" t="inlineStr">
        <is>
          <t>ARVIDSJAUR</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11582-2025</t>
        </is>
      </c>
      <c r="B267" s="1" t="n">
        <v>45726</v>
      </c>
      <c r="C267" s="1" t="n">
        <v>45881</v>
      </c>
      <c r="D267" t="inlineStr">
        <is>
          <t>NORRBOTTENS LÄN</t>
        </is>
      </c>
      <c r="E267" t="inlineStr">
        <is>
          <t>ARVIDSJAUR</t>
        </is>
      </c>
      <c r="F267" t="inlineStr">
        <is>
          <t>Allmännings- och besparingsskogar</t>
        </is>
      </c>
      <c r="G267" t="n">
        <v>7.1</v>
      </c>
      <c r="H267" t="n">
        <v>0</v>
      </c>
      <c r="I267" t="n">
        <v>0</v>
      </c>
      <c r="J267" t="n">
        <v>0</v>
      </c>
      <c r="K267" t="n">
        <v>0</v>
      </c>
      <c r="L267" t="n">
        <v>0</v>
      </c>
      <c r="M267" t="n">
        <v>0</v>
      </c>
      <c r="N267" t="n">
        <v>0</v>
      </c>
      <c r="O267" t="n">
        <v>0</v>
      </c>
      <c r="P267" t="n">
        <v>0</v>
      </c>
      <c r="Q267" t="n">
        <v>0</v>
      </c>
      <c r="R267" s="2" t="inlineStr"/>
    </row>
    <row r="268" ht="15" customHeight="1">
      <c r="A268" t="inlineStr">
        <is>
          <t>A 39845-2023</t>
        </is>
      </c>
      <c r="B268" s="1" t="n">
        <v>45166</v>
      </c>
      <c r="C268" s="1" t="n">
        <v>45881</v>
      </c>
      <c r="D268" t="inlineStr">
        <is>
          <t>NORRBOTTENS LÄN</t>
        </is>
      </c>
      <c r="E268" t="inlineStr">
        <is>
          <t>ARVIDSJAUR</t>
        </is>
      </c>
      <c r="G268" t="n">
        <v>1.1</v>
      </c>
      <c r="H268" t="n">
        <v>0</v>
      </c>
      <c r="I268" t="n">
        <v>0</v>
      </c>
      <c r="J268" t="n">
        <v>0</v>
      </c>
      <c r="K268" t="n">
        <v>0</v>
      </c>
      <c r="L268" t="n">
        <v>0</v>
      </c>
      <c r="M268" t="n">
        <v>0</v>
      </c>
      <c r="N268" t="n">
        <v>0</v>
      </c>
      <c r="O268" t="n">
        <v>0</v>
      </c>
      <c r="P268" t="n">
        <v>0</v>
      </c>
      <c r="Q268" t="n">
        <v>0</v>
      </c>
      <c r="R268" s="2" t="inlineStr"/>
    </row>
    <row r="269" ht="15" customHeight="1">
      <c r="A269" t="inlineStr">
        <is>
          <t>A 11537-2025</t>
        </is>
      </c>
      <c r="B269" s="1" t="n">
        <v>45726</v>
      </c>
      <c r="C269" s="1" t="n">
        <v>45881</v>
      </c>
      <c r="D269" t="inlineStr">
        <is>
          <t>NORRBOTTENS LÄN</t>
        </is>
      </c>
      <c r="E269" t="inlineStr">
        <is>
          <t>ARVIDSJAUR</t>
        </is>
      </c>
      <c r="F269" t="inlineStr">
        <is>
          <t>Allmännings- och besparingsskogar</t>
        </is>
      </c>
      <c r="G269" t="n">
        <v>9.1</v>
      </c>
      <c r="H269" t="n">
        <v>0</v>
      </c>
      <c r="I269" t="n">
        <v>0</v>
      </c>
      <c r="J269" t="n">
        <v>0</v>
      </c>
      <c r="K269" t="n">
        <v>0</v>
      </c>
      <c r="L269" t="n">
        <v>0</v>
      </c>
      <c r="M269" t="n">
        <v>0</v>
      </c>
      <c r="N269" t="n">
        <v>0</v>
      </c>
      <c r="O269" t="n">
        <v>0</v>
      </c>
      <c r="P269" t="n">
        <v>0</v>
      </c>
      <c r="Q269" t="n">
        <v>0</v>
      </c>
      <c r="R269" s="2" t="inlineStr"/>
    </row>
    <row r="270" ht="15" customHeight="1">
      <c r="A270" t="inlineStr">
        <is>
          <t>A 11571-2025</t>
        </is>
      </c>
      <c r="B270" s="1" t="n">
        <v>45726</v>
      </c>
      <c r="C270" s="1" t="n">
        <v>45881</v>
      </c>
      <c r="D270" t="inlineStr">
        <is>
          <t>NORRBOTTENS LÄN</t>
        </is>
      </c>
      <c r="E270" t="inlineStr">
        <is>
          <t>ARVIDSJAUR</t>
        </is>
      </c>
      <c r="F270" t="inlineStr">
        <is>
          <t>Allmännings- och besparingsskogar</t>
        </is>
      </c>
      <c r="G270" t="n">
        <v>1.3</v>
      </c>
      <c r="H270" t="n">
        <v>0</v>
      </c>
      <c r="I270" t="n">
        <v>0</v>
      </c>
      <c r="J270" t="n">
        <v>0</v>
      </c>
      <c r="K270" t="n">
        <v>0</v>
      </c>
      <c r="L270" t="n">
        <v>0</v>
      </c>
      <c r="M270" t="n">
        <v>0</v>
      </c>
      <c r="N270" t="n">
        <v>0</v>
      </c>
      <c r="O270" t="n">
        <v>0</v>
      </c>
      <c r="P270" t="n">
        <v>0</v>
      </c>
      <c r="Q270" t="n">
        <v>0</v>
      </c>
      <c r="R270" s="2" t="inlineStr"/>
    </row>
    <row r="271" ht="15" customHeight="1">
      <c r="A271" t="inlineStr">
        <is>
          <t>A 3165-2024</t>
        </is>
      </c>
      <c r="B271" s="1" t="n">
        <v>45316</v>
      </c>
      <c r="C271" s="1" t="n">
        <v>45881</v>
      </c>
      <c r="D271" t="inlineStr">
        <is>
          <t>NORRBOTTENS LÄN</t>
        </is>
      </c>
      <c r="E271" t="inlineStr">
        <is>
          <t>ARVIDSJAUR</t>
        </is>
      </c>
      <c r="F271" t="inlineStr">
        <is>
          <t>Allmännings- och besparingsskogar</t>
        </is>
      </c>
      <c r="G271" t="n">
        <v>6.9</v>
      </c>
      <c r="H271" t="n">
        <v>0</v>
      </c>
      <c r="I271" t="n">
        <v>0</v>
      </c>
      <c r="J271" t="n">
        <v>0</v>
      </c>
      <c r="K271" t="n">
        <v>0</v>
      </c>
      <c r="L271" t="n">
        <v>0</v>
      </c>
      <c r="M271" t="n">
        <v>0</v>
      </c>
      <c r="N271" t="n">
        <v>0</v>
      </c>
      <c r="O271" t="n">
        <v>0</v>
      </c>
      <c r="P271" t="n">
        <v>0</v>
      </c>
      <c r="Q271" t="n">
        <v>0</v>
      </c>
      <c r="R271" s="2" t="inlineStr"/>
    </row>
    <row r="272" ht="15" customHeight="1">
      <c r="A272" t="inlineStr">
        <is>
          <t>A 11535-2025</t>
        </is>
      </c>
      <c r="B272" s="1" t="n">
        <v>45726</v>
      </c>
      <c r="C272" s="1" t="n">
        <v>45881</v>
      </c>
      <c r="D272" t="inlineStr">
        <is>
          <t>NORRBOTTENS LÄN</t>
        </is>
      </c>
      <c r="E272" t="inlineStr">
        <is>
          <t>ARVIDSJAUR</t>
        </is>
      </c>
      <c r="F272" t="inlineStr">
        <is>
          <t>Allmännings- och besparingsskogar</t>
        </is>
      </c>
      <c r="G272" t="n">
        <v>10.3</v>
      </c>
      <c r="H272" t="n">
        <v>0</v>
      </c>
      <c r="I272" t="n">
        <v>0</v>
      </c>
      <c r="J272" t="n">
        <v>0</v>
      </c>
      <c r="K272" t="n">
        <v>0</v>
      </c>
      <c r="L272" t="n">
        <v>0</v>
      </c>
      <c r="M272" t="n">
        <v>0</v>
      </c>
      <c r="N272" t="n">
        <v>0</v>
      </c>
      <c r="O272" t="n">
        <v>0</v>
      </c>
      <c r="P272" t="n">
        <v>0</v>
      </c>
      <c r="Q272" t="n">
        <v>0</v>
      </c>
      <c r="R272" s="2" t="inlineStr"/>
    </row>
    <row r="273" ht="15" customHeight="1">
      <c r="A273" t="inlineStr">
        <is>
          <t>A 11539-2025</t>
        </is>
      </c>
      <c r="B273" s="1" t="n">
        <v>45726</v>
      </c>
      <c r="C273" s="1" t="n">
        <v>45881</v>
      </c>
      <c r="D273" t="inlineStr">
        <is>
          <t>NORRBOTTENS LÄN</t>
        </is>
      </c>
      <c r="E273" t="inlineStr">
        <is>
          <t>ARVIDSJAUR</t>
        </is>
      </c>
      <c r="F273" t="inlineStr">
        <is>
          <t>Allmännings- och besparingsskogar</t>
        </is>
      </c>
      <c r="G273" t="n">
        <v>14.3</v>
      </c>
      <c r="H273" t="n">
        <v>0</v>
      </c>
      <c r="I273" t="n">
        <v>0</v>
      </c>
      <c r="J273" t="n">
        <v>0</v>
      </c>
      <c r="K273" t="n">
        <v>0</v>
      </c>
      <c r="L273" t="n">
        <v>0</v>
      </c>
      <c r="M273" t="n">
        <v>0</v>
      </c>
      <c r="N273" t="n">
        <v>0</v>
      </c>
      <c r="O273" t="n">
        <v>0</v>
      </c>
      <c r="P273" t="n">
        <v>0</v>
      </c>
      <c r="Q273" t="n">
        <v>0</v>
      </c>
      <c r="R273" s="2" t="inlineStr"/>
    </row>
    <row r="274" ht="15" customHeight="1">
      <c r="A274" t="inlineStr">
        <is>
          <t>A 40937-2023</t>
        </is>
      </c>
      <c r="B274" s="1" t="n">
        <v>45173</v>
      </c>
      <c r="C274" s="1" t="n">
        <v>45881</v>
      </c>
      <c r="D274" t="inlineStr">
        <is>
          <t>NORRBOTTENS LÄN</t>
        </is>
      </c>
      <c r="E274" t="inlineStr">
        <is>
          <t>ARVIDSJAUR</t>
        </is>
      </c>
      <c r="F274" t="inlineStr">
        <is>
          <t>Övriga Aktiebolag</t>
        </is>
      </c>
      <c r="G274" t="n">
        <v>2.9</v>
      </c>
      <c r="H274" t="n">
        <v>0</v>
      </c>
      <c r="I274" t="n">
        <v>0</v>
      </c>
      <c r="J274" t="n">
        <v>0</v>
      </c>
      <c r="K274" t="n">
        <v>0</v>
      </c>
      <c r="L274" t="n">
        <v>0</v>
      </c>
      <c r="M274" t="n">
        <v>0</v>
      </c>
      <c r="N274" t="n">
        <v>0</v>
      </c>
      <c r="O274" t="n">
        <v>0</v>
      </c>
      <c r="P274" t="n">
        <v>0</v>
      </c>
      <c r="Q274" t="n">
        <v>0</v>
      </c>
      <c r="R274" s="2" t="inlineStr"/>
    </row>
    <row r="275" ht="15" customHeight="1">
      <c r="A275" t="inlineStr">
        <is>
          <t>A 11620-2025</t>
        </is>
      </c>
      <c r="B275" s="1" t="n">
        <v>45726</v>
      </c>
      <c r="C275" s="1" t="n">
        <v>45881</v>
      </c>
      <c r="D275" t="inlineStr">
        <is>
          <t>NORRBOTTENS LÄN</t>
        </is>
      </c>
      <c r="E275" t="inlineStr">
        <is>
          <t>ARVIDSJAUR</t>
        </is>
      </c>
      <c r="F275" t="inlineStr">
        <is>
          <t>Allmännings- och besparingsskogar</t>
        </is>
      </c>
      <c r="G275" t="n">
        <v>14.1</v>
      </c>
      <c r="H275" t="n">
        <v>0</v>
      </c>
      <c r="I275" t="n">
        <v>0</v>
      </c>
      <c r="J275" t="n">
        <v>0</v>
      </c>
      <c r="K275" t="n">
        <v>0</v>
      </c>
      <c r="L275" t="n">
        <v>0</v>
      </c>
      <c r="M275" t="n">
        <v>0</v>
      </c>
      <c r="N275" t="n">
        <v>0</v>
      </c>
      <c r="O275" t="n">
        <v>0</v>
      </c>
      <c r="P275" t="n">
        <v>0</v>
      </c>
      <c r="Q275" t="n">
        <v>0</v>
      </c>
      <c r="R275" s="2" t="inlineStr"/>
    </row>
    <row r="276" ht="15" customHeight="1">
      <c r="A276" t="inlineStr">
        <is>
          <t>A 48364-2024</t>
        </is>
      </c>
      <c r="B276" s="1" t="n">
        <v>45590.57606481481</v>
      </c>
      <c r="C276" s="1" t="n">
        <v>45881</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11076-2021</t>
        </is>
      </c>
      <c r="B277" s="1" t="n">
        <v>44259</v>
      </c>
      <c r="C277" s="1" t="n">
        <v>45881</v>
      </c>
      <c r="D277" t="inlineStr">
        <is>
          <t>NORRBOTTENS LÄN</t>
        </is>
      </c>
      <c r="E277" t="inlineStr">
        <is>
          <t>ARVIDSJAUR</t>
        </is>
      </c>
      <c r="G277" t="n">
        <v>5.1</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45881</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23592-2024</t>
        </is>
      </c>
      <c r="B279" s="1" t="n">
        <v>45454</v>
      </c>
      <c r="C279" s="1" t="n">
        <v>45881</v>
      </c>
      <c r="D279" t="inlineStr">
        <is>
          <t>NORRBOTTENS LÄN</t>
        </is>
      </c>
      <c r="E279" t="inlineStr">
        <is>
          <t>ARVIDSJAUR</t>
        </is>
      </c>
      <c r="G279" t="n">
        <v>2.4</v>
      </c>
      <c r="H279" t="n">
        <v>0</v>
      </c>
      <c r="I279" t="n">
        <v>0</v>
      </c>
      <c r="J279" t="n">
        <v>0</v>
      </c>
      <c r="K279" t="n">
        <v>0</v>
      </c>
      <c r="L279" t="n">
        <v>0</v>
      </c>
      <c r="M279" t="n">
        <v>0</v>
      </c>
      <c r="N279" t="n">
        <v>0</v>
      </c>
      <c r="O279" t="n">
        <v>0</v>
      </c>
      <c r="P279" t="n">
        <v>0</v>
      </c>
      <c r="Q279" t="n">
        <v>0</v>
      </c>
      <c r="R279" s="2" t="inlineStr"/>
    </row>
    <row r="280" ht="15" customHeight="1">
      <c r="A280" t="inlineStr">
        <is>
          <t>A 36483-2022</t>
        </is>
      </c>
      <c r="B280" s="1" t="n">
        <v>44804</v>
      </c>
      <c r="C280" s="1" t="n">
        <v>45881</v>
      </c>
      <c r="D280" t="inlineStr">
        <is>
          <t>NORRBOTTENS LÄN</t>
        </is>
      </c>
      <c r="E280" t="inlineStr">
        <is>
          <t>ARVIDSJAUR</t>
        </is>
      </c>
      <c r="G280" t="n">
        <v>2.9</v>
      </c>
      <c r="H280" t="n">
        <v>0</v>
      </c>
      <c r="I280" t="n">
        <v>0</v>
      </c>
      <c r="J280" t="n">
        <v>0</v>
      </c>
      <c r="K280" t="n">
        <v>0</v>
      </c>
      <c r="L280" t="n">
        <v>0</v>
      </c>
      <c r="M280" t="n">
        <v>0</v>
      </c>
      <c r="N280" t="n">
        <v>0</v>
      </c>
      <c r="O280" t="n">
        <v>0</v>
      </c>
      <c r="P280" t="n">
        <v>0</v>
      </c>
      <c r="Q280" t="n">
        <v>0</v>
      </c>
      <c r="R280" s="2" t="inlineStr"/>
    </row>
    <row r="281" ht="15" customHeight="1">
      <c r="A281" t="inlineStr">
        <is>
          <t>A 26591-2023</t>
        </is>
      </c>
      <c r="B281" s="1" t="n">
        <v>45090</v>
      </c>
      <c r="C281" s="1" t="n">
        <v>45881</v>
      </c>
      <c r="D281" t="inlineStr">
        <is>
          <t>NORRBOTTENS LÄN</t>
        </is>
      </c>
      <c r="E281" t="inlineStr">
        <is>
          <t>ARVIDSJAUR</t>
        </is>
      </c>
      <c r="G281" t="n">
        <v>0.5</v>
      </c>
      <c r="H281" t="n">
        <v>0</v>
      </c>
      <c r="I281" t="n">
        <v>0</v>
      </c>
      <c r="J281" t="n">
        <v>0</v>
      </c>
      <c r="K281" t="n">
        <v>0</v>
      </c>
      <c r="L281" t="n">
        <v>0</v>
      </c>
      <c r="M281" t="n">
        <v>0</v>
      </c>
      <c r="N281" t="n">
        <v>0</v>
      </c>
      <c r="O281" t="n">
        <v>0</v>
      </c>
      <c r="P281" t="n">
        <v>0</v>
      </c>
      <c r="Q281" t="n">
        <v>0</v>
      </c>
      <c r="R281" s="2" t="inlineStr"/>
    </row>
    <row r="282" ht="15" customHeight="1">
      <c r="A282" t="inlineStr">
        <is>
          <t>A 48892-2024</t>
        </is>
      </c>
      <c r="B282" s="1" t="n">
        <v>45594</v>
      </c>
      <c r="C282" s="1" t="n">
        <v>45881</v>
      </c>
      <c r="D282" t="inlineStr">
        <is>
          <t>NORRBOTTENS LÄN</t>
        </is>
      </c>
      <c r="E282" t="inlineStr">
        <is>
          <t>ARVIDSJAUR</t>
        </is>
      </c>
      <c r="F282" t="inlineStr">
        <is>
          <t>Sveaskog</t>
        </is>
      </c>
      <c r="G282" t="n">
        <v>22</v>
      </c>
      <c r="H282" t="n">
        <v>0</v>
      </c>
      <c r="I282" t="n">
        <v>0</v>
      </c>
      <c r="J282" t="n">
        <v>0</v>
      </c>
      <c r="K282" t="n">
        <v>0</v>
      </c>
      <c r="L282" t="n">
        <v>0</v>
      </c>
      <c r="M282" t="n">
        <v>0</v>
      </c>
      <c r="N282" t="n">
        <v>0</v>
      </c>
      <c r="O282" t="n">
        <v>0</v>
      </c>
      <c r="P282" t="n">
        <v>0</v>
      </c>
      <c r="Q282" t="n">
        <v>0</v>
      </c>
      <c r="R282" s="2" t="inlineStr"/>
    </row>
    <row r="283" ht="15" customHeight="1">
      <c r="A283" t="inlineStr">
        <is>
          <t>A 24184-2025</t>
        </is>
      </c>
      <c r="B283" s="1" t="n">
        <v>45796</v>
      </c>
      <c r="C283" s="1" t="n">
        <v>45881</v>
      </c>
      <c r="D283" t="inlineStr">
        <is>
          <t>NORRBOTTENS LÄN</t>
        </is>
      </c>
      <c r="E283" t="inlineStr">
        <is>
          <t>ARVIDSJAUR</t>
        </is>
      </c>
      <c r="G283" t="n">
        <v>0.9</v>
      </c>
      <c r="H283" t="n">
        <v>0</v>
      </c>
      <c r="I283" t="n">
        <v>0</v>
      </c>
      <c r="J283" t="n">
        <v>0</v>
      </c>
      <c r="K283" t="n">
        <v>0</v>
      </c>
      <c r="L283" t="n">
        <v>0</v>
      </c>
      <c r="M283" t="n">
        <v>0</v>
      </c>
      <c r="N283" t="n">
        <v>0</v>
      </c>
      <c r="O283" t="n">
        <v>0</v>
      </c>
      <c r="P283" t="n">
        <v>0</v>
      </c>
      <c r="Q283" t="n">
        <v>0</v>
      </c>
      <c r="R283" s="2" t="inlineStr"/>
    </row>
    <row r="284" ht="15" customHeight="1">
      <c r="A284" t="inlineStr">
        <is>
          <t>A 24506-2025</t>
        </is>
      </c>
      <c r="B284" s="1" t="n">
        <v>45798</v>
      </c>
      <c r="C284" s="1" t="n">
        <v>45881</v>
      </c>
      <c r="D284" t="inlineStr">
        <is>
          <t>NORRBOTTENS LÄN</t>
        </is>
      </c>
      <c r="E284" t="inlineStr">
        <is>
          <t>ARVIDSJAUR</t>
        </is>
      </c>
      <c r="F284" t="inlineStr">
        <is>
          <t>Sveaskog</t>
        </is>
      </c>
      <c r="G284" t="n">
        <v>16.6</v>
      </c>
      <c r="H284" t="n">
        <v>0</v>
      </c>
      <c r="I284" t="n">
        <v>0</v>
      </c>
      <c r="J284" t="n">
        <v>0</v>
      </c>
      <c r="K284" t="n">
        <v>0</v>
      </c>
      <c r="L284" t="n">
        <v>0</v>
      </c>
      <c r="M284" t="n">
        <v>0</v>
      </c>
      <c r="N284" t="n">
        <v>0</v>
      </c>
      <c r="O284" t="n">
        <v>0</v>
      </c>
      <c r="P284" t="n">
        <v>0</v>
      </c>
      <c r="Q284" t="n">
        <v>0</v>
      </c>
      <c r="R284" s="2" t="inlineStr"/>
    </row>
    <row r="285" ht="15" customHeight="1">
      <c r="A285" t="inlineStr">
        <is>
          <t>A 2773-2025</t>
        </is>
      </c>
      <c r="B285" s="1" t="n">
        <v>45677.51043981482</v>
      </c>
      <c r="C285" s="1" t="n">
        <v>45881</v>
      </c>
      <c r="D285" t="inlineStr">
        <is>
          <t>NORRBOTTENS LÄN</t>
        </is>
      </c>
      <c r="E285" t="inlineStr">
        <is>
          <t>ARVIDSJAUR</t>
        </is>
      </c>
      <c r="G285" t="n">
        <v>2.8</v>
      </c>
      <c r="H285" t="n">
        <v>0</v>
      </c>
      <c r="I285" t="n">
        <v>0</v>
      </c>
      <c r="J285" t="n">
        <v>0</v>
      </c>
      <c r="K285" t="n">
        <v>0</v>
      </c>
      <c r="L285" t="n">
        <v>0</v>
      </c>
      <c r="M285" t="n">
        <v>0</v>
      </c>
      <c r="N285" t="n">
        <v>0</v>
      </c>
      <c r="O285" t="n">
        <v>0</v>
      </c>
      <c r="P285" t="n">
        <v>0</v>
      </c>
      <c r="Q285" t="n">
        <v>0</v>
      </c>
      <c r="R285" s="2" t="inlineStr"/>
    </row>
    <row r="286" ht="15" customHeight="1">
      <c r="A286" t="inlineStr">
        <is>
          <t>A 32268-2023</t>
        </is>
      </c>
      <c r="B286" s="1" t="n">
        <v>45120</v>
      </c>
      <c r="C286" s="1" t="n">
        <v>45881</v>
      </c>
      <c r="D286" t="inlineStr">
        <is>
          <t>NORRBOTTENS LÄN</t>
        </is>
      </c>
      <c r="E286" t="inlineStr">
        <is>
          <t>ARVIDSJAUR</t>
        </is>
      </c>
      <c r="F286" t="inlineStr">
        <is>
          <t>Sveaskog</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33222-2025</t>
        </is>
      </c>
      <c r="B287" s="1" t="n">
        <v>45840</v>
      </c>
      <c r="C287" s="1" t="n">
        <v>45881</v>
      </c>
      <c r="D287" t="inlineStr">
        <is>
          <t>NORRBOTTENS LÄN</t>
        </is>
      </c>
      <c r="E287" t="inlineStr">
        <is>
          <t>ARVIDSJAUR</t>
        </is>
      </c>
      <c r="F287" t="inlineStr">
        <is>
          <t>Sveaskog</t>
        </is>
      </c>
      <c r="G287" t="n">
        <v>6.5</v>
      </c>
      <c r="H287" t="n">
        <v>0</v>
      </c>
      <c r="I287" t="n">
        <v>0</v>
      </c>
      <c r="J287" t="n">
        <v>0</v>
      </c>
      <c r="K287" t="n">
        <v>0</v>
      </c>
      <c r="L287" t="n">
        <v>0</v>
      </c>
      <c r="M287" t="n">
        <v>0</v>
      </c>
      <c r="N287" t="n">
        <v>0</v>
      </c>
      <c r="O287" t="n">
        <v>0</v>
      </c>
      <c r="P287" t="n">
        <v>0</v>
      </c>
      <c r="Q287" t="n">
        <v>0</v>
      </c>
      <c r="R287" s="2" t="inlineStr"/>
    </row>
    <row r="288" ht="15" customHeight="1">
      <c r="A288" t="inlineStr">
        <is>
          <t>A 33302-2025</t>
        </is>
      </c>
      <c r="B288" s="1" t="n">
        <v>45841</v>
      </c>
      <c r="C288" s="1" t="n">
        <v>45881</v>
      </c>
      <c r="D288" t="inlineStr">
        <is>
          <t>NORRBOTTENS LÄN</t>
        </is>
      </c>
      <c r="E288" t="inlineStr">
        <is>
          <t>ARVIDSJAUR</t>
        </is>
      </c>
      <c r="F288" t="inlineStr">
        <is>
          <t>Sveaskog</t>
        </is>
      </c>
      <c r="G288" t="n">
        <v>11.1</v>
      </c>
      <c r="H288" t="n">
        <v>0</v>
      </c>
      <c r="I288" t="n">
        <v>0</v>
      </c>
      <c r="J288" t="n">
        <v>0</v>
      </c>
      <c r="K288" t="n">
        <v>0</v>
      </c>
      <c r="L288" t="n">
        <v>0</v>
      </c>
      <c r="M288" t="n">
        <v>0</v>
      </c>
      <c r="N288" t="n">
        <v>0</v>
      </c>
      <c r="O288" t="n">
        <v>0</v>
      </c>
      <c r="P288" t="n">
        <v>0</v>
      </c>
      <c r="Q288" t="n">
        <v>0</v>
      </c>
      <c r="R288" s="2" t="inlineStr"/>
    </row>
    <row r="289" ht="15" customHeight="1">
      <c r="A289" t="inlineStr">
        <is>
          <t>A 24923-2025</t>
        </is>
      </c>
      <c r="B289" s="1" t="n">
        <v>45799.55270833334</v>
      </c>
      <c r="C289" s="1" t="n">
        <v>45881</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20698-2022</t>
        </is>
      </c>
      <c r="B290" s="1" t="n">
        <v>44700</v>
      </c>
      <c r="C290" s="1" t="n">
        <v>45881</v>
      </c>
      <c r="D290" t="inlineStr">
        <is>
          <t>NORRBOTTENS LÄN</t>
        </is>
      </c>
      <c r="E290" t="inlineStr">
        <is>
          <t>ARVIDSJAUR</t>
        </is>
      </c>
      <c r="G290" t="n">
        <v>1.3</v>
      </c>
      <c r="H290" t="n">
        <v>0</v>
      </c>
      <c r="I290" t="n">
        <v>0</v>
      </c>
      <c r="J290" t="n">
        <v>0</v>
      </c>
      <c r="K290" t="n">
        <v>0</v>
      </c>
      <c r="L290" t="n">
        <v>0</v>
      </c>
      <c r="M290" t="n">
        <v>0</v>
      </c>
      <c r="N290" t="n">
        <v>0</v>
      </c>
      <c r="O290" t="n">
        <v>0</v>
      </c>
      <c r="P290" t="n">
        <v>0</v>
      </c>
      <c r="Q290" t="n">
        <v>0</v>
      </c>
      <c r="R290" s="2" t="inlineStr"/>
    </row>
    <row r="291" ht="15" customHeight="1">
      <c r="A291" t="inlineStr">
        <is>
          <t>A 24922-2025</t>
        </is>
      </c>
      <c r="B291" s="1" t="n">
        <v>45799.55261574074</v>
      </c>
      <c r="C291" s="1" t="n">
        <v>45881</v>
      </c>
      <c r="D291" t="inlineStr">
        <is>
          <t>NORRBOTTENS LÄN</t>
        </is>
      </c>
      <c r="E291" t="inlineStr">
        <is>
          <t>ARVIDSJAUR</t>
        </is>
      </c>
      <c r="G291" t="n">
        <v>3.2</v>
      </c>
      <c r="H291" t="n">
        <v>0</v>
      </c>
      <c r="I291" t="n">
        <v>0</v>
      </c>
      <c r="J291" t="n">
        <v>0</v>
      </c>
      <c r="K291" t="n">
        <v>0</v>
      </c>
      <c r="L291" t="n">
        <v>0</v>
      </c>
      <c r="M291" t="n">
        <v>0</v>
      </c>
      <c r="N291" t="n">
        <v>0</v>
      </c>
      <c r="O291" t="n">
        <v>0</v>
      </c>
      <c r="P291" t="n">
        <v>0</v>
      </c>
      <c r="Q291" t="n">
        <v>0</v>
      </c>
      <c r="R291" s="2" t="inlineStr"/>
    </row>
    <row r="292" ht="15" customHeight="1">
      <c r="A292" t="inlineStr">
        <is>
          <t>A 36954-2023</t>
        </is>
      </c>
      <c r="B292" s="1" t="n">
        <v>45154</v>
      </c>
      <c r="C292" s="1" t="n">
        <v>45881</v>
      </c>
      <c r="D292" t="inlineStr">
        <is>
          <t>NORRBOTTENS LÄN</t>
        </is>
      </c>
      <c r="E292" t="inlineStr">
        <is>
          <t>ARVIDSJAUR</t>
        </is>
      </c>
      <c r="G292" t="n">
        <v>3.7</v>
      </c>
      <c r="H292" t="n">
        <v>0</v>
      </c>
      <c r="I292" t="n">
        <v>0</v>
      </c>
      <c r="J292" t="n">
        <v>0</v>
      </c>
      <c r="K292" t="n">
        <v>0</v>
      </c>
      <c r="L292" t="n">
        <v>0</v>
      </c>
      <c r="M292" t="n">
        <v>0</v>
      </c>
      <c r="N292" t="n">
        <v>0</v>
      </c>
      <c r="O292" t="n">
        <v>0</v>
      </c>
      <c r="P292" t="n">
        <v>0</v>
      </c>
      <c r="Q292" t="n">
        <v>0</v>
      </c>
      <c r="R292" s="2" t="inlineStr"/>
    </row>
    <row r="293" ht="15" customHeight="1">
      <c r="A293" t="inlineStr">
        <is>
          <t>A 25395-2022</t>
        </is>
      </c>
      <c r="B293" s="1" t="n">
        <v>44732</v>
      </c>
      <c r="C293" s="1" t="n">
        <v>45881</v>
      </c>
      <c r="D293" t="inlineStr">
        <is>
          <t>NORRBOTTENS LÄN</t>
        </is>
      </c>
      <c r="E293" t="inlineStr">
        <is>
          <t>ARVIDSJAUR</t>
        </is>
      </c>
      <c r="G293" t="n">
        <v>6</v>
      </c>
      <c r="H293" t="n">
        <v>0</v>
      </c>
      <c r="I293" t="n">
        <v>0</v>
      </c>
      <c r="J293" t="n">
        <v>0</v>
      </c>
      <c r="K293" t="n">
        <v>0</v>
      </c>
      <c r="L293" t="n">
        <v>0</v>
      </c>
      <c r="M293" t="n">
        <v>0</v>
      </c>
      <c r="N293" t="n">
        <v>0</v>
      </c>
      <c r="O293" t="n">
        <v>0</v>
      </c>
      <c r="P293" t="n">
        <v>0</v>
      </c>
      <c r="Q293" t="n">
        <v>0</v>
      </c>
      <c r="R293" s="2" t="inlineStr"/>
    </row>
    <row r="294" ht="15" customHeight="1">
      <c r="A294" t="inlineStr">
        <is>
          <t>A 26217-2025</t>
        </is>
      </c>
      <c r="B294" s="1" t="n">
        <v>45805.54646990741</v>
      </c>
      <c r="C294" s="1" t="n">
        <v>45881</v>
      </c>
      <c r="D294" t="inlineStr">
        <is>
          <t>NORRBOTTENS LÄN</t>
        </is>
      </c>
      <c r="E294" t="inlineStr">
        <is>
          <t>ARVIDSJAUR</t>
        </is>
      </c>
      <c r="F294" t="inlineStr">
        <is>
          <t>Sveaskog</t>
        </is>
      </c>
      <c r="G294" t="n">
        <v>9.5</v>
      </c>
      <c r="H294" t="n">
        <v>0</v>
      </c>
      <c r="I294" t="n">
        <v>0</v>
      </c>
      <c r="J294" t="n">
        <v>0</v>
      </c>
      <c r="K294" t="n">
        <v>0</v>
      </c>
      <c r="L294" t="n">
        <v>0</v>
      </c>
      <c r="M294" t="n">
        <v>0</v>
      </c>
      <c r="N294" t="n">
        <v>0</v>
      </c>
      <c r="O294" t="n">
        <v>0</v>
      </c>
      <c r="P294" t="n">
        <v>0</v>
      </c>
      <c r="Q294" t="n">
        <v>0</v>
      </c>
      <c r="R294" s="2" t="inlineStr"/>
    </row>
    <row r="295" ht="15" customHeight="1">
      <c r="A295" t="inlineStr">
        <is>
          <t>A 48363-2024</t>
        </is>
      </c>
      <c r="B295" s="1" t="n">
        <v>45590.57452546297</v>
      </c>
      <c r="C295" s="1" t="n">
        <v>45881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25121-2024</t>
        </is>
      </c>
      <c r="B296" s="1" t="n">
        <v>45462</v>
      </c>
      <c r="C296" s="1" t="n">
        <v>45881</v>
      </c>
      <c r="D296" t="inlineStr">
        <is>
          <t>NORRBOTTENS LÄN</t>
        </is>
      </c>
      <c r="E296" t="inlineStr">
        <is>
          <t>ARVIDSJAUR</t>
        </is>
      </c>
      <c r="F296" t="inlineStr">
        <is>
          <t>Sveaskog</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26211-2025</t>
        </is>
      </c>
      <c r="B297" s="1" t="n">
        <v>45805.54035879629</v>
      </c>
      <c r="C297" s="1" t="n">
        <v>45881</v>
      </c>
      <c r="D297" t="inlineStr">
        <is>
          <t>NORRBOTTENS LÄN</t>
        </is>
      </c>
      <c r="E297" t="inlineStr">
        <is>
          <t>ARVIDSJAUR</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26218-2025</t>
        </is>
      </c>
      <c r="B298" s="1" t="n">
        <v>45805.54811342592</v>
      </c>
      <c r="C298" s="1" t="n">
        <v>45881</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20403-2022</t>
        </is>
      </c>
      <c r="B299" s="1" t="n">
        <v>44699</v>
      </c>
      <c r="C299" s="1" t="n">
        <v>45881</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23580-2021</t>
        </is>
      </c>
      <c r="B300" s="1" t="n">
        <v>44334</v>
      </c>
      <c r="C300" s="1" t="n">
        <v>45881</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46181-2021</t>
        </is>
      </c>
      <c r="B301" s="1" t="n">
        <v>44441</v>
      </c>
      <c r="C301" s="1" t="n">
        <v>45881</v>
      </c>
      <c r="D301" t="inlineStr">
        <is>
          <t>NORRBOTTENS LÄN</t>
        </is>
      </c>
      <c r="E301" t="inlineStr">
        <is>
          <t>ARVIDSJAUR</t>
        </is>
      </c>
      <c r="G301" t="n">
        <v>6.5</v>
      </c>
      <c r="H301" t="n">
        <v>0</v>
      </c>
      <c r="I301" t="n">
        <v>0</v>
      </c>
      <c r="J301" t="n">
        <v>0</v>
      </c>
      <c r="K301" t="n">
        <v>0</v>
      </c>
      <c r="L301" t="n">
        <v>0</v>
      </c>
      <c r="M301" t="n">
        <v>0</v>
      </c>
      <c r="N301" t="n">
        <v>0</v>
      </c>
      <c r="O301" t="n">
        <v>0</v>
      </c>
      <c r="P301" t="n">
        <v>0</v>
      </c>
      <c r="Q301" t="n">
        <v>0</v>
      </c>
      <c r="R301" s="2" t="inlineStr"/>
    </row>
    <row r="302" ht="15" customHeight="1">
      <c r="A302" t="inlineStr">
        <is>
          <t>A 26213-2025</t>
        </is>
      </c>
      <c r="B302" s="1" t="n">
        <v>45805.54270833333</v>
      </c>
      <c r="C302" s="1" t="n">
        <v>45881</v>
      </c>
      <c r="D302" t="inlineStr">
        <is>
          <t>NORRBOTTENS LÄN</t>
        </is>
      </c>
      <c r="E302" t="inlineStr">
        <is>
          <t>ARVIDSJAUR</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26214-2025</t>
        </is>
      </c>
      <c r="B303" s="1" t="n">
        <v>45805.54394675926</v>
      </c>
      <c r="C303" s="1" t="n">
        <v>45881</v>
      </c>
      <c r="D303" t="inlineStr">
        <is>
          <t>NORRBOTTENS LÄN</t>
        </is>
      </c>
      <c r="E303" t="inlineStr">
        <is>
          <t>ARVIDSJAUR</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36417-2022</t>
        </is>
      </c>
      <c r="B304" s="1" t="n">
        <v>44804</v>
      </c>
      <c r="C304" s="1" t="n">
        <v>45881</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54521-2023</t>
        </is>
      </c>
      <c r="B305" s="1" t="n">
        <v>45226</v>
      </c>
      <c r="C305" s="1" t="n">
        <v>45881</v>
      </c>
      <c r="D305" t="inlineStr">
        <is>
          <t>NORRBOTTENS LÄN</t>
        </is>
      </c>
      <c r="E305" t="inlineStr">
        <is>
          <t>ARVIDSJAUR</t>
        </is>
      </c>
      <c r="G305" t="n">
        <v>2.5</v>
      </c>
      <c r="H305" t="n">
        <v>0</v>
      </c>
      <c r="I305" t="n">
        <v>0</v>
      </c>
      <c r="J305" t="n">
        <v>0</v>
      </c>
      <c r="K305" t="n">
        <v>0</v>
      </c>
      <c r="L305" t="n">
        <v>0</v>
      </c>
      <c r="M305" t="n">
        <v>0</v>
      </c>
      <c r="N305" t="n">
        <v>0</v>
      </c>
      <c r="O305" t="n">
        <v>0</v>
      </c>
      <c r="P305" t="n">
        <v>0</v>
      </c>
      <c r="Q305" t="n">
        <v>0</v>
      </c>
      <c r="R305" s="2" t="inlineStr"/>
    </row>
    <row r="306" ht="15" customHeight="1">
      <c r="A306" t="inlineStr">
        <is>
          <t>A 3206-2024</t>
        </is>
      </c>
      <c r="B306" s="1" t="n">
        <v>45316</v>
      </c>
      <c r="C306" s="1" t="n">
        <v>45881</v>
      </c>
      <c r="D306" t="inlineStr">
        <is>
          <t>NORRBOTTENS LÄN</t>
        </is>
      </c>
      <c r="E306" t="inlineStr">
        <is>
          <t>ARVIDSJAUR</t>
        </is>
      </c>
      <c r="F306" t="inlineStr">
        <is>
          <t>Allmännings- och besparingsskogar</t>
        </is>
      </c>
      <c r="G306" t="n">
        <v>15.1</v>
      </c>
      <c r="H306" t="n">
        <v>0</v>
      </c>
      <c r="I306" t="n">
        <v>0</v>
      </c>
      <c r="J306" t="n">
        <v>0</v>
      </c>
      <c r="K306" t="n">
        <v>0</v>
      </c>
      <c r="L306" t="n">
        <v>0</v>
      </c>
      <c r="M306" t="n">
        <v>0</v>
      </c>
      <c r="N306" t="n">
        <v>0</v>
      </c>
      <c r="O306" t="n">
        <v>0</v>
      </c>
      <c r="P306" t="n">
        <v>0</v>
      </c>
      <c r="Q306" t="n">
        <v>0</v>
      </c>
      <c r="R306" s="2" t="inlineStr"/>
    </row>
    <row r="307" ht="15" customHeight="1">
      <c r="A307" t="inlineStr">
        <is>
          <t>A 25599-2024</t>
        </is>
      </c>
      <c r="B307" s="1" t="n">
        <v>45463.62568287037</v>
      </c>
      <c r="C307" s="1" t="n">
        <v>45881</v>
      </c>
      <c r="D307" t="inlineStr">
        <is>
          <t>NORRBOTTENS LÄN</t>
        </is>
      </c>
      <c r="E307" t="inlineStr">
        <is>
          <t>ARVIDSJAUR</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60888-2021</t>
        </is>
      </c>
      <c r="B308" s="1" t="n">
        <v>44497</v>
      </c>
      <c r="C308" s="1" t="n">
        <v>45881</v>
      </c>
      <c r="D308" t="inlineStr">
        <is>
          <t>NORRBOTTENS LÄN</t>
        </is>
      </c>
      <c r="E308" t="inlineStr">
        <is>
          <t>ARVIDSJAUR</t>
        </is>
      </c>
      <c r="F308" t="inlineStr">
        <is>
          <t>Sveaskog</t>
        </is>
      </c>
      <c r="G308" t="n">
        <v>12.1</v>
      </c>
      <c r="H308" t="n">
        <v>0</v>
      </c>
      <c r="I308" t="n">
        <v>0</v>
      </c>
      <c r="J308" t="n">
        <v>0</v>
      </c>
      <c r="K308" t="n">
        <v>0</v>
      </c>
      <c r="L308" t="n">
        <v>0</v>
      </c>
      <c r="M308" t="n">
        <v>0</v>
      </c>
      <c r="N308" t="n">
        <v>0</v>
      </c>
      <c r="O308" t="n">
        <v>0</v>
      </c>
      <c r="P308" t="n">
        <v>0</v>
      </c>
      <c r="Q308" t="n">
        <v>0</v>
      </c>
      <c r="R308" s="2" t="inlineStr"/>
    </row>
    <row r="309" ht="15" customHeight="1">
      <c r="A309" t="inlineStr">
        <is>
          <t>A 32990-2025</t>
        </is>
      </c>
      <c r="B309" s="1" t="n">
        <v>45840.3191087963</v>
      </c>
      <c r="C309" s="1" t="n">
        <v>45881</v>
      </c>
      <c r="D309" t="inlineStr">
        <is>
          <t>NORRBOTTENS LÄN</t>
        </is>
      </c>
      <c r="E309" t="inlineStr">
        <is>
          <t>ARVIDSJAUR</t>
        </is>
      </c>
      <c r="G309" t="n">
        <v>3</v>
      </c>
      <c r="H309" t="n">
        <v>0</v>
      </c>
      <c r="I309" t="n">
        <v>0</v>
      </c>
      <c r="J309" t="n">
        <v>0</v>
      </c>
      <c r="K309" t="n">
        <v>0</v>
      </c>
      <c r="L309" t="n">
        <v>0</v>
      </c>
      <c r="M309" t="n">
        <v>0</v>
      </c>
      <c r="N309" t="n">
        <v>0</v>
      </c>
      <c r="O309" t="n">
        <v>0</v>
      </c>
      <c r="P309" t="n">
        <v>0</v>
      </c>
      <c r="Q309" t="n">
        <v>0</v>
      </c>
      <c r="R309" s="2" t="inlineStr"/>
    </row>
    <row r="310" ht="15" customHeight="1">
      <c r="A310" t="inlineStr">
        <is>
          <t>A 33174-2025</t>
        </is>
      </c>
      <c r="B310" s="1" t="n">
        <v>45840.585625</v>
      </c>
      <c r="C310" s="1" t="n">
        <v>45881</v>
      </c>
      <c r="D310" t="inlineStr">
        <is>
          <t>NORRBOTTENS LÄN</t>
        </is>
      </c>
      <c r="E310" t="inlineStr">
        <is>
          <t>ARVIDSJAUR</t>
        </is>
      </c>
      <c r="F310" t="inlineStr">
        <is>
          <t>Sveaskog</t>
        </is>
      </c>
      <c r="G310" t="n">
        <v>26.3</v>
      </c>
      <c r="H310" t="n">
        <v>0</v>
      </c>
      <c r="I310" t="n">
        <v>0</v>
      </c>
      <c r="J310" t="n">
        <v>0</v>
      </c>
      <c r="K310" t="n">
        <v>0</v>
      </c>
      <c r="L310" t="n">
        <v>0</v>
      </c>
      <c r="M310" t="n">
        <v>0</v>
      </c>
      <c r="N310" t="n">
        <v>0</v>
      </c>
      <c r="O310" t="n">
        <v>0</v>
      </c>
      <c r="P310" t="n">
        <v>0</v>
      </c>
      <c r="Q310" t="n">
        <v>0</v>
      </c>
      <c r="R310" s="2" t="inlineStr"/>
    </row>
    <row r="311" ht="15" customHeight="1">
      <c r="A311" t="inlineStr">
        <is>
          <t>A 3265-2024</t>
        </is>
      </c>
      <c r="B311" s="1" t="n">
        <v>45316</v>
      </c>
      <c r="C311" s="1" t="n">
        <v>45881</v>
      </c>
      <c r="D311" t="inlineStr">
        <is>
          <t>NORRBOTTENS LÄN</t>
        </is>
      </c>
      <c r="E311" t="inlineStr">
        <is>
          <t>ARVIDSJAUR</t>
        </is>
      </c>
      <c r="F311" t="inlineStr">
        <is>
          <t>Allmännings- och besparingsskogar</t>
        </is>
      </c>
      <c r="G311" t="n">
        <v>0.5</v>
      </c>
      <c r="H311" t="n">
        <v>0</v>
      </c>
      <c r="I311" t="n">
        <v>0</v>
      </c>
      <c r="J311" t="n">
        <v>0</v>
      </c>
      <c r="K311" t="n">
        <v>0</v>
      </c>
      <c r="L311" t="n">
        <v>0</v>
      </c>
      <c r="M311" t="n">
        <v>0</v>
      </c>
      <c r="N311" t="n">
        <v>0</v>
      </c>
      <c r="O311" t="n">
        <v>0</v>
      </c>
      <c r="P311" t="n">
        <v>0</v>
      </c>
      <c r="Q311" t="n">
        <v>0</v>
      </c>
      <c r="R311" s="2" t="inlineStr"/>
    </row>
    <row r="312" ht="15" customHeight="1">
      <c r="A312" t="inlineStr">
        <is>
          <t>A 14345-2025</t>
        </is>
      </c>
      <c r="B312" s="1" t="n">
        <v>45741.34417824074</v>
      </c>
      <c r="C312" s="1" t="n">
        <v>45881</v>
      </c>
      <c r="D312" t="inlineStr">
        <is>
          <t>NORRBOTTENS LÄN</t>
        </is>
      </c>
      <c r="E312" t="inlineStr">
        <is>
          <t>ARVIDSJAUR</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11492-2025</t>
        </is>
      </c>
      <c r="B313" s="1" t="n">
        <v>45726</v>
      </c>
      <c r="C313" s="1" t="n">
        <v>45881</v>
      </c>
      <c r="D313" t="inlineStr">
        <is>
          <t>NORRBOTTENS LÄN</t>
        </is>
      </c>
      <c r="E313" t="inlineStr">
        <is>
          <t>ARVIDSJAUR</t>
        </is>
      </c>
      <c r="F313" t="inlineStr">
        <is>
          <t>Allmännings- och besparingsskogar</t>
        </is>
      </c>
      <c r="G313" t="n">
        <v>14.2</v>
      </c>
      <c r="H313" t="n">
        <v>0</v>
      </c>
      <c r="I313" t="n">
        <v>0</v>
      </c>
      <c r="J313" t="n">
        <v>0</v>
      </c>
      <c r="K313" t="n">
        <v>0</v>
      </c>
      <c r="L313" t="n">
        <v>0</v>
      </c>
      <c r="M313" t="n">
        <v>0</v>
      </c>
      <c r="N313" t="n">
        <v>0</v>
      </c>
      <c r="O313" t="n">
        <v>0</v>
      </c>
      <c r="P313" t="n">
        <v>0</v>
      </c>
      <c r="Q313" t="n">
        <v>0</v>
      </c>
      <c r="R313" s="2" t="inlineStr"/>
    </row>
    <row r="314" ht="15" customHeight="1">
      <c r="A314" t="inlineStr">
        <is>
          <t>A 11494-2025</t>
        </is>
      </c>
      <c r="B314" s="1" t="n">
        <v>45726</v>
      </c>
      <c r="C314" s="1" t="n">
        <v>45881</v>
      </c>
      <c r="D314" t="inlineStr">
        <is>
          <t>NORRBOTTENS LÄN</t>
        </is>
      </c>
      <c r="E314" t="inlineStr">
        <is>
          <t>ARVIDSJAUR</t>
        </is>
      </c>
      <c r="F314" t="inlineStr">
        <is>
          <t>Allmännings- och besparingsskogar</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2116-2024</t>
        </is>
      </c>
      <c r="B315" s="1" t="n">
        <v>45309</v>
      </c>
      <c r="C315" s="1" t="n">
        <v>45881</v>
      </c>
      <c r="D315" t="inlineStr">
        <is>
          <t>NORRBOTTENS LÄN</t>
        </is>
      </c>
      <c r="E315" t="inlineStr">
        <is>
          <t>ARVIDSJAUR</t>
        </is>
      </c>
      <c r="G315" t="n">
        <v>0.9</v>
      </c>
      <c r="H315" t="n">
        <v>0</v>
      </c>
      <c r="I315" t="n">
        <v>0</v>
      </c>
      <c r="J315" t="n">
        <v>0</v>
      </c>
      <c r="K315" t="n">
        <v>0</v>
      </c>
      <c r="L315" t="n">
        <v>0</v>
      </c>
      <c r="M315" t="n">
        <v>0</v>
      </c>
      <c r="N315" t="n">
        <v>0</v>
      </c>
      <c r="O315" t="n">
        <v>0</v>
      </c>
      <c r="P315" t="n">
        <v>0</v>
      </c>
      <c r="Q315" t="n">
        <v>0</v>
      </c>
      <c r="R315" s="2" t="inlineStr"/>
    </row>
    <row r="316" ht="15" customHeight="1">
      <c r="A316" t="inlineStr">
        <is>
          <t>A 11540-2025</t>
        </is>
      </c>
      <c r="B316" s="1" t="n">
        <v>45726</v>
      </c>
      <c r="C316" s="1" t="n">
        <v>45881</v>
      </c>
      <c r="D316" t="inlineStr">
        <is>
          <t>NORRBOTTENS LÄN</t>
        </is>
      </c>
      <c r="E316" t="inlineStr">
        <is>
          <t>ARVIDSJAUR</t>
        </is>
      </c>
      <c r="F316" t="inlineStr">
        <is>
          <t>Allmännings- och besparingsskogar</t>
        </is>
      </c>
      <c r="G316" t="n">
        <v>4.7</v>
      </c>
      <c r="H316" t="n">
        <v>0</v>
      </c>
      <c r="I316" t="n">
        <v>0</v>
      </c>
      <c r="J316" t="n">
        <v>0</v>
      </c>
      <c r="K316" t="n">
        <v>0</v>
      </c>
      <c r="L316" t="n">
        <v>0</v>
      </c>
      <c r="M316" t="n">
        <v>0</v>
      </c>
      <c r="N316" t="n">
        <v>0</v>
      </c>
      <c r="O316" t="n">
        <v>0</v>
      </c>
      <c r="P316" t="n">
        <v>0</v>
      </c>
      <c r="Q316" t="n">
        <v>0</v>
      </c>
      <c r="R316" s="2" t="inlineStr"/>
    </row>
    <row r="317" ht="15" customHeight="1">
      <c r="A317" t="inlineStr">
        <is>
          <t>A 3203-2024</t>
        </is>
      </c>
      <c r="B317" s="1" t="n">
        <v>45316</v>
      </c>
      <c r="C317" s="1" t="n">
        <v>45881</v>
      </c>
      <c r="D317" t="inlineStr">
        <is>
          <t>NORRBOTTENS LÄN</t>
        </is>
      </c>
      <c r="E317" t="inlineStr">
        <is>
          <t>ARVIDSJAUR</t>
        </is>
      </c>
      <c r="F317" t="inlineStr">
        <is>
          <t>Allmännings- och besparingsskogar</t>
        </is>
      </c>
      <c r="G317" t="n">
        <v>6.3</v>
      </c>
      <c r="H317" t="n">
        <v>0</v>
      </c>
      <c r="I317" t="n">
        <v>0</v>
      </c>
      <c r="J317" t="n">
        <v>0</v>
      </c>
      <c r="K317" t="n">
        <v>0</v>
      </c>
      <c r="L317" t="n">
        <v>0</v>
      </c>
      <c r="M317" t="n">
        <v>0</v>
      </c>
      <c r="N317" t="n">
        <v>0</v>
      </c>
      <c r="O317" t="n">
        <v>0</v>
      </c>
      <c r="P317" t="n">
        <v>0</v>
      </c>
      <c r="Q317" t="n">
        <v>0</v>
      </c>
      <c r="R317" s="2" t="inlineStr"/>
    </row>
    <row r="318" ht="15" customHeight="1">
      <c r="A318" t="inlineStr">
        <is>
          <t>A 19232-2025</t>
        </is>
      </c>
      <c r="B318" s="1" t="n">
        <v>45769</v>
      </c>
      <c r="C318" s="1" t="n">
        <v>45881</v>
      </c>
      <c r="D318" t="inlineStr">
        <is>
          <t>NORRBOTTENS LÄN</t>
        </is>
      </c>
      <c r="E318" t="inlineStr">
        <is>
          <t>ARVIDSJAUR</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50303-2022</t>
        </is>
      </c>
      <c r="B319" s="1" t="n">
        <v>44865</v>
      </c>
      <c r="C319" s="1" t="n">
        <v>45881</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29674-2024</t>
        </is>
      </c>
      <c r="B320" s="1" t="n">
        <v>45484.94219907407</v>
      </c>
      <c r="C320" s="1" t="n">
        <v>45881</v>
      </c>
      <c r="D320" t="inlineStr">
        <is>
          <t>NORRBOTTENS LÄN</t>
        </is>
      </c>
      <c r="E320" t="inlineStr">
        <is>
          <t>ARVIDSJAUR</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29368-2024</t>
        </is>
      </c>
      <c r="B321" s="1" t="n">
        <v>45483.56891203704</v>
      </c>
      <c r="C321" s="1" t="n">
        <v>45881</v>
      </c>
      <c r="D321" t="inlineStr">
        <is>
          <t>NORRBOTTENS LÄN</t>
        </is>
      </c>
      <c r="E321" t="inlineStr">
        <is>
          <t>ARVIDSJAUR</t>
        </is>
      </c>
      <c r="F321" t="inlineStr">
        <is>
          <t>Sveaskog</t>
        </is>
      </c>
      <c r="G321" t="n">
        <v>30.6</v>
      </c>
      <c r="H321" t="n">
        <v>0</v>
      </c>
      <c r="I321" t="n">
        <v>0</v>
      </c>
      <c r="J321" t="n">
        <v>0</v>
      </c>
      <c r="K321" t="n">
        <v>0</v>
      </c>
      <c r="L321" t="n">
        <v>0</v>
      </c>
      <c r="M321" t="n">
        <v>0</v>
      </c>
      <c r="N321" t="n">
        <v>0</v>
      </c>
      <c r="O321" t="n">
        <v>0</v>
      </c>
      <c r="P321" t="n">
        <v>0</v>
      </c>
      <c r="Q321" t="n">
        <v>0</v>
      </c>
      <c r="R321" s="2" t="inlineStr"/>
    </row>
    <row r="322" ht="15" customHeight="1">
      <c r="A322" t="inlineStr">
        <is>
          <t>A 59926-2020</t>
        </is>
      </c>
      <c r="B322" s="1" t="n">
        <v>44151</v>
      </c>
      <c r="C322" s="1" t="n">
        <v>45881</v>
      </c>
      <c r="D322" t="inlineStr">
        <is>
          <t>NORRBOTTENS LÄN</t>
        </is>
      </c>
      <c r="E322" t="inlineStr">
        <is>
          <t>ARVIDSJAUR</t>
        </is>
      </c>
      <c r="G322" t="n">
        <v>3.6</v>
      </c>
      <c r="H322" t="n">
        <v>0</v>
      </c>
      <c r="I322" t="n">
        <v>0</v>
      </c>
      <c r="J322" t="n">
        <v>0</v>
      </c>
      <c r="K322" t="n">
        <v>0</v>
      </c>
      <c r="L322" t="n">
        <v>0</v>
      </c>
      <c r="M322" t="n">
        <v>0</v>
      </c>
      <c r="N322" t="n">
        <v>0</v>
      </c>
      <c r="O322" t="n">
        <v>0</v>
      </c>
      <c r="P322" t="n">
        <v>0</v>
      </c>
      <c r="Q322" t="n">
        <v>0</v>
      </c>
      <c r="R322" s="2" t="inlineStr"/>
    </row>
    <row r="323" ht="15" customHeight="1">
      <c r="A323" t="inlineStr">
        <is>
          <t>A 28313-2023</t>
        </is>
      </c>
      <c r="B323" s="1" t="n">
        <v>45099</v>
      </c>
      <c r="C323" s="1" t="n">
        <v>45881</v>
      </c>
      <c r="D323" t="inlineStr">
        <is>
          <t>NORRBOTTENS LÄN</t>
        </is>
      </c>
      <c r="E323" t="inlineStr">
        <is>
          <t>ARVIDSJAUR</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28352-2025</t>
        </is>
      </c>
      <c r="B324" s="1" t="n">
        <v>45818</v>
      </c>
      <c r="C324" s="1" t="n">
        <v>45881</v>
      </c>
      <c r="D324" t="inlineStr">
        <is>
          <t>NORRBOTTENS LÄN</t>
        </is>
      </c>
      <c r="E324" t="inlineStr">
        <is>
          <t>ARVIDSJAUR</t>
        </is>
      </c>
      <c r="G324" t="n">
        <v>7.5</v>
      </c>
      <c r="H324" t="n">
        <v>0</v>
      </c>
      <c r="I324" t="n">
        <v>0</v>
      </c>
      <c r="J324" t="n">
        <v>0</v>
      </c>
      <c r="K324" t="n">
        <v>0</v>
      </c>
      <c r="L324" t="n">
        <v>0</v>
      </c>
      <c r="M324" t="n">
        <v>0</v>
      </c>
      <c r="N324" t="n">
        <v>0</v>
      </c>
      <c r="O324" t="n">
        <v>0</v>
      </c>
      <c r="P324" t="n">
        <v>0</v>
      </c>
      <c r="Q324" t="n">
        <v>0</v>
      </c>
      <c r="R324" s="2" t="inlineStr"/>
    </row>
    <row r="325" ht="15" customHeight="1">
      <c r="A325" t="inlineStr">
        <is>
          <t>A 4934-2024</t>
        </is>
      </c>
      <c r="B325" s="1" t="n">
        <v>45329</v>
      </c>
      <c r="C325" s="1" t="n">
        <v>45881</v>
      </c>
      <c r="D325" t="inlineStr">
        <is>
          <t>NORRBOTTENS LÄN</t>
        </is>
      </c>
      <c r="E325" t="inlineStr">
        <is>
          <t>ARVIDSJAUR</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48373-2024</t>
        </is>
      </c>
      <c r="B326" s="1" t="n">
        <v>45590</v>
      </c>
      <c r="C326" s="1" t="n">
        <v>45881</v>
      </c>
      <c r="D326" t="inlineStr">
        <is>
          <t>NORRBOTTENS LÄN</t>
        </is>
      </c>
      <c r="E326" t="inlineStr">
        <is>
          <t>ARVIDSJAUR</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28353-2025</t>
        </is>
      </c>
      <c r="B327" s="1" t="n">
        <v>45818</v>
      </c>
      <c r="C327" s="1" t="n">
        <v>45881</v>
      </c>
      <c r="D327" t="inlineStr">
        <is>
          <t>NORRBOTTENS LÄN</t>
        </is>
      </c>
      <c r="E327" t="inlineStr">
        <is>
          <t>ARVIDSJAUR</t>
        </is>
      </c>
      <c r="G327" t="n">
        <v>0.9</v>
      </c>
      <c r="H327" t="n">
        <v>0</v>
      </c>
      <c r="I327" t="n">
        <v>0</v>
      </c>
      <c r="J327" t="n">
        <v>0</v>
      </c>
      <c r="K327" t="n">
        <v>0</v>
      </c>
      <c r="L327" t="n">
        <v>0</v>
      </c>
      <c r="M327" t="n">
        <v>0</v>
      </c>
      <c r="N327" t="n">
        <v>0</v>
      </c>
      <c r="O327" t="n">
        <v>0</v>
      </c>
      <c r="P327" t="n">
        <v>0</v>
      </c>
      <c r="Q327" t="n">
        <v>0</v>
      </c>
      <c r="R327" s="2" t="inlineStr"/>
    </row>
    <row r="328" ht="15" customHeight="1">
      <c r="A328" t="inlineStr">
        <is>
          <t>A 28356-2025</t>
        </is>
      </c>
      <c r="B328" s="1" t="n">
        <v>45818</v>
      </c>
      <c r="C328" s="1" t="n">
        <v>45881</v>
      </c>
      <c r="D328" t="inlineStr">
        <is>
          <t>NORRBOTTENS LÄN</t>
        </is>
      </c>
      <c r="E328" t="inlineStr">
        <is>
          <t>ARVIDSJAUR</t>
        </is>
      </c>
      <c r="G328" t="n">
        <v>1.1</v>
      </c>
      <c r="H328" t="n">
        <v>0</v>
      </c>
      <c r="I328" t="n">
        <v>0</v>
      </c>
      <c r="J328" t="n">
        <v>0</v>
      </c>
      <c r="K328" t="n">
        <v>0</v>
      </c>
      <c r="L328" t="n">
        <v>0</v>
      </c>
      <c r="M328" t="n">
        <v>0</v>
      </c>
      <c r="N328" t="n">
        <v>0</v>
      </c>
      <c r="O328" t="n">
        <v>0</v>
      </c>
      <c r="P328" t="n">
        <v>0</v>
      </c>
      <c r="Q328" t="n">
        <v>0</v>
      </c>
      <c r="R328" s="2" t="inlineStr"/>
    </row>
    <row r="329" ht="15" customHeight="1">
      <c r="A329" t="inlineStr">
        <is>
          <t>A 28357-2025</t>
        </is>
      </c>
      <c r="B329" s="1" t="n">
        <v>45818</v>
      </c>
      <c r="C329" s="1" t="n">
        <v>45881</v>
      </c>
      <c r="D329" t="inlineStr">
        <is>
          <t>NORRBOTTENS LÄN</t>
        </is>
      </c>
      <c r="E329" t="inlineStr">
        <is>
          <t>ARVIDSJAUR</t>
        </is>
      </c>
      <c r="G329" t="n">
        <v>0.9</v>
      </c>
      <c r="H329" t="n">
        <v>0</v>
      </c>
      <c r="I329" t="n">
        <v>0</v>
      </c>
      <c r="J329" t="n">
        <v>0</v>
      </c>
      <c r="K329" t="n">
        <v>0</v>
      </c>
      <c r="L329" t="n">
        <v>0</v>
      </c>
      <c r="M329" t="n">
        <v>0</v>
      </c>
      <c r="N329" t="n">
        <v>0</v>
      </c>
      <c r="O329" t="n">
        <v>0</v>
      </c>
      <c r="P329" t="n">
        <v>0</v>
      </c>
      <c r="Q329" t="n">
        <v>0</v>
      </c>
      <c r="R329" s="2" t="inlineStr"/>
    </row>
    <row r="330" ht="15" customHeight="1">
      <c r="A330" t="inlineStr">
        <is>
          <t>A 5702-2024</t>
        </is>
      </c>
      <c r="B330" s="1" t="n">
        <v>45334</v>
      </c>
      <c r="C330" s="1" t="n">
        <v>45881</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50527-2024</t>
        </is>
      </c>
      <c r="B331" s="1" t="n">
        <v>45601.56194444445</v>
      </c>
      <c r="C331" s="1" t="n">
        <v>45881</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28892-2025</t>
        </is>
      </c>
      <c r="B332" s="1" t="n">
        <v>45820.63246527778</v>
      </c>
      <c r="C332" s="1" t="n">
        <v>45881</v>
      </c>
      <c r="D332" t="inlineStr">
        <is>
          <t>NORRBOTTENS LÄN</t>
        </is>
      </c>
      <c r="E332" t="inlineStr">
        <is>
          <t>ARVIDSJAUR</t>
        </is>
      </c>
      <c r="F332" t="inlineStr">
        <is>
          <t>Sveaskog</t>
        </is>
      </c>
      <c r="G332" t="n">
        <v>3.5</v>
      </c>
      <c r="H332" t="n">
        <v>0</v>
      </c>
      <c r="I332" t="n">
        <v>0</v>
      </c>
      <c r="J332" t="n">
        <v>0</v>
      </c>
      <c r="K332" t="n">
        <v>0</v>
      </c>
      <c r="L332" t="n">
        <v>0</v>
      </c>
      <c r="M332" t="n">
        <v>0</v>
      </c>
      <c r="N332" t="n">
        <v>0</v>
      </c>
      <c r="O332" t="n">
        <v>0</v>
      </c>
      <c r="P332" t="n">
        <v>0</v>
      </c>
      <c r="Q332" t="n">
        <v>0</v>
      </c>
      <c r="R332" s="2" t="inlineStr"/>
    </row>
    <row r="333" ht="15" customHeight="1">
      <c r="A333" t="inlineStr">
        <is>
          <t>A 28894-2025</t>
        </is>
      </c>
      <c r="B333" s="1" t="n">
        <v>45820.63534722223</v>
      </c>
      <c r="C333" s="1" t="n">
        <v>45881</v>
      </c>
      <c r="D333" t="inlineStr">
        <is>
          <t>NORRBOTTENS LÄN</t>
        </is>
      </c>
      <c r="E333" t="inlineStr">
        <is>
          <t>ARVIDSJAUR</t>
        </is>
      </c>
      <c r="F333" t="inlineStr">
        <is>
          <t>Sveaskog</t>
        </is>
      </c>
      <c r="G333" t="n">
        <v>14.2</v>
      </c>
      <c r="H333" t="n">
        <v>0</v>
      </c>
      <c r="I333" t="n">
        <v>0</v>
      </c>
      <c r="J333" t="n">
        <v>0</v>
      </c>
      <c r="K333" t="n">
        <v>0</v>
      </c>
      <c r="L333" t="n">
        <v>0</v>
      </c>
      <c r="M333" t="n">
        <v>0</v>
      </c>
      <c r="N333" t="n">
        <v>0</v>
      </c>
      <c r="O333" t="n">
        <v>0</v>
      </c>
      <c r="P333" t="n">
        <v>0</v>
      </c>
      <c r="Q333" t="n">
        <v>0</v>
      </c>
      <c r="R333" s="2" t="inlineStr"/>
    </row>
    <row r="334" ht="15" customHeight="1">
      <c r="A334" t="inlineStr">
        <is>
          <t>A 35670-2025</t>
        </is>
      </c>
      <c r="B334" s="1" t="n">
        <v>45859.61556712963</v>
      </c>
      <c r="C334" s="1" t="n">
        <v>45881</v>
      </c>
      <c r="D334" t="inlineStr">
        <is>
          <t>NORRBOTTENS LÄN</t>
        </is>
      </c>
      <c r="E334" t="inlineStr">
        <is>
          <t>ARVIDSJAUR</t>
        </is>
      </c>
      <c r="G334" t="n">
        <v>0.8</v>
      </c>
      <c r="H334" t="n">
        <v>0</v>
      </c>
      <c r="I334" t="n">
        <v>0</v>
      </c>
      <c r="J334" t="n">
        <v>0</v>
      </c>
      <c r="K334" t="n">
        <v>0</v>
      </c>
      <c r="L334" t="n">
        <v>0</v>
      </c>
      <c r="M334" t="n">
        <v>0</v>
      </c>
      <c r="N334" t="n">
        <v>0</v>
      </c>
      <c r="O334" t="n">
        <v>0</v>
      </c>
      <c r="P334" t="n">
        <v>0</v>
      </c>
      <c r="Q334" t="n">
        <v>0</v>
      </c>
      <c r="R334" s="2" t="inlineStr"/>
    </row>
    <row r="335" ht="15" customHeight="1">
      <c r="A335" t="inlineStr">
        <is>
          <t>A 22691-2024</t>
        </is>
      </c>
      <c r="B335" s="1" t="n">
        <v>45448</v>
      </c>
      <c r="C335" s="1" t="n">
        <v>45881</v>
      </c>
      <c r="D335" t="inlineStr">
        <is>
          <t>NORRBOTTENS LÄN</t>
        </is>
      </c>
      <c r="E335" t="inlineStr">
        <is>
          <t>ARVIDSJAUR</t>
        </is>
      </c>
      <c r="F335" t="inlineStr">
        <is>
          <t>Sveaskog</t>
        </is>
      </c>
      <c r="G335" t="n">
        <v>11.2</v>
      </c>
      <c r="H335" t="n">
        <v>0</v>
      </c>
      <c r="I335" t="n">
        <v>0</v>
      </c>
      <c r="J335" t="n">
        <v>0</v>
      </c>
      <c r="K335" t="n">
        <v>0</v>
      </c>
      <c r="L335" t="n">
        <v>0</v>
      </c>
      <c r="M335" t="n">
        <v>0</v>
      </c>
      <c r="N335" t="n">
        <v>0</v>
      </c>
      <c r="O335" t="n">
        <v>0</v>
      </c>
      <c r="P335" t="n">
        <v>0</v>
      </c>
      <c r="Q335" t="n">
        <v>0</v>
      </c>
      <c r="R335" s="2" t="inlineStr"/>
    </row>
    <row r="336" ht="15" customHeight="1">
      <c r="A336" t="inlineStr">
        <is>
          <t>A 29241-2025</t>
        </is>
      </c>
      <c r="B336" s="1" t="n">
        <v>45824</v>
      </c>
      <c r="C336" s="1" t="n">
        <v>45881</v>
      </c>
      <c r="D336" t="inlineStr">
        <is>
          <t>NORRBOTTENS LÄN</t>
        </is>
      </c>
      <c r="E336" t="inlineStr">
        <is>
          <t>ARVIDSJAUR</t>
        </is>
      </c>
      <c r="G336" t="n">
        <v>2.1</v>
      </c>
      <c r="H336" t="n">
        <v>0</v>
      </c>
      <c r="I336" t="n">
        <v>0</v>
      </c>
      <c r="J336" t="n">
        <v>0</v>
      </c>
      <c r="K336" t="n">
        <v>0</v>
      </c>
      <c r="L336" t="n">
        <v>0</v>
      </c>
      <c r="M336" t="n">
        <v>0</v>
      </c>
      <c r="N336" t="n">
        <v>0</v>
      </c>
      <c r="O336" t="n">
        <v>0</v>
      </c>
      <c r="P336" t="n">
        <v>0</v>
      </c>
      <c r="Q336" t="n">
        <v>0</v>
      </c>
      <c r="R336" s="2" t="inlineStr"/>
    </row>
    <row r="337" ht="15" customHeight="1">
      <c r="A337" t="inlineStr">
        <is>
          <t>A 52645-2023</t>
        </is>
      </c>
      <c r="B337" s="1" t="n">
        <v>45225</v>
      </c>
      <c r="C337" s="1" t="n">
        <v>45881</v>
      </c>
      <c r="D337" t="inlineStr">
        <is>
          <t>NORRBOTTENS LÄN</t>
        </is>
      </c>
      <c r="E337" t="inlineStr">
        <is>
          <t>ARVIDSJAUR</t>
        </is>
      </c>
      <c r="G337" t="n">
        <v>2.7</v>
      </c>
      <c r="H337" t="n">
        <v>0</v>
      </c>
      <c r="I337" t="n">
        <v>0</v>
      </c>
      <c r="J337" t="n">
        <v>0</v>
      </c>
      <c r="K337" t="n">
        <v>0</v>
      </c>
      <c r="L337" t="n">
        <v>0</v>
      </c>
      <c r="M337" t="n">
        <v>0</v>
      </c>
      <c r="N337" t="n">
        <v>0</v>
      </c>
      <c r="O337" t="n">
        <v>0</v>
      </c>
      <c r="P337" t="n">
        <v>0</v>
      </c>
      <c r="Q337" t="n">
        <v>0</v>
      </c>
      <c r="R337" s="2" t="inlineStr"/>
    </row>
    <row r="338" ht="15" customHeight="1">
      <c r="A338" t="inlineStr">
        <is>
          <t>A 28954-2025</t>
        </is>
      </c>
      <c r="B338" s="1" t="n">
        <v>45821.28777777778</v>
      </c>
      <c r="C338" s="1" t="n">
        <v>45881</v>
      </c>
      <c r="D338" t="inlineStr">
        <is>
          <t>NORRBOTTENS LÄN</t>
        </is>
      </c>
      <c r="E338" t="inlineStr">
        <is>
          <t>ARVIDSJAUR</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36452-2024</t>
        </is>
      </c>
      <c r="B339" s="1" t="n">
        <v>45537</v>
      </c>
      <c r="C339" s="1" t="n">
        <v>45881</v>
      </c>
      <c r="D339" t="inlineStr">
        <is>
          <t>NORRBOTTENS LÄN</t>
        </is>
      </c>
      <c r="E339" t="inlineStr">
        <is>
          <t>ARVIDSJAUR</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39109-2024</t>
        </is>
      </c>
      <c r="B340" s="1" t="n">
        <v>45548.57447916667</v>
      </c>
      <c r="C340" s="1" t="n">
        <v>45881</v>
      </c>
      <c r="D340" t="inlineStr">
        <is>
          <t>NORRBOTTENS LÄN</t>
        </is>
      </c>
      <c r="E340" t="inlineStr">
        <is>
          <t>ARVIDSJAUR</t>
        </is>
      </c>
      <c r="F340" t="inlineStr">
        <is>
          <t>Sveaskog</t>
        </is>
      </c>
      <c r="G340" t="n">
        <v>35.3</v>
      </c>
      <c r="H340" t="n">
        <v>0</v>
      </c>
      <c r="I340" t="n">
        <v>0</v>
      </c>
      <c r="J340" t="n">
        <v>0</v>
      </c>
      <c r="K340" t="n">
        <v>0</v>
      </c>
      <c r="L340" t="n">
        <v>0</v>
      </c>
      <c r="M340" t="n">
        <v>0</v>
      </c>
      <c r="N340" t="n">
        <v>0</v>
      </c>
      <c r="O340" t="n">
        <v>0</v>
      </c>
      <c r="P340" t="n">
        <v>0</v>
      </c>
      <c r="Q340" t="n">
        <v>0</v>
      </c>
      <c r="R340" s="2" t="inlineStr"/>
    </row>
    <row r="341" ht="15" customHeight="1">
      <c r="A341" t="inlineStr">
        <is>
          <t>A 29518-2025</t>
        </is>
      </c>
      <c r="B341" s="1" t="n">
        <v>45825.32150462963</v>
      </c>
      <c r="C341" s="1" t="n">
        <v>45881</v>
      </c>
      <c r="D341" t="inlineStr">
        <is>
          <t>NORRBOTTENS LÄN</t>
        </is>
      </c>
      <c r="E341" t="inlineStr">
        <is>
          <t>ARVIDSJAUR</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29504-2025</t>
        </is>
      </c>
      <c r="B342" s="1" t="n">
        <v>45825</v>
      </c>
      <c r="C342" s="1" t="n">
        <v>45881</v>
      </c>
      <c r="D342" t="inlineStr">
        <is>
          <t>NORRBOTTENS LÄN</t>
        </is>
      </c>
      <c r="E342" t="inlineStr">
        <is>
          <t>ARVIDSJAUR</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45034-2023</t>
        </is>
      </c>
      <c r="B343" s="1" t="n">
        <v>45191.28909722222</v>
      </c>
      <c r="C343" s="1" t="n">
        <v>45881</v>
      </c>
      <c r="D343" t="inlineStr">
        <is>
          <t>NORRBOTTENS LÄN</t>
        </is>
      </c>
      <c r="E343" t="inlineStr">
        <is>
          <t>ARVIDSJAUR</t>
        </is>
      </c>
      <c r="F343" t="inlineStr">
        <is>
          <t>Sveaskog</t>
        </is>
      </c>
      <c r="G343" t="n">
        <v>7</v>
      </c>
      <c r="H343" t="n">
        <v>0</v>
      </c>
      <c r="I343" t="n">
        <v>0</v>
      </c>
      <c r="J343" t="n">
        <v>0</v>
      </c>
      <c r="K343" t="n">
        <v>0</v>
      </c>
      <c r="L343" t="n">
        <v>0</v>
      </c>
      <c r="M343" t="n">
        <v>0</v>
      </c>
      <c r="N343" t="n">
        <v>0</v>
      </c>
      <c r="O343" t="n">
        <v>0</v>
      </c>
      <c r="P343" t="n">
        <v>0</v>
      </c>
      <c r="Q343" t="n">
        <v>0</v>
      </c>
      <c r="R343" s="2" t="inlineStr"/>
    </row>
    <row r="344" ht="15" customHeight="1">
      <c r="A344" t="inlineStr">
        <is>
          <t>A 47919-2024</t>
        </is>
      </c>
      <c r="B344" s="1" t="n">
        <v>45589</v>
      </c>
      <c r="C344" s="1" t="n">
        <v>45881</v>
      </c>
      <c r="D344" t="inlineStr">
        <is>
          <t>NORRBOTTENS LÄN</t>
        </is>
      </c>
      <c r="E344" t="inlineStr">
        <is>
          <t>ARVIDSJAUR</t>
        </is>
      </c>
      <c r="F344" t="inlineStr">
        <is>
          <t>Sveaskog</t>
        </is>
      </c>
      <c r="G344" t="n">
        <v>7.8</v>
      </c>
      <c r="H344" t="n">
        <v>0</v>
      </c>
      <c r="I344" t="n">
        <v>0</v>
      </c>
      <c r="J344" t="n">
        <v>0</v>
      </c>
      <c r="K344" t="n">
        <v>0</v>
      </c>
      <c r="L344" t="n">
        <v>0</v>
      </c>
      <c r="M344" t="n">
        <v>0</v>
      </c>
      <c r="N344" t="n">
        <v>0</v>
      </c>
      <c r="O344" t="n">
        <v>0</v>
      </c>
      <c r="P344" t="n">
        <v>0</v>
      </c>
      <c r="Q344" t="n">
        <v>0</v>
      </c>
      <c r="R344" s="2" t="inlineStr"/>
    </row>
    <row r="345" ht="15" customHeight="1">
      <c r="A345" t="inlineStr">
        <is>
          <t>A 29516-2025</t>
        </is>
      </c>
      <c r="B345" s="1" t="n">
        <v>45825.31756944444</v>
      </c>
      <c r="C345" s="1" t="n">
        <v>45881</v>
      </c>
      <c r="D345" t="inlineStr">
        <is>
          <t>NORRBOTTENS LÄN</t>
        </is>
      </c>
      <c r="E345" t="inlineStr">
        <is>
          <t>ARVIDSJAUR</t>
        </is>
      </c>
      <c r="F345" t="inlineStr">
        <is>
          <t>Sveaskog</t>
        </is>
      </c>
      <c r="G345" t="n">
        <v>17.1</v>
      </c>
      <c r="H345" t="n">
        <v>0</v>
      </c>
      <c r="I345" t="n">
        <v>0</v>
      </c>
      <c r="J345" t="n">
        <v>0</v>
      </c>
      <c r="K345" t="n">
        <v>0</v>
      </c>
      <c r="L345" t="n">
        <v>0</v>
      </c>
      <c r="M345" t="n">
        <v>0</v>
      </c>
      <c r="N345" t="n">
        <v>0</v>
      </c>
      <c r="O345" t="n">
        <v>0</v>
      </c>
      <c r="P345" t="n">
        <v>0</v>
      </c>
      <c r="Q345" t="n">
        <v>0</v>
      </c>
      <c r="R345" s="2" t="inlineStr"/>
    </row>
    <row r="346" ht="15" customHeight="1">
      <c r="A346" t="inlineStr">
        <is>
          <t>A 29514-2025</t>
        </is>
      </c>
      <c r="B346" s="1" t="n">
        <v>45825.3119212963</v>
      </c>
      <c r="C346" s="1" t="n">
        <v>45881</v>
      </c>
      <c r="D346" t="inlineStr">
        <is>
          <t>NORRBOTTENS LÄN</t>
        </is>
      </c>
      <c r="E346" t="inlineStr">
        <is>
          <t>ARVIDSJAUR</t>
        </is>
      </c>
      <c r="F346" t="inlineStr">
        <is>
          <t>Sveaskog</t>
        </is>
      </c>
      <c r="G346" t="n">
        <v>3.9</v>
      </c>
      <c r="H346" t="n">
        <v>0</v>
      </c>
      <c r="I346" t="n">
        <v>0</v>
      </c>
      <c r="J346" t="n">
        <v>0</v>
      </c>
      <c r="K346" t="n">
        <v>0</v>
      </c>
      <c r="L346" t="n">
        <v>0</v>
      </c>
      <c r="M346" t="n">
        <v>0</v>
      </c>
      <c r="N346" t="n">
        <v>0</v>
      </c>
      <c r="O346" t="n">
        <v>0</v>
      </c>
      <c r="P346" t="n">
        <v>0</v>
      </c>
      <c r="Q346" t="n">
        <v>0</v>
      </c>
      <c r="R346" s="2" t="inlineStr"/>
    </row>
    <row r="347" ht="15" customHeight="1">
      <c r="A347" t="inlineStr">
        <is>
          <t>A 54211-2024</t>
        </is>
      </c>
      <c r="B347" s="1" t="n">
        <v>45616</v>
      </c>
      <c r="C347" s="1" t="n">
        <v>45881</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36489-2025</t>
        </is>
      </c>
      <c r="B348" s="1" t="n">
        <v>45869.52704861111</v>
      </c>
      <c r="C348" s="1" t="n">
        <v>45881</v>
      </c>
      <c r="D348" t="inlineStr">
        <is>
          <t>NORRBOTTENS LÄN</t>
        </is>
      </c>
      <c r="E348" t="inlineStr">
        <is>
          <t>ARVIDSJAUR</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30383-2025</t>
        </is>
      </c>
      <c r="B349" s="1" t="n">
        <v>45827.57081018519</v>
      </c>
      <c r="C349" s="1" t="n">
        <v>45881</v>
      </c>
      <c r="D349" t="inlineStr">
        <is>
          <t>NORRBOTTENS LÄN</t>
        </is>
      </c>
      <c r="E349" t="inlineStr">
        <is>
          <t>ARVIDSJAUR</t>
        </is>
      </c>
      <c r="G349" t="n">
        <v>20</v>
      </c>
      <c r="H349" t="n">
        <v>0</v>
      </c>
      <c r="I349" t="n">
        <v>0</v>
      </c>
      <c r="J349" t="n">
        <v>0</v>
      </c>
      <c r="K349" t="n">
        <v>0</v>
      </c>
      <c r="L349" t="n">
        <v>0</v>
      </c>
      <c r="M349" t="n">
        <v>0</v>
      </c>
      <c r="N349" t="n">
        <v>0</v>
      </c>
      <c r="O349" t="n">
        <v>0</v>
      </c>
      <c r="P349" t="n">
        <v>0</v>
      </c>
      <c r="Q349" t="n">
        <v>0</v>
      </c>
      <c r="R349" s="2" t="inlineStr"/>
    </row>
    <row r="350" ht="15" customHeight="1">
      <c r="A350" t="inlineStr">
        <is>
          <t>A 54311-2023</t>
        </is>
      </c>
      <c r="B350" s="1" t="n">
        <v>45225</v>
      </c>
      <c r="C350" s="1" t="n">
        <v>45881</v>
      </c>
      <c r="D350" t="inlineStr">
        <is>
          <t>NORRBOTTENS LÄN</t>
        </is>
      </c>
      <c r="E350" t="inlineStr">
        <is>
          <t>ARVIDSJAUR</t>
        </is>
      </c>
      <c r="G350" t="n">
        <v>1.4</v>
      </c>
      <c r="H350" t="n">
        <v>0</v>
      </c>
      <c r="I350" t="n">
        <v>0</v>
      </c>
      <c r="J350" t="n">
        <v>0</v>
      </c>
      <c r="K350" t="n">
        <v>0</v>
      </c>
      <c r="L350" t="n">
        <v>0</v>
      </c>
      <c r="M350" t="n">
        <v>0</v>
      </c>
      <c r="N350" t="n">
        <v>0</v>
      </c>
      <c r="O350" t="n">
        <v>0</v>
      </c>
      <c r="P350" t="n">
        <v>0</v>
      </c>
      <c r="Q350" t="n">
        <v>0</v>
      </c>
      <c r="R350" s="2" t="inlineStr"/>
    </row>
    <row r="351" ht="15" customHeight="1">
      <c r="A351" t="inlineStr">
        <is>
          <t>A 40756-2022</t>
        </is>
      </c>
      <c r="B351" s="1" t="n">
        <v>44824</v>
      </c>
      <c r="C351" s="1" t="n">
        <v>45881</v>
      </c>
      <c r="D351" t="inlineStr">
        <is>
          <t>NORRBOTTENS LÄN</t>
        </is>
      </c>
      <c r="E351" t="inlineStr">
        <is>
          <t>ARVIDSJAUR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59922-2020</t>
        </is>
      </c>
      <c r="B352" s="1" t="n">
        <v>44148</v>
      </c>
      <c r="C352" s="1" t="n">
        <v>45881</v>
      </c>
      <c r="D352" t="inlineStr">
        <is>
          <t>NORRBOTTENS LÄN</t>
        </is>
      </c>
      <c r="E352" t="inlineStr">
        <is>
          <t>ARVIDSJAUR</t>
        </is>
      </c>
      <c r="G352" t="n">
        <v>16.1</v>
      </c>
      <c r="H352" t="n">
        <v>0</v>
      </c>
      <c r="I352" t="n">
        <v>0</v>
      </c>
      <c r="J352" t="n">
        <v>0</v>
      </c>
      <c r="K352" t="n">
        <v>0</v>
      </c>
      <c r="L352" t="n">
        <v>0</v>
      </c>
      <c r="M352" t="n">
        <v>0</v>
      </c>
      <c r="N352" t="n">
        <v>0</v>
      </c>
      <c r="O352" t="n">
        <v>0</v>
      </c>
      <c r="P352" t="n">
        <v>0</v>
      </c>
      <c r="Q352" t="n">
        <v>0</v>
      </c>
      <c r="R352" s="2" t="inlineStr"/>
    </row>
    <row r="353" ht="15" customHeight="1">
      <c r="A353" t="inlineStr">
        <is>
          <t>A 50667-2020</t>
        </is>
      </c>
      <c r="B353" s="1" t="n">
        <v>44111</v>
      </c>
      <c r="C353" s="1" t="n">
        <v>45881</v>
      </c>
      <c r="D353" t="inlineStr">
        <is>
          <t>NORRBOTTENS LÄN</t>
        </is>
      </c>
      <c r="E353" t="inlineStr">
        <is>
          <t>ARVIDSJAUR</t>
        </is>
      </c>
      <c r="G353" t="n">
        <v>1.6</v>
      </c>
      <c r="H353" t="n">
        <v>0</v>
      </c>
      <c r="I353" t="n">
        <v>0</v>
      </c>
      <c r="J353" t="n">
        <v>0</v>
      </c>
      <c r="K353" t="n">
        <v>0</v>
      </c>
      <c r="L353" t="n">
        <v>0</v>
      </c>
      <c r="M353" t="n">
        <v>0</v>
      </c>
      <c r="N353" t="n">
        <v>0</v>
      </c>
      <c r="O353" t="n">
        <v>0</v>
      </c>
      <c r="P353" t="n">
        <v>0</v>
      </c>
      <c r="Q353" t="n">
        <v>0</v>
      </c>
      <c r="R353" s="2" t="inlineStr"/>
    </row>
    <row r="354" ht="15" customHeight="1">
      <c r="A354" t="inlineStr">
        <is>
          <t>A 41872-2021</t>
        </is>
      </c>
      <c r="B354" s="1" t="n">
        <v>44426</v>
      </c>
      <c r="C354" s="1" t="n">
        <v>45881</v>
      </c>
      <c r="D354" t="inlineStr">
        <is>
          <t>NORRBOTTENS LÄN</t>
        </is>
      </c>
      <c r="E354" t="inlineStr">
        <is>
          <t>ARVIDSJAUR</t>
        </is>
      </c>
      <c r="F354" t="inlineStr">
        <is>
          <t>Sveaskog</t>
        </is>
      </c>
      <c r="G354" t="n">
        <v>4</v>
      </c>
      <c r="H354" t="n">
        <v>0</v>
      </c>
      <c r="I354" t="n">
        <v>0</v>
      </c>
      <c r="J354" t="n">
        <v>0</v>
      </c>
      <c r="K354" t="n">
        <v>0</v>
      </c>
      <c r="L354" t="n">
        <v>0</v>
      </c>
      <c r="M354" t="n">
        <v>0</v>
      </c>
      <c r="N354" t="n">
        <v>0</v>
      </c>
      <c r="O354" t="n">
        <v>0</v>
      </c>
      <c r="P354" t="n">
        <v>0</v>
      </c>
      <c r="Q354" t="n">
        <v>0</v>
      </c>
      <c r="R354" s="2" t="inlineStr"/>
    </row>
    <row r="355" ht="15" customHeight="1">
      <c r="A355" t="inlineStr">
        <is>
          <t>A 37191-2025</t>
        </is>
      </c>
      <c r="B355" s="1" t="n">
        <v>45875.64945601852</v>
      </c>
      <c r="C355" s="1" t="n">
        <v>45881</v>
      </c>
      <c r="D355" t="inlineStr">
        <is>
          <t>NORRBOTTENS LÄN</t>
        </is>
      </c>
      <c r="E355" t="inlineStr">
        <is>
          <t>ARVIDSJAUR</t>
        </is>
      </c>
      <c r="F355" t="inlineStr">
        <is>
          <t>Sveaskog</t>
        </is>
      </c>
      <c r="G355" t="n">
        <v>5.9</v>
      </c>
      <c r="H355" t="n">
        <v>0</v>
      </c>
      <c r="I355" t="n">
        <v>0</v>
      </c>
      <c r="J355" t="n">
        <v>0</v>
      </c>
      <c r="K355" t="n">
        <v>0</v>
      </c>
      <c r="L355" t="n">
        <v>0</v>
      </c>
      <c r="M355" t="n">
        <v>0</v>
      </c>
      <c r="N355" t="n">
        <v>0</v>
      </c>
      <c r="O355" t="n">
        <v>0</v>
      </c>
      <c r="P355" t="n">
        <v>0</v>
      </c>
      <c r="Q355" t="n">
        <v>0</v>
      </c>
      <c r="R355" s="2" t="inlineStr"/>
    </row>
    <row r="356" ht="15" customHeight="1">
      <c r="A356" t="inlineStr">
        <is>
          <t>A 37180-2025</t>
        </is>
      </c>
      <c r="B356" s="1" t="n">
        <v>45875.62494212963</v>
      </c>
      <c r="C356" s="1" t="n">
        <v>45881</v>
      </c>
      <c r="D356" t="inlineStr">
        <is>
          <t>NORRBOTTENS LÄN</t>
        </is>
      </c>
      <c r="E356" t="inlineStr">
        <is>
          <t>ARVIDSJAUR</t>
        </is>
      </c>
      <c r="G356" t="n">
        <v>5.4</v>
      </c>
      <c r="H356" t="n">
        <v>0</v>
      </c>
      <c r="I356" t="n">
        <v>0</v>
      </c>
      <c r="J356" t="n">
        <v>0</v>
      </c>
      <c r="K356" t="n">
        <v>0</v>
      </c>
      <c r="L356" t="n">
        <v>0</v>
      </c>
      <c r="M356" t="n">
        <v>0</v>
      </c>
      <c r="N356" t="n">
        <v>0</v>
      </c>
      <c r="O356" t="n">
        <v>0</v>
      </c>
      <c r="P356" t="n">
        <v>0</v>
      </c>
      <c r="Q356" t="n">
        <v>0</v>
      </c>
      <c r="R356" s="2" t="inlineStr"/>
    </row>
    <row r="357" ht="15" customHeight="1">
      <c r="A357" t="inlineStr">
        <is>
          <t>A 48009-2024</t>
        </is>
      </c>
      <c r="B357" s="1" t="n">
        <v>45589</v>
      </c>
      <c r="C357" s="1" t="n">
        <v>45881</v>
      </c>
      <c r="D357" t="inlineStr">
        <is>
          <t>NORRBOTTENS LÄN</t>
        </is>
      </c>
      <c r="E357" t="inlineStr">
        <is>
          <t>ARVIDSJAUR</t>
        </is>
      </c>
      <c r="G357" t="n">
        <v>6.4</v>
      </c>
      <c r="H357" t="n">
        <v>0</v>
      </c>
      <c r="I357" t="n">
        <v>0</v>
      </c>
      <c r="J357" t="n">
        <v>0</v>
      </c>
      <c r="K357" t="n">
        <v>0</v>
      </c>
      <c r="L357" t="n">
        <v>0</v>
      </c>
      <c r="M357" t="n">
        <v>0</v>
      </c>
      <c r="N357" t="n">
        <v>0</v>
      </c>
      <c r="O357" t="n">
        <v>0</v>
      </c>
      <c r="P357" t="n">
        <v>0</v>
      </c>
      <c r="Q357" t="n">
        <v>0</v>
      </c>
      <c r="R357" s="2" t="inlineStr"/>
    </row>
    <row r="358" ht="15" customHeight="1">
      <c r="A358" t="inlineStr">
        <is>
          <t>A 12794-2023</t>
        </is>
      </c>
      <c r="B358" s="1" t="n">
        <v>45001</v>
      </c>
      <c r="C358" s="1" t="n">
        <v>45881</v>
      </c>
      <c r="D358" t="inlineStr">
        <is>
          <t>NORRBOTTENS LÄN</t>
        </is>
      </c>
      <c r="E358" t="inlineStr">
        <is>
          <t>ARVIDSJAUR</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28803-2024</t>
        </is>
      </c>
      <c r="B359" s="1" t="n">
        <v>45478</v>
      </c>
      <c r="C359" s="1" t="n">
        <v>45881</v>
      </c>
      <c r="D359" t="inlineStr">
        <is>
          <t>NORRBOTTENS LÄN</t>
        </is>
      </c>
      <c r="E359" t="inlineStr">
        <is>
          <t>ARVIDSJAUR</t>
        </is>
      </c>
      <c r="F359" t="inlineStr">
        <is>
          <t>Övriga Aktiebolag</t>
        </is>
      </c>
      <c r="G359" t="n">
        <v>16.5</v>
      </c>
      <c r="H359" t="n">
        <v>0</v>
      </c>
      <c r="I359" t="n">
        <v>0</v>
      </c>
      <c r="J359" t="n">
        <v>0</v>
      </c>
      <c r="K359" t="n">
        <v>0</v>
      </c>
      <c r="L359" t="n">
        <v>0</v>
      </c>
      <c r="M359" t="n">
        <v>0</v>
      </c>
      <c r="N359" t="n">
        <v>0</v>
      </c>
      <c r="O359" t="n">
        <v>0</v>
      </c>
      <c r="P359" t="n">
        <v>0</v>
      </c>
      <c r="Q359" t="n">
        <v>0</v>
      </c>
      <c r="R359" s="2" t="inlineStr"/>
    </row>
    <row r="360" ht="15" customHeight="1">
      <c r="A360" t="inlineStr">
        <is>
          <t>A 37454-2025</t>
        </is>
      </c>
      <c r="B360" s="1" t="n">
        <v>45877.56238425926</v>
      </c>
      <c r="C360" s="1" t="n">
        <v>45881</v>
      </c>
      <c r="D360" t="inlineStr">
        <is>
          <t>NORRBOTTENS LÄN</t>
        </is>
      </c>
      <c r="E360" t="inlineStr">
        <is>
          <t>ARVIDSJAUR</t>
        </is>
      </c>
      <c r="F360" t="inlineStr">
        <is>
          <t>Sveaskog</t>
        </is>
      </c>
      <c r="G360" t="n">
        <v>23.4</v>
      </c>
      <c r="H360" t="n">
        <v>0</v>
      </c>
      <c r="I360" t="n">
        <v>0</v>
      </c>
      <c r="J360" t="n">
        <v>0</v>
      </c>
      <c r="K360" t="n">
        <v>0</v>
      </c>
      <c r="L360" t="n">
        <v>0</v>
      </c>
      <c r="M360" t="n">
        <v>0</v>
      </c>
      <c r="N360" t="n">
        <v>0</v>
      </c>
      <c r="O360" t="n">
        <v>0</v>
      </c>
      <c r="P360" t="n">
        <v>0</v>
      </c>
      <c r="Q360" t="n">
        <v>0</v>
      </c>
      <c r="R360" s="2" t="inlineStr"/>
    </row>
    <row r="361" ht="15" customHeight="1">
      <c r="A361" t="inlineStr">
        <is>
          <t>A 45059-2024</t>
        </is>
      </c>
      <c r="B361" s="1" t="n">
        <v>45575.55498842592</v>
      </c>
      <c r="C361" s="1" t="n">
        <v>45881</v>
      </c>
      <c r="D361" t="inlineStr">
        <is>
          <t>NORRBOTTENS LÄN</t>
        </is>
      </c>
      <c r="E361" t="inlineStr">
        <is>
          <t>ARVIDSJAUR</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37448-2025</t>
        </is>
      </c>
      <c r="B362" s="1" t="n">
        <v>45877.55226851852</v>
      </c>
      <c r="C362" s="1" t="n">
        <v>45881</v>
      </c>
      <c r="D362" t="inlineStr">
        <is>
          <t>NORRBOTTENS LÄN</t>
        </is>
      </c>
      <c r="E362" t="inlineStr">
        <is>
          <t>ARVIDSJAUR</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49620-2024</t>
        </is>
      </c>
      <c r="B363" s="1" t="n">
        <v>45596</v>
      </c>
      <c r="C363" s="1" t="n">
        <v>45881</v>
      </c>
      <c r="D363" t="inlineStr">
        <is>
          <t>NORRBOTTENS LÄN</t>
        </is>
      </c>
      <c r="E363" t="inlineStr">
        <is>
          <t>ARVIDSJAUR</t>
        </is>
      </c>
      <c r="G363" t="n">
        <v>0.7</v>
      </c>
      <c r="H363" t="n">
        <v>0</v>
      </c>
      <c r="I363" t="n">
        <v>0</v>
      </c>
      <c r="J363" t="n">
        <v>0</v>
      </c>
      <c r="K363" t="n">
        <v>0</v>
      </c>
      <c r="L363" t="n">
        <v>0</v>
      </c>
      <c r="M363" t="n">
        <v>0</v>
      </c>
      <c r="N363" t="n">
        <v>0</v>
      </c>
      <c r="O363" t="n">
        <v>0</v>
      </c>
      <c r="P363" t="n">
        <v>0</v>
      </c>
      <c r="Q363" t="n">
        <v>0</v>
      </c>
      <c r="R363" s="2" t="inlineStr"/>
    </row>
    <row r="364" ht="15" customHeight="1">
      <c r="A364" t="inlineStr">
        <is>
          <t>A 48464-2024</t>
        </is>
      </c>
      <c r="B364" s="1" t="n">
        <v>45590</v>
      </c>
      <c r="C364" s="1" t="n">
        <v>45881</v>
      </c>
      <c r="D364" t="inlineStr">
        <is>
          <t>NORRBOTTENS LÄN</t>
        </is>
      </c>
      <c r="E364" t="inlineStr">
        <is>
          <t>ARVIDSJAUR</t>
        </is>
      </c>
      <c r="G364" t="n">
        <v>0.8</v>
      </c>
      <c r="H364" t="n">
        <v>0</v>
      </c>
      <c r="I364" t="n">
        <v>0</v>
      </c>
      <c r="J364" t="n">
        <v>0</v>
      </c>
      <c r="K364" t="n">
        <v>0</v>
      </c>
      <c r="L364" t="n">
        <v>0</v>
      </c>
      <c r="M364" t="n">
        <v>0</v>
      </c>
      <c r="N364" t="n">
        <v>0</v>
      </c>
      <c r="O364" t="n">
        <v>0</v>
      </c>
      <c r="P364" t="n">
        <v>0</v>
      </c>
      <c r="Q364" t="n">
        <v>0</v>
      </c>
      <c r="R364" s="2" t="inlineStr"/>
    </row>
    <row r="365" ht="15" customHeight="1">
      <c r="A365" t="inlineStr">
        <is>
          <t>A 50472-2022</t>
        </is>
      </c>
      <c r="B365" s="1" t="n">
        <v>44861</v>
      </c>
      <c r="C365" s="1" t="n">
        <v>45881</v>
      </c>
      <c r="D365" t="inlineStr">
        <is>
          <t>NORRBOTTENS LÄN</t>
        </is>
      </c>
      <c r="E365" t="inlineStr">
        <is>
          <t>ARVIDSJAUR</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55917-2024</t>
        </is>
      </c>
      <c r="B366" s="1" t="n">
        <v>45622</v>
      </c>
      <c r="C366" s="1" t="n">
        <v>45881</v>
      </c>
      <c r="D366" t="inlineStr">
        <is>
          <t>NORRBOTTENS LÄN</t>
        </is>
      </c>
      <c r="E366" t="inlineStr">
        <is>
          <t>ARVIDSJAUR</t>
        </is>
      </c>
      <c r="G366" t="n">
        <v>1.4</v>
      </c>
      <c r="H366" t="n">
        <v>0</v>
      </c>
      <c r="I366" t="n">
        <v>0</v>
      </c>
      <c r="J366" t="n">
        <v>0</v>
      </c>
      <c r="K366" t="n">
        <v>0</v>
      </c>
      <c r="L366" t="n">
        <v>0</v>
      </c>
      <c r="M366" t="n">
        <v>0</v>
      </c>
      <c r="N366" t="n">
        <v>0</v>
      </c>
      <c r="O366" t="n">
        <v>0</v>
      </c>
      <c r="P366" t="n">
        <v>0</v>
      </c>
      <c r="Q366" t="n">
        <v>0</v>
      </c>
      <c r="R366" s="2" t="inlineStr"/>
    </row>
    <row r="367" ht="15" customHeight="1">
      <c r="A367" t="inlineStr">
        <is>
          <t>A 37483-2024</t>
        </is>
      </c>
      <c r="B367" s="1" t="n">
        <v>45541.33534722222</v>
      </c>
      <c r="C367" s="1" t="n">
        <v>45881</v>
      </c>
      <c r="D367" t="inlineStr">
        <is>
          <t>NORRBOTTENS LÄN</t>
        </is>
      </c>
      <c r="E367" t="inlineStr">
        <is>
          <t>ARVIDSJAUR</t>
        </is>
      </c>
      <c r="F367" t="inlineStr">
        <is>
          <t>Sveaskog</t>
        </is>
      </c>
      <c r="G367" t="n">
        <v>4.4</v>
      </c>
      <c r="H367" t="n">
        <v>0</v>
      </c>
      <c r="I367" t="n">
        <v>0</v>
      </c>
      <c r="J367" t="n">
        <v>0</v>
      </c>
      <c r="K367" t="n">
        <v>0</v>
      </c>
      <c r="L367" t="n">
        <v>0</v>
      </c>
      <c r="M367" t="n">
        <v>0</v>
      </c>
      <c r="N367" t="n">
        <v>0</v>
      </c>
      <c r="O367" t="n">
        <v>0</v>
      </c>
      <c r="P367" t="n">
        <v>0</v>
      </c>
      <c r="Q367" t="n">
        <v>0</v>
      </c>
      <c r="R367" s="2" t="inlineStr"/>
    </row>
    <row r="368">
      <c r="A368" t="inlineStr">
        <is>
          <t>A 48616-2024</t>
        </is>
      </c>
      <c r="B368" s="1" t="n">
        <v>45593.45395833333</v>
      </c>
      <c r="C368" s="1" t="n">
        <v>45881</v>
      </c>
      <c r="D368" t="inlineStr">
        <is>
          <t>NORRBOTTENS LÄN</t>
        </is>
      </c>
      <c r="E368" t="inlineStr">
        <is>
          <t>ARVIDSJAUR</t>
        </is>
      </c>
      <c r="F368" t="inlineStr">
        <is>
          <t>Sveaskog</t>
        </is>
      </c>
      <c r="G368" t="n">
        <v>6.1</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2025-08-12T08:26:28Z</dcterms:created>
  <dcterms:modified xmlns:dcterms="http://purl.org/dc/terms/" xmlns:xsi="http://www.w3.org/2001/XMLSchema-instance" xsi:type="dcterms:W3CDTF">2025-08-12T08:26:29Z</dcterms:modified>
</cp:coreProperties>
</file>