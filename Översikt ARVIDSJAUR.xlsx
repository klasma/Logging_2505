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31153-2025</t>
        </is>
      </c>
      <c r="B10" s="1" t="n">
        <v>45832</v>
      </c>
      <c r="C10" s="1" t="n">
        <v>45844</v>
      </c>
      <c r="D10" t="inlineStr">
        <is>
          <t>NORRBOTTENS LÄN</t>
        </is>
      </c>
      <c r="E10" t="inlineStr">
        <is>
          <t>ARVIDSJAUR</t>
        </is>
      </c>
      <c r="F10" t="inlineStr">
        <is>
          <t>Sveaskog</t>
        </is>
      </c>
      <c r="G10" t="n">
        <v>15.2</v>
      </c>
      <c r="H10" t="n">
        <v>5</v>
      </c>
      <c r="I10" t="n">
        <v>4</v>
      </c>
      <c r="J10" t="n">
        <v>11</v>
      </c>
      <c r="K10" t="n">
        <v>2</v>
      </c>
      <c r="L10" t="n">
        <v>0</v>
      </c>
      <c r="M10" t="n">
        <v>0</v>
      </c>
      <c r="N10" t="n">
        <v>0</v>
      </c>
      <c r="O10" t="n">
        <v>13</v>
      </c>
      <c r="P10" t="n">
        <v>2</v>
      </c>
      <c r="Q10" t="n">
        <v>20</v>
      </c>
      <c r="R1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10">
        <f>HYPERLINK("https://klasma.github.io/Logging_252505/artfynd/A 31153-2025 artfynd.xlsx", "A 31153-2025")</f>
        <v/>
      </c>
      <c r="T10">
        <f>HYPERLINK("https://klasma.github.io/Logging_252505/kartor/A 31153-2025 karta.png", "A 31153-2025")</f>
        <v/>
      </c>
      <c r="U10">
        <f>HYPERLINK("https://klasma.github.io/Logging_252505/knärot/A 31153-2025 karta knärot.png", "A 31153-2025")</f>
        <v/>
      </c>
      <c r="V10">
        <f>HYPERLINK("https://klasma.github.io/Logging_252505/klagomål/A 31153-2025 FSC-klagomål.docx", "A 31153-2025")</f>
        <v/>
      </c>
      <c r="W10">
        <f>HYPERLINK("https://klasma.github.io/Logging_252505/klagomålsmail/A 31153-2025 FSC-klagomål mail.docx", "A 31153-2025")</f>
        <v/>
      </c>
      <c r="X10">
        <f>HYPERLINK("https://klasma.github.io/Logging_252505/tillsyn/A 31153-2025 tillsynsbegäran.docx", "A 31153-2025")</f>
        <v/>
      </c>
      <c r="Y10">
        <f>HYPERLINK("https://klasma.github.io/Logging_252505/tillsynsmail/A 31153-2025 tillsynsbegäran mail.docx", "A 31153-2025")</f>
        <v/>
      </c>
      <c r="Z10">
        <f>HYPERLINK("https://klasma.github.io/Logging_252505/fåglar/A 31153-2025 prioriterade fågelarter.docx", "A 31153-2025")</f>
        <v/>
      </c>
    </row>
    <row r="11" ht="15" customHeight="1">
      <c r="A11" t="inlineStr">
        <is>
          <t>A 9860-2021</t>
        </is>
      </c>
      <c r="B11" s="1" t="n">
        <v>44252</v>
      </c>
      <c r="C11" s="1" t="n">
        <v>45844</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45844</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45844</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45844</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45844</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45844</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45844</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45844</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45844</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53150-2022</t>
        </is>
      </c>
      <c r="B20" s="1" t="n">
        <v>44876</v>
      </c>
      <c r="C20" s="1" t="n">
        <v>45844</v>
      </c>
      <c r="D20" t="inlineStr">
        <is>
          <t>NORRBOTTENS LÄN</t>
        </is>
      </c>
      <c r="E20" t="inlineStr">
        <is>
          <t>ARVIDSJAUR</t>
        </is>
      </c>
      <c r="F20" t="inlineStr">
        <is>
          <t>Sveaskog</t>
        </is>
      </c>
      <c r="G20" t="n">
        <v>2.5</v>
      </c>
      <c r="H20" t="n">
        <v>1</v>
      </c>
      <c r="I20" t="n">
        <v>1</v>
      </c>
      <c r="J20" t="n">
        <v>5</v>
      </c>
      <c r="K20" t="n">
        <v>3</v>
      </c>
      <c r="L20" t="n">
        <v>0</v>
      </c>
      <c r="M20" t="n">
        <v>0</v>
      </c>
      <c r="N20" t="n">
        <v>0</v>
      </c>
      <c r="O20" t="n">
        <v>8</v>
      </c>
      <c r="P20" t="n">
        <v>3</v>
      </c>
      <c r="Q20" t="n">
        <v>10</v>
      </c>
      <c r="R20" s="2" t="inlineStr">
        <is>
          <t>Smalfotad taggsvamp
Spadskinn
Tajgataggsvamp
Garnlav
Gränsticka
Talltaggsvamp
Tallticka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28793-2023</t>
        </is>
      </c>
      <c r="B21" s="1" t="n">
        <v>45104</v>
      </c>
      <c r="C21" s="1" t="n">
        <v>45844</v>
      </c>
      <c r="D21" t="inlineStr">
        <is>
          <t>NORRBOTTENS LÄN</t>
        </is>
      </c>
      <c r="E21" t="inlineStr">
        <is>
          <t>ARVIDSJAUR</t>
        </is>
      </c>
      <c r="F21" t="inlineStr">
        <is>
          <t>Övriga Aktiebolag</t>
        </is>
      </c>
      <c r="G21" t="n">
        <v>19</v>
      </c>
      <c r="H21" t="n">
        <v>1</v>
      </c>
      <c r="I21" t="n">
        <v>2</v>
      </c>
      <c r="J21" t="n">
        <v>8</v>
      </c>
      <c r="K21" t="n">
        <v>0</v>
      </c>
      <c r="L21" t="n">
        <v>0</v>
      </c>
      <c r="M21" t="n">
        <v>0</v>
      </c>
      <c r="N21" t="n">
        <v>0</v>
      </c>
      <c r="O21" t="n">
        <v>8</v>
      </c>
      <c r="P21" t="n">
        <v>0</v>
      </c>
      <c r="Q21" t="n">
        <v>10</v>
      </c>
      <c r="R21" s="2" t="inlineStr">
        <is>
          <t>Blå taggsvamp
Kolflarnlav
Motaggsvamp
Nordtagging
Orange taggsvamp
Skrovlig taggsvamp
Talltaggsvamp
Vedskivlav
Plattlummer
Skarp dropptaggsvamp</t>
        </is>
      </c>
      <c r="S21">
        <f>HYPERLINK("https://klasma.github.io/Logging_2505/artfynd/A 28793-2023 artfynd.xlsx", "A 28793-2023")</f>
        <v/>
      </c>
      <c r="T21">
        <f>HYPERLINK("https://klasma.github.io/Logging_2505/kartor/A 28793-2023 karta.png", "A 28793-2023")</f>
        <v/>
      </c>
      <c r="V21">
        <f>HYPERLINK("https://klasma.github.io/Logging_2505/klagomål/A 28793-2023 FSC-klagomål.docx", "A 28793-2023")</f>
        <v/>
      </c>
      <c r="W21">
        <f>HYPERLINK("https://klasma.github.io/Logging_2505/klagomålsmail/A 28793-2023 FSC-klagomål mail.docx", "A 28793-2023")</f>
        <v/>
      </c>
      <c r="X21">
        <f>HYPERLINK("https://klasma.github.io/Logging_2505/tillsyn/A 28793-2023 tillsynsbegäran.docx", "A 28793-2023")</f>
        <v/>
      </c>
      <c r="Y21">
        <f>HYPERLINK("https://klasma.github.io/Logging_2505/tillsynsmail/A 28793-2023 tillsynsbegäran mail.docx", "A 28793-2023")</f>
        <v/>
      </c>
    </row>
    <row r="22" ht="15" customHeight="1">
      <c r="A22" t="inlineStr">
        <is>
          <t>A 49168-2024</t>
        </is>
      </c>
      <c r="B22" s="1" t="n">
        <v>45595</v>
      </c>
      <c r="C22" s="1" t="n">
        <v>45844</v>
      </c>
      <c r="D22" t="inlineStr">
        <is>
          <t>NORRBOTTENS LÄN</t>
        </is>
      </c>
      <c r="E22" t="inlineStr">
        <is>
          <t>ARVIDSJAUR</t>
        </is>
      </c>
      <c r="F22" t="inlineStr">
        <is>
          <t>Sveaskog</t>
        </is>
      </c>
      <c r="G22" t="n">
        <v>25.4</v>
      </c>
      <c r="H22" t="n">
        <v>1</v>
      </c>
      <c r="I22" t="n">
        <v>1</v>
      </c>
      <c r="J22" t="n">
        <v>9</v>
      </c>
      <c r="K22" t="n">
        <v>0</v>
      </c>
      <c r="L22" t="n">
        <v>0</v>
      </c>
      <c r="M22" t="n">
        <v>0</v>
      </c>
      <c r="N22" t="n">
        <v>0</v>
      </c>
      <c r="O22" t="n">
        <v>9</v>
      </c>
      <c r="P22" t="n">
        <v>0</v>
      </c>
      <c r="Q22" t="n">
        <v>10</v>
      </c>
      <c r="R22" s="2" t="inlineStr">
        <is>
          <t>Gammelgransskål
Garnlav
Granticka
Harticka
Motaggsvamp
Rosenticka
Tallticka
Tretåig hackspett
Ullticka
Dropptaggsvamp</t>
        </is>
      </c>
      <c r="S22">
        <f>HYPERLINK("https://klasma.github.io/Logging_2505/artfynd/A 49168-2024 artfynd.xlsx", "A 49168-2024")</f>
        <v/>
      </c>
      <c r="T22">
        <f>HYPERLINK("https://klasma.github.io/Logging_2505/kartor/A 49168-2024 karta.png", "A 49168-2024")</f>
        <v/>
      </c>
      <c r="V22">
        <f>HYPERLINK("https://klasma.github.io/Logging_2505/klagomål/A 49168-2024 FSC-klagomål.docx", "A 49168-2024")</f>
        <v/>
      </c>
      <c r="W22">
        <f>HYPERLINK("https://klasma.github.io/Logging_2505/klagomålsmail/A 49168-2024 FSC-klagomål mail.docx", "A 49168-2024")</f>
        <v/>
      </c>
      <c r="X22">
        <f>HYPERLINK("https://klasma.github.io/Logging_2505/tillsyn/A 49168-2024 tillsynsbegäran.docx", "A 49168-2024")</f>
        <v/>
      </c>
      <c r="Y22">
        <f>HYPERLINK("https://klasma.github.io/Logging_2505/tillsynsmail/A 49168-2024 tillsynsbegäran mail.docx", "A 49168-2024")</f>
        <v/>
      </c>
      <c r="Z22">
        <f>HYPERLINK("https://klasma.github.io/Logging_2505/fåglar/A 49168-2024 prioriterade fågelarter.docx", "A 49168-2024")</f>
        <v/>
      </c>
    </row>
    <row r="23" ht="15" customHeight="1">
      <c r="A23" t="inlineStr">
        <is>
          <t>A 35247-2022</t>
        </is>
      </c>
      <c r="B23" s="1" t="n">
        <v>44797</v>
      </c>
      <c r="C23" s="1" t="n">
        <v>45844</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45844</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45844</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45844</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45844</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45844</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45844</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45844</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45844</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45844</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45844</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45844</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45844</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45844</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45844</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45844</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45844</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45844</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45844</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45844</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45844</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45844</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45844</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45844</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45844</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45844</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45844</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45844</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45844</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45844</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45844</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45844</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45844</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45844</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45844</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45844</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45844</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45844</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45844</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45844</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45844</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45844</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45844</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45844</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45844</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45844</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45844</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45844</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45844</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45844</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45844</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45844</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45844</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45844</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45844</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45844</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45844</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45844</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45844</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45844</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45844</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45844</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45844</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45844</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45844</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45844</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45844</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45844</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45844</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45844</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45844</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45844</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45844</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45844</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45844</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45844</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45844</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45844</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45844</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45844</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45844</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45844</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45844</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45844</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45844</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45844</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45844</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45844</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45844</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45844</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45844</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45844</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45844</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45844</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45844</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45844</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45844</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45844</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45844</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45844</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45844</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45844</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45844</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45844</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45844</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45844</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45844</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45844</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45844</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45844</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45844</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45844</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45844</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45844</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45844</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45844</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45844</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45844</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45844</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45844</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45844</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45844</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45844</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45844</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45844</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45844</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45844</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45844</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45844</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45844</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45844</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45844</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45844</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45844</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45844</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45844</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45844</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45844</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45844</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45844</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45844</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45844</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45844</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45844</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45844</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45844</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45844</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45844</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45844</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45844</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45844</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45844</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45844</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45844</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45844</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45844</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45844</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45844</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45844</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45844</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45844</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45844</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45844</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45844</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45844</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45844</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45844</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45844</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45844</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45844</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45844</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45844</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45844</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45844</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45844</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45844</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45844</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45844</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45844</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45844</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45844</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45844</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45844</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45844</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45844</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45844</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45844</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45844</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45844</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45844</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45844</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45844</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45844</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45844</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45844</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45844</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45844</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45844</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45844</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45844</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45844</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45844</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45844</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45844</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45844</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45844</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45844</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45844</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45844</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45844</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45844</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45844</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45844</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45844</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45844</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45844</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45844</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45844</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45844</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45844</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45844</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45844</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45844</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45844</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45844</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45844</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45844</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45844</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45844</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45844</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45844</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45844</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45844</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45844</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45844</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45844</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45844</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45844</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45844</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45844</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45844</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45844</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45844</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45844</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45844</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45844</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45844</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45844</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45844</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45844</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45844</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45844</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45844</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45844</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45844</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45844</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45844</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45844</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45844</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45844</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45844</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45844</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45844</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45844</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45844</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45844</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45844</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45844</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45844</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45844</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45844</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45844</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45844</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45844</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45844</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45844</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45844</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45844</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45844</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45844</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45844</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45844</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45844</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45844</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45844</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45844</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45844</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45844</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45844</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45844</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45844</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45844</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45844</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45844</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45844</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45844</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45844</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45844</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45844</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45844</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45844</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45844</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45844</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45844</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45844</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45844</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45844</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45844</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45844</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45844</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45844</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45844</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45844</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45844</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45844</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45844</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45844</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45844</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45844</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45844</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45844</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45844</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45844</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45844</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45844</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45844</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45844</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45844</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45844</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45844</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45844</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45844</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45844</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45844</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45844</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45844</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45844</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45844</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45844</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45844</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45844</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45844</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45844</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45844</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45844</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45844</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45844</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45844</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45844</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45844</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45844</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45844</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45844</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45844</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45844</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45844</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45844</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45844</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45844</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45844</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45844</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45844</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45844</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45844</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45844</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45844</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45844</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45844</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45844</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45844</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45844</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45844</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45844</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45844</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45844</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45844</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45844</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45844</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45844</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45844</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45844</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45844</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45844</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45844</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45844</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45844</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45844</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45844</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45844</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45844</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45844</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45844</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45844</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45844</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45844</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45844</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45844</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45844</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45844</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45844</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45844</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45844</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45844</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45844</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45844</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45844</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45844</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45844</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45844</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45844</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45844</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45844</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45844</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45844</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45844</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45844</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45844</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45844</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45844</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45844</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45844</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45844</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45844</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45844</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45844</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45844</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45844</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45844</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45844</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45844</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45844</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45844</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45844</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45844</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45844</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45844</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45844</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45844</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45844</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45844</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45844</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45844</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45844</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45844</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45844</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45844</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45844</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45844</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45844</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45844</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45844</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45844</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45844</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45844</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45844</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45844</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45844</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45844</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45844</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45844</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45844</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45844</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45844</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45844</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45844</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45844</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45844</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45844</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45844</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45844</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45844</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45844</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45844</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45844</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45844</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45844</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45844</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45844</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45844</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45844</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45844</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45844</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45844</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45844</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45844</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45844</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45844</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45844</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45844</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45844</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45844</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45844</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45844</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45844</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45844</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45844</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45844</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45844</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45844</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45844</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45844</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45844</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45844</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45844</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45844</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45844</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45844</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45844</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45844</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45844</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45844</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45844</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45844</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45844</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45844</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45844</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45844</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45844</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45844</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45844</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45844</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45844</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45844</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45844</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45844</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45844</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45844</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45844</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45844</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45844</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45844</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45844</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45844</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45844</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45844</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45844</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45844</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45844</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45844</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45844</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45844</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45844</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45844</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45844</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45844</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45844</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45844</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45844</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45844</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45844</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45844</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45844</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45844</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45844</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45844</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45844</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45844</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45844</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45844</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45844</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45844</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45844</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45844</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45844</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45844</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45844</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45844</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45844</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45844</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45844</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45844</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45844</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45844</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45844</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45844</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45844</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45844</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45844</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45844</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45844</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45844</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45844</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45844</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45844</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45844</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45844</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45844</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45844</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45844</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45844</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45844</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45844</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45844</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45844</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45844</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45844</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45844</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45844</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45844</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45844</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45844</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45844</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45844</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45844</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45844</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45844</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45844</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45844</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45844</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45844</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45844</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45844</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45844</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45844</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45844</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45844</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45844</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45844</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45844</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45844</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45844</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45844</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45844</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45844</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45844</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45844</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45844</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45844</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45844</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45844</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45844</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45844</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45844</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45844</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45844</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45844</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45844</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45844</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45844</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45844</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45844</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45844</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45844</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45844</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45844</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45844</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45844</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45844</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45844</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45844</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45844</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45844</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45844</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45844</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45844</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45844</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45844</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45844</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45844</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45844</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45844</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45844</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45844</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45844</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45844</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45844</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45844</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45844</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45844</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45844</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45844</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45844</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45844</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45844</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45844</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45844</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45844</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45844</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45844</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45844</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45844</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45844</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45844</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45844</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45844</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45844</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45844</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45844</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45844</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45844</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45844</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45844</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45844</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45844</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45844</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45844</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45844</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45844</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45844</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45844</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45844</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45844</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45844</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45844</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45844</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45844</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45844</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45844</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45844</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45844</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45844</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45844</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45844</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45844</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45844</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45844</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45844</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45844</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45844</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29514-2025</t>
        </is>
      </c>
      <c r="B742" s="1" t="n">
        <v>45825</v>
      </c>
      <c r="C742" s="1" t="n">
        <v>45844</v>
      </c>
      <c r="D742" t="inlineStr">
        <is>
          <t>NORRBOTTENS LÄN</t>
        </is>
      </c>
      <c r="E742" t="inlineStr">
        <is>
          <t>ARVIDSJAUR</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29516-2025</t>
        </is>
      </c>
      <c r="B743" s="1" t="n">
        <v>45825</v>
      </c>
      <c r="C743" s="1" t="n">
        <v>45844</v>
      </c>
      <c r="D743" t="inlineStr">
        <is>
          <t>NORRBOTTENS LÄN</t>
        </is>
      </c>
      <c r="E743" t="inlineStr">
        <is>
          <t>ARVIDSJAUR</t>
        </is>
      </c>
      <c r="F743" t="inlineStr">
        <is>
          <t>Sveaskog</t>
        </is>
      </c>
      <c r="G743" t="n">
        <v>17.1</v>
      </c>
      <c r="H743" t="n">
        <v>0</v>
      </c>
      <c r="I743" t="n">
        <v>0</v>
      </c>
      <c r="J743" t="n">
        <v>0</v>
      </c>
      <c r="K743" t="n">
        <v>0</v>
      </c>
      <c r="L743" t="n">
        <v>0</v>
      </c>
      <c r="M743" t="n">
        <v>0</v>
      </c>
      <c r="N743" t="n">
        <v>0</v>
      </c>
      <c r="O743" t="n">
        <v>0</v>
      </c>
      <c r="P743" t="n">
        <v>0</v>
      </c>
      <c r="Q743" t="n">
        <v>0</v>
      </c>
      <c r="R743" s="2" t="inlineStr"/>
    </row>
    <row r="744" ht="15" customHeight="1">
      <c r="A744" t="inlineStr">
        <is>
          <t>A 29504-2025</t>
        </is>
      </c>
      <c r="B744" s="1" t="n">
        <v>45825</v>
      </c>
      <c r="C744" s="1" t="n">
        <v>45844</v>
      </c>
      <c r="D744" t="inlineStr">
        <is>
          <t>NORRBOTTENS LÄN</t>
        </is>
      </c>
      <c r="E744" t="inlineStr">
        <is>
          <t>ARVIDSJAUR</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45844</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33222-2025</t>
        </is>
      </c>
      <c r="B746" s="1" t="n">
        <v>45840</v>
      </c>
      <c r="C746" s="1" t="n">
        <v>45844</v>
      </c>
      <c r="D746" t="inlineStr">
        <is>
          <t>NORRBOTTENS LÄN</t>
        </is>
      </c>
      <c r="E746" t="inlineStr">
        <is>
          <t>ARVIDSJAUR</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45844</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45844</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45844</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2025-07-06T19:25:55Z</dcterms:created>
  <dcterms:modified xmlns:dcterms="http://purl.org/dc/terms/" xmlns:xsi="http://www.w3.org/2001/XMLSchema-instance" xsi:type="dcterms:W3CDTF">2025-07-06T19:25:55Z</dcterms:modified>
</cp:coreProperties>
</file>