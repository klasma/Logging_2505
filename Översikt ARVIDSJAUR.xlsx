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45886</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45886</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31153-2025</t>
        </is>
      </c>
      <c r="B6" s="1" t="n">
        <v>45832.64630787037</v>
      </c>
      <c r="C6" s="1" t="n">
        <v>45886</v>
      </c>
      <c r="D6" t="inlineStr">
        <is>
          <t>NORRBOTTENS LÄN</t>
        </is>
      </c>
      <c r="E6" t="inlineStr">
        <is>
          <t>ARVIDSJAUR</t>
        </is>
      </c>
      <c r="F6" t="inlineStr">
        <is>
          <t>Sveaskog</t>
        </is>
      </c>
      <c r="G6" t="n">
        <v>15.2</v>
      </c>
      <c r="H6" t="n">
        <v>7</v>
      </c>
      <c r="I6" t="n">
        <v>5</v>
      </c>
      <c r="J6" t="n">
        <v>13</v>
      </c>
      <c r="K6" t="n">
        <v>2</v>
      </c>
      <c r="L6" t="n">
        <v>0</v>
      </c>
      <c r="M6" t="n">
        <v>0</v>
      </c>
      <c r="N6" t="n">
        <v>0</v>
      </c>
      <c r="O6" t="n">
        <v>15</v>
      </c>
      <c r="P6" t="n">
        <v>2</v>
      </c>
      <c r="Q6" t="n">
        <v>23</v>
      </c>
      <c r="R6"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6">
        <f>HYPERLINK("https://klasma.github.io/Logging_2505/artfynd/A 31153-2025 artfynd.xlsx", "A 31153-2025")</f>
        <v/>
      </c>
      <c r="T6">
        <f>HYPERLINK("https://klasma.github.io/Logging_2505/kartor/A 31153-2025 karta.png", "A 31153-2025")</f>
        <v/>
      </c>
      <c r="U6">
        <f>HYPERLINK("https://klasma.github.io/Logging_2505/knärot/A 31153-2025 karta knärot.png", "A 31153-2025")</f>
        <v/>
      </c>
      <c r="V6">
        <f>HYPERLINK("https://klasma.github.io/Logging_2505/klagomål/A 31153-2025 FSC-klagomål.docx", "A 31153-2025")</f>
        <v/>
      </c>
      <c r="W6">
        <f>HYPERLINK("https://klasma.github.io/Logging_2505/klagomålsmail/A 31153-2025 FSC-klagomål mail.docx", "A 31153-2025")</f>
        <v/>
      </c>
      <c r="X6">
        <f>HYPERLINK("https://klasma.github.io/Logging_2505/tillsyn/A 31153-2025 tillsynsbegäran.docx", "A 31153-2025")</f>
        <v/>
      </c>
      <c r="Y6">
        <f>HYPERLINK("https://klasma.github.io/Logging_2505/tillsynsmail/A 31153-2025 tillsynsbegäran mail.docx", "A 31153-2025")</f>
        <v/>
      </c>
      <c r="Z6">
        <f>HYPERLINK("https://klasma.github.io/Logging_2505/fåglar/A 31153-2025 prioriterade fågelarter.docx", "A 31153-2025")</f>
        <v/>
      </c>
    </row>
    <row r="7" ht="15" customHeight="1">
      <c r="A7" t="inlineStr">
        <is>
          <t>A 25045-2024</t>
        </is>
      </c>
      <c r="B7" s="1" t="n">
        <v>45462</v>
      </c>
      <c r="C7" s="1" t="n">
        <v>45886</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45886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45886</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45886</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45886</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45886</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45886</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45886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45886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45886</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45886</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45886</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45886</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45886</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32812-2025</t>
        </is>
      </c>
      <c r="B26" s="1" t="n">
        <v>45839.51643518519</v>
      </c>
      <c r="C26" s="1" t="n">
        <v>45886</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53163-2024</t>
        </is>
      </c>
      <c r="B27" s="1" t="n">
        <v>45611</v>
      </c>
      <c r="C27" s="1" t="n">
        <v>45886</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11634-2025</t>
        </is>
      </c>
      <c r="B28" s="1" t="n">
        <v>45726</v>
      </c>
      <c r="C28" s="1" t="n">
        <v>45886</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47954-2022</t>
        </is>
      </c>
      <c r="B29" s="1" t="n">
        <v>44855</v>
      </c>
      <c r="C29" s="1" t="n">
        <v>45886</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45886</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45886</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29314-2023</t>
        </is>
      </c>
      <c r="B32" s="1" t="n">
        <v>45105</v>
      </c>
      <c r="C32" s="1" t="n">
        <v>45886</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48368-2024</t>
        </is>
      </c>
      <c r="B33" s="1" t="n">
        <v>45590.57829861111</v>
      </c>
      <c r="C33" s="1" t="n">
        <v>45886</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26560-2025</t>
        </is>
      </c>
      <c r="B34" s="1" t="n">
        <v>45807.64883101852</v>
      </c>
      <c r="C34" s="1" t="n">
        <v>45886</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45386-2024</t>
        </is>
      </c>
      <c r="B35" s="1" t="n">
        <v>45576.53655092593</v>
      </c>
      <c r="C35" s="1" t="n">
        <v>45886</v>
      </c>
      <c r="D35" t="inlineStr">
        <is>
          <t>NORRBOTTENS LÄN</t>
        </is>
      </c>
      <c r="E35" t="inlineStr">
        <is>
          <t>ARVIDSJAUR</t>
        </is>
      </c>
      <c r="F35" t="inlineStr">
        <is>
          <t>Sveaskog</t>
        </is>
      </c>
      <c r="G35" t="n">
        <v>11.9</v>
      </c>
      <c r="H35" t="n">
        <v>0</v>
      </c>
      <c r="I35" t="n">
        <v>1</v>
      </c>
      <c r="J35" t="n">
        <v>0</v>
      </c>
      <c r="K35" t="n">
        <v>0</v>
      </c>
      <c r="L35" t="n">
        <v>0</v>
      </c>
      <c r="M35" t="n">
        <v>0</v>
      </c>
      <c r="N35" t="n">
        <v>0</v>
      </c>
      <c r="O35" t="n">
        <v>0</v>
      </c>
      <c r="P35" t="n">
        <v>0</v>
      </c>
      <c r="Q35" t="n">
        <v>1</v>
      </c>
      <c r="R35" s="2" t="inlineStr">
        <is>
          <t>Dropptaggsvamp</t>
        </is>
      </c>
      <c r="S35">
        <f>HYPERLINK("https://klasma.github.io/Logging_2505/artfynd/A 45386-2024 artfynd.xlsx", "A 45386-2024")</f>
        <v/>
      </c>
      <c r="T35">
        <f>HYPERLINK("https://klasma.github.io/Logging_2505/kartor/A 45386-2024 karta.png", "A 45386-2024")</f>
        <v/>
      </c>
      <c r="V35">
        <f>HYPERLINK("https://klasma.github.io/Logging_2505/klagomål/A 45386-2024 FSC-klagomål.docx", "A 45386-2024")</f>
        <v/>
      </c>
      <c r="W35">
        <f>HYPERLINK("https://klasma.github.io/Logging_2505/klagomålsmail/A 45386-2024 FSC-klagomål mail.docx", "A 45386-2024")</f>
        <v/>
      </c>
      <c r="X35">
        <f>HYPERLINK("https://klasma.github.io/Logging_2505/tillsyn/A 45386-2024 tillsynsbegäran.docx", "A 45386-2024")</f>
        <v/>
      </c>
      <c r="Y35">
        <f>HYPERLINK("https://klasma.github.io/Logging_2505/tillsynsmail/A 45386-2024 tillsynsbegäran mail.docx", "A 45386-2024")</f>
        <v/>
      </c>
    </row>
    <row r="36" ht="15" customHeight="1">
      <c r="A36" t="inlineStr">
        <is>
          <t>A 32599-2024</t>
        </is>
      </c>
      <c r="B36" s="1" t="n">
        <v>45513</v>
      </c>
      <c r="C36" s="1" t="n">
        <v>45886</v>
      </c>
      <c r="D36" t="inlineStr">
        <is>
          <t>NORRBOTTENS LÄN</t>
        </is>
      </c>
      <c r="E36" t="inlineStr">
        <is>
          <t>ARVIDSJAUR</t>
        </is>
      </c>
      <c r="F36" t="inlineStr">
        <is>
          <t>Sveaskog</t>
        </is>
      </c>
      <c r="G36" t="n">
        <v>12.2</v>
      </c>
      <c r="H36" t="n">
        <v>0</v>
      </c>
      <c r="I36" t="n">
        <v>0</v>
      </c>
      <c r="J36" t="n">
        <v>1</v>
      </c>
      <c r="K36" t="n">
        <v>0</v>
      </c>
      <c r="L36" t="n">
        <v>0</v>
      </c>
      <c r="M36" t="n">
        <v>0</v>
      </c>
      <c r="N36" t="n">
        <v>0</v>
      </c>
      <c r="O36" t="n">
        <v>1</v>
      </c>
      <c r="P36" t="n">
        <v>0</v>
      </c>
      <c r="Q36" t="n">
        <v>1</v>
      </c>
      <c r="R36" s="2" t="inlineStr">
        <is>
          <t>Lunglav</t>
        </is>
      </c>
      <c r="S36">
        <f>HYPERLINK("https://klasma.github.io/Logging_2505/artfynd/A 32599-2024 artfynd.xlsx", "A 32599-2024")</f>
        <v/>
      </c>
      <c r="T36">
        <f>HYPERLINK("https://klasma.github.io/Logging_2505/kartor/A 32599-2024 karta.png", "A 32599-2024")</f>
        <v/>
      </c>
      <c r="V36">
        <f>HYPERLINK("https://klasma.github.io/Logging_2505/klagomål/A 32599-2024 FSC-klagomål.docx", "A 32599-2024")</f>
        <v/>
      </c>
      <c r="W36">
        <f>HYPERLINK("https://klasma.github.io/Logging_2505/klagomålsmail/A 32599-2024 FSC-klagomål mail.docx", "A 32599-2024")</f>
        <v/>
      </c>
      <c r="X36">
        <f>HYPERLINK("https://klasma.github.io/Logging_2505/tillsyn/A 32599-2024 tillsynsbegäran.docx", "A 32599-2024")</f>
        <v/>
      </c>
      <c r="Y36">
        <f>HYPERLINK("https://klasma.github.io/Logging_2505/tillsynsmail/A 32599-2024 tillsynsbegäran mail.docx", "A 32599-2024")</f>
        <v/>
      </c>
    </row>
    <row r="37" ht="15" customHeight="1">
      <c r="A37" t="inlineStr">
        <is>
          <t>A 57043-2024</t>
        </is>
      </c>
      <c r="B37" s="1" t="n">
        <v>45629.32916666667</v>
      </c>
      <c r="C37" s="1" t="n">
        <v>45886</v>
      </c>
      <c r="D37" t="inlineStr">
        <is>
          <t>NORRBOTTENS LÄN</t>
        </is>
      </c>
      <c r="E37" t="inlineStr">
        <is>
          <t>ARVIDSJAUR</t>
        </is>
      </c>
      <c r="F37" t="inlineStr">
        <is>
          <t>Sveaskog</t>
        </is>
      </c>
      <c r="G37" t="n">
        <v>2.6</v>
      </c>
      <c r="H37" t="n">
        <v>0</v>
      </c>
      <c r="I37" t="n">
        <v>0</v>
      </c>
      <c r="J37" t="n">
        <v>1</v>
      </c>
      <c r="K37" t="n">
        <v>0</v>
      </c>
      <c r="L37" t="n">
        <v>0</v>
      </c>
      <c r="M37" t="n">
        <v>0</v>
      </c>
      <c r="N37" t="n">
        <v>0</v>
      </c>
      <c r="O37" t="n">
        <v>1</v>
      </c>
      <c r="P37" t="n">
        <v>0</v>
      </c>
      <c r="Q37" t="n">
        <v>1</v>
      </c>
      <c r="R37" s="2" t="inlineStr">
        <is>
          <t>Granticka</t>
        </is>
      </c>
      <c r="S37">
        <f>HYPERLINK("https://klasma.github.io/Logging_2505/artfynd/A 57043-2024 artfynd.xlsx", "A 57043-2024")</f>
        <v/>
      </c>
      <c r="T37">
        <f>HYPERLINK("https://klasma.github.io/Logging_2505/kartor/A 57043-2024 karta.png", "A 57043-2024")</f>
        <v/>
      </c>
      <c r="V37">
        <f>HYPERLINK("https://klasma.github.io/Logging_2505/klagomål/A 57043-2024 FSC-klagomål.docx", "A 57043-2024")</f>
        <v/>
      </c>
      <c r="W37">
        <f>HYPERLINK("https://klasma.github.io/Logging_2505/klagomålsmail/A 57043-2024 FSC-klagomål mail.docx", "A 57043-2024")</f>
        <v/>
      </c>
      <c r="X37">
        <f>HYPERLINK("https://klasma.github.io/Logging_2505/tillsyn/A 57043-2024 tillsynsbegäran.docx", "A 57043-2024")</f>
        <v/>
      </c>
      <c r="Y37">
        <f>HYPERLINK("https://klasma.github.io/Logging_2505/tillsynsmail/A 57043-2024 tillsynsbegäran mail.docx", "A 57043-2024")</f>
        <v/>
      </c>
    </row>
    <row r="38" ht="15" customHeight="1">
      <c r="A38" t="inlineStr">
        <is>
          <t>A 38166-2023</t>
        </is>
      </c>
      <c r="B38" s="1" t="n">
        <v>45161</v>
      </c>
      <c r="C38" s="1" t="n">
        <v>45886</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45886</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45886</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45886</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45886</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45886</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45886</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45886</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45886</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45886</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45886</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45886</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45886</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45886</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45886</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45886</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45886</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45886</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45886</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45886</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45886</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45886</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45886</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45886</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45886</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45886</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45886</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45886</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45886</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45886</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45886</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45886</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45886</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45886</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45886</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34477-2022</t>
        </is>
      </c>
      <c r="B73" s="1" t="n">
        <v>44792.64452546297</v>
      </c>
      <c r="C73" s="1" t="n">
        <v>45886</v>
      </c>
      <c r="D73" t="inlineStr">
        <is>
          <t>NORRBOTTENS LÄN</t>
        </is>
      </c>
      <c r="E73" t="inlineStr">
        <is>
          <t>ARVIDSJAUR</t>
        </is>
      </c>
      <c r="F73" t="inlineStr">
        <is>
          <t>Sveaskog</t>
        </is>
      </c>
      <c r="G73" t="n">
        <v>8.1</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45886</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45886</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23575-2022</t>
        </is>
      </c>
      <c r="B76" s="1" t="n">
        <v>44721</v>
      </c>
      <c r="C76" s="1" t="n">
        <v>45886</v>
      </c>
      <c r="D76" t="inlineStr">
        <is>
          <t>NORRBOTTENS LÄN</t>
        </is>
      </c>
      <c r="E76" t="inlineStr">
        <is>
          <t>ARVIDSJAUR</t>
        </is>
      </c>
      <c r="F76" t="inlineStr">
        <is>
          <t>Övriga Aktiebolag</t>
        </is>
      </c>
      <c r="G76" t="n">
        <v>13.8</v>
      </c>
      <c r="H76" t="n">
        <v>0</v>
      </c>
      <c r="I76" t="n">
        <v>0</v>
      </c>
      <c r="J76" t="n">
        <v>0</v>
      </c>
      <c r="K76" t="n">
        <v>0</v>
      </c>
      <c r="L76" t="n">
        <v>0</v>
      </c>
      <c r="M76" t="n">
        <v>0</v>
      </c>
      <c r="N76" t="n">
        <v>0</v>
      </c>
      <c r="O76" t="n">
        <v>0</v>
      </c>
      <c r="P76" t="n">
        <v>0</v>
      </c>
      <c r="Q76" t="n">
        <v>0</v>
      </c>
      <c r="R76" s="2" t="inlineStr"/>
    </row>
    <row r="77" ht="15" customHeight="1">
      <c r="A77" t="inlineStr">
        <is>
          <t>A 27734-2022</t>
        </is>
      </c>
      <c r="B77" s="1" t="n">
        <v>44743</v>
      </c>
      <c r="C77" s="1" t="n">
        <v>45886</v>
      </c>
      <c r="D77" t="inlineStr">
        <is>
          <t>NORRBOTTENS LÄN</t>
        </is>
      </c>
      <c r="E77" t="inlineStr">
        <is>
          <t>ARVIDSJAUR</t>
        </is>
      </c>
      <c r="F77" t="inlineStr">
        <is>
          <t>Sveaskog</t>
        </is>
      </c>
      <c r="G77" t="n">
        <v>18.1</v>
      </c>
      <c r="H77" t="n">
        <v>0</v>
      </c>
      <c r="I77" t="n">
        <v>0</v>
      </c>
      <c r="J77" t="n">
        <v>0</v>
      </c>
      <c r="K77" t="n">
        <v>0</v>
      </c>
      <c r="L77" t="n">
        <v>0</v>
      </c>
      <c r="M77" t="n">
        <v>0</v>
      </c>
      <c r="N77" t="n">
        <v>0</v>
      </c>
      <c r="O77" t="n">
        <v>0</v>
      </c>
      <c r="P77" t="n">
        <v>0</v>
      </c>
      <c r="Q77" t="n">
        <v>0</v>
      </c>
      <c r="R77" s="2" t="inlineStr"/>
    </row>
    <row r="78" ht="15" customHeight="1">
      <c r="A78" t="inlineStr">
        <is>
          <t>A 26223-2022</t>
        </is>
      </c>
      <c r="B78" s="1" t="n">
        <v>44735</v>
      </c>
      <c r="C78" s="1" t="n">
        <v>45886</v>
      </c>
      <c r="D78" t="inlineStr">
        <is>
          <t>NORRBOTTENS LÄN</t>
        </is>
      </c>
      <c r="E78" t="inlineStr">
        <is>
          <t>ARVIDSJAUR</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27234-2022</t>
        </is>
      </c>
      <c r="B79" s="1" t="n">
        <v>44741</v>
      </c>
      <c r="C79" s="1" t="n">
        <v>45886</v>
      </c>
      <c r="D79" t="inlineStr">
        <is>
          <t>NORRBOTTENS LÄN</t>
        </is>
      </c>
      <c r="E79" t="inlineStr">
        <is>
          <t>ARVIDSJAUR</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45886</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45886</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45886</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54842-2020</t>
        </is>
      </c>
      <c r="B83" s="1" t="n">
        <v>44126</v>
      </c>
      <c r="C83" s="1" t="n">
        <v>45886</v>
      </c>
      <c r="D83" t="inlineStr">
        <is>
          <t>NORRBOTTENS LÄN</t>
        </is>
      </c>
      <c r="E83" t="inlineStr">
        <is>
          <t>ARVIDSJAUR</t>
        </is>
      </c>
      <c r="G83" t="n">
        <v>4.1</v>
      </c>
      <c r="H83" t="n">
        <v>0</v>
      </c>
      <c r="I83" t="n">
        <v>0</v>
      </c>
      <c r="J83" t="n">
        <v>0</v>
      </c>
      <c r="K83" t="n">
        <v>0</v>
      </c>
      <c r="L83" t="n">
        <v>0</v>
      </c>
      <c r="M83" t="n">
        <v>0</v>
      </c>
      <c r="N83" t="n">
        <v>0</v>
      </c>
      <c r="O83" t="n">
        <v>0</v>
      </c>
      <c r="P83" t="n">
        <v>0</v>
      </c>
      <c r="Q83" t="n">
        <v>0</v>
      </c>
      <c r="R83" s="2" t="inlineStr"/>
    </row>
    <row r="84" ht="15" customHeight="1">
      <c r="A84" t="inlineStr">
        <is>
          <t>A 40357-2021</t>
        </is>
      </c>
      <c r="B84" s="1" t="n">
        <v>44419</v>
      </c>
      <c r="C84" s="1" t="n">
        <v>45886</v>
      </c>
      <c r="D84" t="inlineStr">
        <is>
          <t>NORRBOTTENS LÄN</t>
        </is>
      </c>
      <c r="E84" t="inlineStr">
        <is>
          <t>ARVIDSJAUR</t>
        </is>
      </c>
      <c r="G84" t="n">
        <v>4.3</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45886</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45886</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45886</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45886</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45886</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45886</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67384-2020</t>
        </is>
      </c>
      <c r="B91" s="1" t="n">
        <v>44179</v>
      </c>
      <c r="C91" s="1" t="n">
        <v>45886</v>
      </c>
      <c r="D91" t="inlineStr">
        <is>
          <t>NORRBOTTENS LÄN</t>
        </is>
      </c>
      <c r="E91" t="inlineStr">
        <is>
          <t>ARVIDSJAUR</t>
        </is>
      </c>
      <c r="G91" t="n">
        <v>3.1</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45886</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45886</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45886</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31453-2021</t>
        </is>
      </c>
      <c r="B95" s="1" t="n">
        <v>44369</v>
      </c>
      <c r="C95" s="1" t="n">
        <v>45886</v>
      </c>
      <c r="D95" t="inlineStr">
        <is>
          <t>NORRBOTTENS LÄN</t>
        </is>
      </c>
      <c r="E95" t="inlineStr">
        <is>
          <t>ARVIDSJAUR</t>
        </is>
      </c>
      <c r="F95" t="inlineStr">
        <is>
          <t>Sveaskog</t>
        </is>
      </c>
      <c r="G95" t="n">
        <v>11.3</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45886</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36581-2021</t>
        </is>
      </c>
      <c r="B97" s="1" t="n">
        <v>44391</v>
      </c>
      <c r="C97" s="1" t="n">
        <v>45886</v>
      </c>
      <c r="D97" t="inlineStr">
        <is>
          <t>NORRBOTTENS LÄN</t>
        </is>
      </c>
      <c r="E97" t="inlineStr">
        <is>
          <t>ARVIDSJAUR</t>
        </is>
      </c>
      <c r="G97" t="n">
        <v>0.9</v>
      </c>
      <c r="H97" t="n">
        <v>0</v>
      </c>
      <c r="I97" t="n">
        <v>0</v>
      </c>
      <c r="J97" t="n">
        <v>0</v>
      </c>
      <c r="K97" t="n">
        <v>0</v>
      </c>
      <c r="L97" t="n">
        <v>0</v>
      </c>
      <c r="M97" t="n">
        <v>0</v>
      </c>
      <c r="N97" t="n">
        <v>0</v>
      </c>
      <c r="O97" t="n">
        <v>0</v>
      </c>
      <c r="P97" t="n">
        <v>0</v>
      </c>
      <c r="Q97" t="n">
        <v>0</v>
      </c>
      <c r="R97" s="2" t="inlineStr"/>
    </row>
    <row r="98" ht="15" customHeight="1">
      <c r="A98" t="inlineStr">
        <is>
          <t>A 46904-2020</t>
        </is>
      </c>
      <c r="B98" s="1" t="n">
        <v>44089</v>
      </c>
      <c r="C98" s="1" t="n">
        <v>45886</v>
      </c>
      <c r="D98" t="inlineStr">
        <is>
          <t>NORRBOTTENS LÄN</t>
        </is>
      </c>
      <c r="E98" t="inlineStr">
        <is>
          <t>ARVIDSJAUR</t>
        </is>
      </c>
      <c r="G98" t="n">
        <v>1.7</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45886</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69576-2021</t>
        </is>
      </c>
      <c r="B100" s="1" t="n">
        <v>44532</v>
      </c>
      <c r="C100" s="1" t="n">
        <v>45886</v>
      </c>
      <c r="D100" t="inlineStr">
        <is>
          <t>NORRBOTTENS LÄN</t>
        </is>
      </c>
      <c r="E100" t="inlineStr">
        <is>
          <t>ARVIDSJAUR</t>
        </is>
      </c>
      <c r="F100" t="inlineStr">
        <is>
          <t>Övriga Aktiebolag</t>
        </is>
      </c>
      <c r="G100" t="n">
        <v>4.5</v>
      </c>
      <c r="H100" t="n">
        <v>0</v>
      </c>
      <c r="I100" t="n">
        <v>0</v>
      </c>
      <c r="J100" t="n">
        <v>0</v>
      </c>
      <c r="K100" t="n">
        <v>0</v>
      </c>
      <c r="L100" t="n">
        <v>0</v>
      </c>
      <c r="M100" t="n">
        <v>0</v>
      </c>
      <c r="N100" t="n">
        <v>0</v>
      </c>
      <c r="O100" t="n">
        <v>0</v>
      </c>
      <c r="P100" t="n">
        <v>0</v>
      </c>
      <c r="Q100" t="n">
        <v>0</v>
      </c>
      <c r="R100" s="2" t="inlineStr"/>
    </row>
    <row r="101" ht="15" customHeight="1">
      <c r="A101" t="inlineStr">
        <is>
          <t>A 42870-2024</t>
        </is>
      </c>
      <c r="B101" s="1" t="n">
        <v>45566.66489583333</v>
      </c>
      <c r="C101" s="1" t="n">
        <v>45886</v>
      </c>
      <c r="D101" t="inlineStr">
        <is>
          <t>NORRBOTTENS LÄN</t>
        </is>
      </c>
      <c r="E101" t="inlineStr">
        <is>
          <t>ARVIDSJAUR</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45886</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45886</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10126-2024</t>
        </is>
      </c>
      <c r="B104" s="1" t="n">
        <v>45364</v>
      </c>
      <c r="C104" s="1" t="n">
        <v>45886</v>
      </c>
      <c r="D104" t="inlineStr">
        <is>
          <t>NORRBOTTENS LÄN</t>
        </is>
      </c>
      <c r="E104" t="inlineStr">
        <is>
          <t>ARVIDSJAUR</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2778-2023</t>
        </is>
      </c>
      <c r="B105" s="1" t="n">
        <v>44944</v>
      </c>
      <c r="C105" s="1" t="n">
        <v>45886</v>
      </c>
      <c r="D105" t="inlineStr">
        <is>
          <t>NORRBOTTENS LÄN</t>
        </is>
      </c>
      <c r="E105" t="inlineStr">
        <is>
          <t>ARVIDSJAUR</t>
        </is>
      </c>
      <c r="F105" t="inlineStr">
        <is>
          <t>Sveaskog</t>
        </is>
      </c>
      <c r="G105" t="n">
        <v>11.1</v>
      </c>
      <c r="H105" t="n">
        <v>0</v>
      </c>
      <c r="I105" t="n">
        <v>0</v>
      </c>
      <c r="J105" t="n">
        <v>0</v>
      </c>
      <c r="K105" t="n">
        <v>0</v>
      </c>
      <c r="L105" t="n">
        <v>0</v>
      </c>
      <c r="M105" t="n">
        <v>0</v>
      </c>
      <c r="N105" t="n">
        <v>0</v>
      </c>
      <c r="O105" t="n">
        <v>0</v>
      </c>
      <c r="P105" t="n">
        <v>0</v>
      </c>
      <c r="Q105" t="n">
        <v>0</v>
      </c>
      <c r="R105" s="2" t="inlineStr"/>
    </row>
    <row r="106" ht="15" customHeight="1">
      <c r="A106" t="inlineStr">
        <is>
          <t>A 23583-2021</t>
        </is>
      </c>
      <c r="B106" s="1" t="n">
        <v>44334</v>
      </c>
      <c r="C106" s="1" t="n">
        <v>45886</v>
      </c>
      <c r="D106" t="inlineStr">
        <is>
          <t>NORRBOTTENS LÄN</t>
        </is>
      </c>
      <c r="E106" t="inlineStr">
        <is>
          <t>ARVIDSJAUR</t>
        </is>
      </c>
      <c r="G106" t="n">
        <v>1.7</v>
      </c>
      <c r="H106" t="n">
        <v>0</v>
      </c>
      <c r="I106" t="n">
        <v>0</v>
      </c>
      <c r="J106" t="n">
        <v>0</v>
      </c>
      <c r="K106" t="n">
        <v>0</v>
      </c>
      <c r="L106" t="n">
        <v>0</v>
      </c>
      <c r="M106" t="n">
        <v>0</v>
      </c>
      <c r="N106" t="n">
        <v>0</v>
      </c>
      <c r="O106" t="n">
        <v>0</v>
      </c>
      <c r="P106" t="n">
        <v>0</v>
      </c>
      <c r="Q106" t="n">
        <v>0</v>
      </c>
      <c r="R106" s="2" t="inlineStr"/>
    </row>
    <row r="107" ht="15" customHeight="1">
      <c r="A107" t="inlineStr">
        <is>
          <t>A 40836-2021</t>
        </is>
      </c>
      <c r="B107" s="1" t="n">
        <v>44421</v>
      </c>
      <c r="C107" s="1" t="n">
        <v>45886</v>
      </c>
      <c r="D107" t="inlineStr">
        <is>
          <t>NORRBOTTENS LÄN</t>
        </is>
      </c>
      <c r="E107" t="inlineStr">
        <is>
          <t>ARVIDSJAUR</t>
        </is>
      </c>
      <c r="G107" t="n">
        <v>1.5</v>
      </c>
      <c r="H107" t="n">
        <v>0</v>
      </c>
      <c r="I107" t="n">
        <v>0</v>
      </c>
      <c r="J107" t="n">
        <v>0</v>
      </c>
      <c r="K107" t="n">
        <v>0</v>
      </c>
      <c r="L107" t="n">
        <v>0</v>
      </c>
      <c r="M107" t="n">
        <v>0</v>
      </c>
      <c r="N107" t="n">
        <v>0</v>
      </c>
      <c r="O107" t="n">
        <v>0</v>
      </c>
      <c r="P107" t="n">
        <v>0</v>
      </c>
      <c r="Q107" t="n">
        <v>0</v>
      </c>
      <c r="R107" s="2" t="inlineStr"/>
    </row>
    <row r="108" ht="15" customHeight="1">
      <c r="A108" t="inlineStr">
        <is>
          <t>A 10243-2024</t>
        </is>
      </c>
      <c r="B108" s="1" t="n">
        <v>45365</v>
      </c>
      <c r="C108" s="1" t="n">
        <v>45886</v>
      </c>
      <c r="D108" t="inlineStr">
        <is>
          <t>NORRBOTTENS LÄN</t>
        </is>
      </c>
      <c r="E108" t="inlineStr">
        <is>
          <t>ARVIDSJAUR</t>
        </is>
      </c>
      <c r="F108" t="inlineStr">
        <is>
          <t>Sveaskog</t>
        </is>
      </c>
      <c r="G108" t="n">
        <v>7.5</v>
      </c>
      <c r="H108" t="n">
        <v>0</v>
      </c>
      <c r="I108" t="n">
        <v>0</v>
      </c>
      <c r="J108" t="n">
        <v>0</v>
      </c>
      <c r="K108" t="n">
        <v>0</v>
      </c>
      <c r="L108" t="n">
        <v>0</v>
      </c>
      <c r="M108" t="n">
        <v>0</v>
      </c>
      <c r="N108" t="n">
        <v>0</v>
      </c>
      <c r="O108" t="n">
        <v>0</v>
      </c>
      <c r="P108" t="n">
        <v>0</v>
      </c>
      <c r="Q108" t="n">
        <v>0</v>
      </c>
      <c r="R108" s="2" t="inlineStr"/>
    </row>
    <row r="109" ht="15" customHeight="1">
      <c r="A109" t="inlineStr">
        <is>
          <t>A 55938-2024</t>
        </is>
      </c>
      <c r="B109" s="1" t="n">
        <v>45622</v>
      </c>
      <c r="C109" s="1" t="n">
        <v>45886</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12023-2025</t>
        </is>
      </c>
      <c r="B110" s="1" t="n">
        <v>45728</v>
      </c>
      <c r="C110" s="1" t="n">
        <v>45886</v>
      </c>
      <c r="D110" t="inlineStr">
        <is>
          <t>NORRBOTTENS LÄN</t>
        </is>
      </c>
      <c r="E110" t="inlineStr">
        <is>
          <t>ARVIDSJAUR</t>
        </is>
      </c>
      <c r="F110" t="inlineStr">
        <is>
          <t>Allmännings- och besparingsskogar</t>
        </is>
      </c>
      <c r="G110" t="n">
        <v>1.2</v>
      </c>
      <c r="H110" t="n">
        <v>0</v>
      </c>
      <c r="I110" t="n">
        <v>0</v>
      </c>
      <c r="J110" t="n">
        <v>0</v>
      </c>
      <c r="K110" t="n">
        <v>0</v>
      </c>
      <c r="L110" t="n">
        <v>0</v>
      </c>
      <c r="M110" t="n">
        <v>0</v>
      </c>
      <c r="N110" t="n">
        <v>0</v>
      </c>
      <c r="O110" t="n">
        <v>0</v>
      </c>
      <c r="P110" t="n">
        <v>0</v>
      </c>
      <c r="Q110" t="n">
        <v>0</v>
      </c>
      <c r="R110" s="2" t="inlineStr"/>
    </row>
    <row r="111" ht="15" customHeight="1">
      <c r="A111" t="inlineStr">
        <is>
          <t>A 22688-2024</t>
        </is>
      </c>
      <c r="B111" s="1" t="n">
        <v>45448</v>
      </c>
      <c r="C111" s="1" t="n">
        <v>45886</v>
      </c>
      <c r="D111" t="inlineStr">
        <is>
          <t>NORRBOTTENS LÄN</t>
        </is>
      </c>
      <c r="E111" t="inlineStr">
        <is>
          <t>ARVIDSJAUR</t>
        </is>
      </c>
      <c r="G111" t="n">
        <v>6.4</v>
      </c>
      <c r="H111" t="n">
        <v>0</v>
      </c>
      <c r="I111" t="n">
        <v>0</v>
      </c>
      <c r="J111" t="n">
        <v>0</v>
      </c>
      <c r="K111" t="n">
        <v>0</v>
      </c>
      <c r="L111" t="n">
        <v>0</v>
      </c>
      <c r="M111" t="n">
        <v>0</v>
      </c>
      <c r="N111" t="n">
        <v>0</v>
      </c>
      <c r="O111" t="n">
        <v>0</v>
      </c>
      <c r="P111" t="n">
        <v>0</v>
      </c>
      <c r="Q111" t="n">
        <v>0</v>
      </c>
      <c r="R111" s="2" t="inlineStr"/>
    </row>
    <row r="112" ht="15" customHeight="1">
      <c r="A112" t="inlineStr">
        <is>
          <t>A 36764-2024</t>
        </is>
      </c>
      <c r="B112" s="1" t="n">
        <v>45538</v>
      </c>
      <c r="C112" s="1" t="n">
        <v>45886</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45886</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42695-2023</t>
        </is>
      </c>
      <c r="B114" s="1" t="n">
        <v>45176</v>
      </c>
      <c r="C114" s="1" t="n">
        <v>45886</v>
      </c>
      <c r="D114" t="inlineStr">
        <is>
          <t>NORRBOTTENS LÄN</t>
        </is>
      </c>
      <c r="E114" t="inlineStr">
        <is>
          <t>ARVIDSJAUR</t>
        </is>
      </c>
      <c r="G114" t="n">
        <v>2.7</v>
      </c>
      <c r="H114" t="n">
        <v>0</v>
      </c>
      <c r="I114" t="n">
        <v>0</v>
      </c>
      <c r="J114" t="n">
        <v>0</v>
      </c>
      <c r="K114" t="n">
        <v>0</v>
      </c>
      <c r="L114" t="n">
        <v>0</v>
      </c>
      <c r="M114" t="n">
        <v>0</v>
      </c>
      <c r="N114" t="n">
        <v>0</v>
      </c>
      <c r="O114" t="n">
        <v>0</v>
      </c>
      <c r="P114" t="n">
        <v>0</v>
      </c>
      <c r="Q114" t="n">
        <v>0</v>
      </c>
      <c r="R114" s="2" t="inlineStr"/>
    </row>
    <row r="115" ht="15" customHeight="1">
      <c r="A115" t="inlineStr">
        <is>
          <t>A 55557-2023</t>
        </is>
      </c>
      <c r="B115" s="1" t="n">
        <v>45232</v>
      </c>
      <c r="C115" s="1" t="n">
        <v>45886</v>
      </c>
      <c r="D115" t="inlineStr">
        <is>
          <t>NORRBOTTENS LÄN</t>
        </is>
      </c>
      <c r="E115" t="inlineStr">
        <is>
          <t>ARVIDSJAUR</t>
        </is>
      </c>
      <c r="G115" t="n">
        <v>6.3</v>
      </c>
      <c r="H115" t="n">
        <v>0</v>
      </c>
      <c r="I115" t="n">
        <v>0</v>
      </c>
      <c r="J115" t="n">
        <v>0</v>
      </c>
      <c r="K115" t="n">
        <v>0</v>
      </c>
      <c r="L115" t="n">
        <v>0</v>
      </c>
      <c r="M115" t="n">
        <v>0</v>
      </c>
      <c r="N115" t="n">
        <v>0</v>
      </c>
      <c r="O115" t="n">
        <v>0</v>
      </c>
      <c r="P115" t="n">
        <v>0</v>
      </c>
      <c r="Q115" t="n">
        <v>0</v>
      </c>
      <c r="R115" s="2" t="inlineStr"/>
    </row>
    <row r="116" ht="15" customHeight="1">
      <c r="A116" t="inlineStr">
        <is>
          <t>A 48614-2024</t>
        </is>
      </c>
      <c r="B116" s="1" t="n">
        <v>45593</v>
      </c>
      <c r="C116" s="1" t="n">
        <v>45886</v>
      </c>
      <c r="D116" t="inlineStr">
        <is>
          <t>NORRBOTTENS LÄN</t>
        </is>
      </c>
      <c r="E116" t="inlineStr">
        <is>
          <t>ARVIDSJAUR</t>
        </is>
      </c>
      <c r="G116" t="n">
        <v>13.4</v>
      </c>
      <c r="H116" t="n">
        <v>0</v>
      </c>
      <c r="I116" t="n">
        <v>0</v>
      </c>
      <c r="J116" t="n">
        <v>0</v>
      </c>
      <c r="K116" t="n">
        <v>0</v>
      </c>
      <c r="L116" t="n">
        <v>0</v>
      </c>
      <c r="M116" t="n">
        <v>0</v>
      </c>
      <c r="N116" t="n">
        <v>0</v>
      </c>
      <c r="O116" t="n">
        <v>0</v>
      </c>
      <c r="P116" t="n">
        <v>0</v>
      </c>
      <c r="Q116" t="n">
        <v>0</v>
      </c>
      <c r="R116" s="2" t="inlineStr"/>
    </row>
    <row r="117" ht="15" customHeight="1">
      <c r="A117" t="inlineStr">
        <is>
          <t>A 21270-2021</t>
        </is>
      </c>
      <c r="B117" s="1" t="n">
        <v>44320</v>
      </c>
      <c r="C117" s="1" t="n">
        <v>45886</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26835-2024</t>
        </is>
      </c>
      <c r="B118" s="1" t="n">
        <v>45470.57364583333</v>
      </c>
      <c r="C118" s="1" t="n">
        <v>45886</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2908-2024</t>
        </is>
      </c>
      <c r="B119" s="1" t="n">
        <v>45315</v>
      </c>
      <c r="C119" s="1" t="n">
        <v>45886</v>
      </c>
      <c r="D119" t="inlineStr">
        <is>
          <t>NORRBOTTENS LÄN</t>
        </is>
      </c>
      <c r="E119" t="inlineStr">
        <is>
          <t>ARVIDSJAUR</t>
        </is>
      </c>
      <c r="F119" t="inlineStr">
        <is>
          <t>Allmännings- och besparingsskogar</t>
        </is>
      </c>
      <c r="G119" t="n">
        <v>6.1</v>
      </c>
      <c r="H119" t="n">
        <v>0</v>
      </c>
      <c r="I119" t="n">
        <v>0</v>
      </c>
      <c r="J119" t="n">
        <v>0</v>
      </c>
      <c r="K119" t="n">
        <v>0</v>
      </c>
      <c r="L119" t="n">
        <v>0</v>
      </c>
      <c r="M119" t="n">
        <v>0</v>
      </c>
      <c r="N119" t="n">
        <v>0</v>
      </c>
      <c r="O119" t="n">
        <v>0</v>
      </c>
      <c r="P119" t="n">
        <v>0</v>
      </c>
      <c r="Q119" t="n">
        <v>0</v>
      </c>
      <c r="R119" s="2" t="inlineStr"/>
    </row>
    <row r="120" ht="15" customHeight="1">
      <c r="A120" t="inlineStr">
        <is>
          <t>A 52837-2024</t>
        </is>
      </c>
      <c r="B120" s="1" t="n">
        <v>45610</v>
      </c>
      <c r="C120" s="1" t="n">
        <v>45886</v>
      </c>
      <c r="D120" t="inlineStr">
        <is>
          <t>NORRBOTTENS LÄN</t>
        </is>
      </c>
      <c r="E120" t="inlineStr">
        <is>
          <t>ARVIDSJAUR</t>
        </is>
      </c>
      <c r="G120" t="n">
        <v>6.5</v>
      </c>
      <c r="H120" t="n">
        <v>0</v>
      </c>
      <c r="I120" t="n">
        <v>0</v>
      </c>
      <c r="J120" t="n">
        <v>0</v>
      </c>
      <c r="K120" t="n">
        <v>0</v>
      </c>
      <c r="L120" t="n">
        <v>0</v>
      </c>
      <c r="M120" t="n">
        <v>0</v>
      </c>
      <c r="N120" t="n">
        <v>0</v>
      </c>
      <c r="O120" t="n">
        <v>0</v>
      </c>
      <c r="P120" t="n">
        <v>0</v>
      </c>
      <c r="Q120" t="n">
        <v>0</v>
      </c>
      <c r="R120" s="2" t="inlineStr"/>
    </row>
    <row r="121" ht="15" customHeight="1">
      <c r="A121" t="inlineStr">
        <is>
          <t>A 26841-2024</t>
        </is>
      </c>
      <c r="B121" s="1" t="n">
        <v>45470.57751157408</v>
      </c>
      <c r="C121" s="1" t="n">
        <v>45886</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39328-2023</t>
        </is>
      </c>
      <c r="B122" s="1" t="n">
        <v>45166</v>
      </c>
      <c r="C122" s="1" t="n">
        <v>45886</v>
      </c>
      <c r="D122" t="inlineStr">
        <is>
          <t>NORRBOTTENS LÄN</t>
        </is>
      </c>
      <c r="E122" t="inlineStr">
        <is>
          <t>ARVIDSJAUR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33134-2023</t>
        </is>
      </c>
      <c r="B123" s="1" t="n">
        <v>45114</v>
      </c>
      <c r="C123" s="1" t="n">
        <v>45886</v>
      </c>
      <c r="D123" t="inlineStr">
        <is>
          <t>NORRBOTTENS LÄN</t>
        </is>
      </c>
      <c r="E123" t="inlineStr">
        <is>
          <t>ARVIDSJAUR</t>
        </is>
      </c>
      <c r="G123" t="n">
        <v>16.3</v>
      </c>
      <c r="H123" t="n">
        <v>0</v>
      </c>
      <c r="I123" t="n">
        <v>0</v>
      </c>
      <c r="J123" t="n">
        <v>0</v>
      </c>
      <c r="K123" t="n">
        <v>0</v>
      </c>
      <c r="L123" t="n">
        <v>0</v>
      </c>
      <c r="M123" t="n">
        <v>0</v>
      </c>
      <c r="N123" t="n">
        <v>0</v>
      </c>
      <c r="O123" t="n">
        <v>0</v>
      </c>
      <c r="P123" t="n">
        <v>0</v>
      </c>
      <c r="Q123" t="n">
        <v>0</v>
      </c>
      <c r="R123" s="2" t="inlineStr"/>
    </row>
    <row r="124" ht="15" customHeight="1">
      <c r="A124" t="inlineStr">
        <is>
          <t>A 52145-2024</t>
        </is>
      </c>
      <c r="B124" s="1" t="n">
        <v>45608.51888888889</v>
      </c>
      <c r="C124" s="1" t="n">
        <v>45886</v>
      </c>
      <c r="D124" t="inlineStr">
        <is>
          <t>NORRBOTTENS LÄN</t>
        </is>
      </c>
      <c r="E124" t="inlineStr">
        <is>
          <t>ARVIDSJAUR</t>
        </is>
      </c>
      <c r="F124" t="inlineStr">
        <is>
          <t>Sveaskog</t>
        </is>
      </c>
      <c r="G124" t="n">
        <v>6.9</v>
      </c>
      <c r="H124" t="n">
        <v>0</v>
      </c>
      <c r="I124" t="n">
        <v>0</v>
      </c>
      <c r="J124" t="n">
        <v>0</v>
      </c>
      <c r="K124" t="n">
        <v>0</v>
      </c>
      <c r="L124" t="n">
        <v>0</v>
      </c>
      <c r="M124" t="n">
        <v>0</v>
      </c>
      <c r="N124" t="n">
        <v>0</v>
      </c>
      <c r="O124" t="n">
        <v>0</v>
      </c>
      <c r="P124" t="n">
        <v>0</v>
      </c>
      <c r="Q124" t="n">
        <v>0</v>
      </c>
      <c r="R124" s="2" t="inlineStr"/>
    </row>
    <row r="125" ht="15" customHeight="1">
      <c r="A125" t="inlineStr">
        <is>
          <t>A 36403-2023</t>
        </is>
      </c>
      <c r="B125" s="1" t="n">
        <v>45152</v>
      </c>
      <c r="C125" s="1" t="n">
        <v>45886</v>
      </c>
      <c r="D125" t="inlineStr">
        <is>
          <t>NORRBOTTENS LÄN</t>
        </is>
      </c>
      <c r="E125" t="inlineStr">
        <is>
          <t>ARVIDSJAUR</t>
        </is>
      </c>
      <c r="F125" t="inlineStr">
        <is>
          <t>Sveaskog</t>
        </is>
      </c>
      <c r="G125" t="n">
        <v>5.6</v>
      </c>
      <c r="H125" t="n">
        <v>0</v>
      </c>
      <c r="I125" t="n">
        <v>0</v>
      </c>
      <c r="J125" t="n">
        <v>0</v>
      </c>
      <c r="K125" t="n">
        <v>0</v>
      </c>
      <c r="L125" t="n">
        <v>0</v>
      </c>
      <c r="M125" t="n">
        <v>0</v>
      </c>
      <c r="N125" t="n">
        <v>0</v>
      </c>
      <c r="O125" t="n">
        <v>0</v>
      </c>
      <c r="P125" t="n">
        <v>0</v>
      </c>
      <c r="Q125" t="n">
        <v>0</v>
      </c>
      <c r="R125" s="2" t="inlineStr"/>
    </row>
    <row r="126" ht="15" customHeight="1">
      <c r="A126" t="inlineStr">
        <is>
          <t>A 8626-2023</t>
        </is>
      </c>
      <c r="B126" s="1" t="n">
        <v>44977</v>
      </c>
      <c r="C126" s="1" t="n">
        <v>45886</v>
      </c>
      <c r="D126" t="inlineStr">
        <is>
          <t>NORRBOTTENS LÄN</t>
        </is>
      </c>
      <c r="E126" t="inlineStr">
        <is>
          <t>ARVIDSJAUR</t>
        </is>
      </c>
      <c r="G126" t="n">
        <v>3.4</v>
      </c>
      <c r="H126" t="n">
        <v>0</v>
      </c>
      <c r="I126" t="n">
        <v>0</v>
      </c>
      <c r="J126" t="n">
        <v>0</v>
      </c>
      <c r="K126" t="n">
        <v>0</v>
      </c>
      <c r="L126" t="n">
        <v>0</v>
      </c>
      <c r="M126" t="n">
        <v>0</v>
      </c>
      <c r="N126" t="n">
        <v>0</v>
      </c>
      <c r="O126" t="n">
        <v>0</v>
      </c>
      <c r="P126" t="n">
        <v>0</v>
      </c>
      <c r="Q126" t="n">
        <v>0</v>
      </c>
      <c r="R126" s="2" t="inlineStr"/>
    </row>
    <row r="127" ht="15" customHeight="1">
      <c r="A127" t="inlineStr">
        <is>
          <t>A 36090-2023</t>
        </is>
      </c>
      <c r="B127" s="1" t="n">
        <v>45149</v>
      </c>
      <c r="C127" s="1" t="n">
        <v>45886</v>
      </c>
      <c r="D127" t="inlineStr">
        <is>
          <t>NORRBOTTENS LÄN</t>
        </is>
      </c>
      <c r="E127" t="inlineStr">
        <is>
          <t>ARVIDSJAUR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49207-2024</t>
        </is>
      </c>
      <c r="B128" s="1" t="n">
        <v>45595</v>
      </c>
      <c r="C128" s="1" t="n">
        <v>45886</v>
      </c>
      <c r="D128" t="inlineStr">
        <is>
          <t>NORRBOTTENS LÄN</t>
        </is>
      </c>
      <c r="E128" t="inlineStr">
        <is>
          <t>ARVIDSJAUR</t>
        </is>
      </c>
      <c r="G128" t="n">
        <v>2.5</v>
      </c>
      <c r="H128" t="n">
        <v>0</v>
      </c>
      <c r="I128" t="n">
        <v>0</v>
      </c>
      <c r="J128" t="n">
        <v>0</v>
      </c>
      <c r="K128" t="n">
        <v>0</v>
      </c>
      <c r="L128" t="n">
        <v>0</v>
      </c>
      <c r="M128" t="n">
        <v>0</v>
      </c>
      <c r="N128" t="n">
        <v>0</v>
      </c>
      <c r="O128" t="n">
        <v>0</v>
      </c>
      <c r="P128" t="n">
        <v>0</v>
      </c>
      <c r="Q128" t="n">
        <v>0</v>
      </c>
      <c r="R128" s="2" t="inlineStr"/>
    </row>
    <row r="129" ht="15" customHeight="1">
      <c r="A129" t="inlineStr">
        <is>
          <t>A 48461-2024</t>
        </is>
      </c>
      <c r="B129" s="1" t="n">
        <v>45590</v>
      </c>
      <c r="C129" s="1" t="n">
        <v>45886</v>
      </c>
      <c r="D129" t="inlineStr">
        <is>
          <t>NORRBOTTENS LÄN</t>
        </is>
      </c>
      <c r="E129" t="inlineStr">
        <is>
          <t>ARVIDSJAUR</t>
        </is>
      </c>
      <c r="G129" t="n">
        <v>3.1</v>
      </c>
      <c r="H129" t="n">
        <v>0</v>
      </c>
      <c r="I129" t="n">
        <v>0</v>
      </c>
      <c r="J129" t="n">
        <v>0</v>
      </c>
      <c r="K129" t="n">
        <v>0</v>
      </c>
      <c r="L129" t="n">
        <v>0</v>
      </c>
      <c r="M129" t="n">
        <v>0</v>
      </c>
      <c r="N129" t="n">
        <v>0</v>
      </c>
      <c r="O129" t="n">
        <v>0</v>
      </c>
      <c r="P129" t="n">
        <v>0</v>
      </c>
      <c r="Q129" t="n">
        <v>0</v>
      </c>
      <c r="R129" s="2" t="inlineStr"/>
    </row>
    <row r="130" ht="15" customHeight="1">
      <c r="A130" t="inlineStr">
        <is>
          <t>A 39925-2024</t>
        </is>
      </c>
      <c r="B130" s="1" t="n">
        <v>45553</v>
      </c>
      <c r="C130" s="1" t="n">
        <v>45886</v>
      </c>
      <c r="D130" t="inlineStr">
        <is>
          <t>NORRBOTTENS LÄN</t>
        </is>
      </c>
      <c r="E130" t="inlineStr">
        <is>
          <t>ARVIDSJAUR</t>
        </is>
      </c>
      <c r="G130" t="n">
        <v>6.9</v>
      </c>
      <c r="H130" t="n">
        <v>0</v>
      </c>
      <c r="I130" t="n">
        <v>0</v>
      </c>
      <c r="J130" t="n">
        <v>0</v>
      </c>
      <c r="K130" t="n">
        <v>0</v>
      </c>
      <c r="L130" t="n">
        <v>0</v>
      </c>
      <c r="M130" t="n">
        <v>0</v>
      </c>
      <c r="N130" t="n">
        <v>0</v>
      </c>
      <c r="O130" t="n">
        <v>0</v>
      </c>
      <c r="P130" t="n">
        <v>0</v>
      </c>
      <c r="Q130" t="n">
        <v>0</v>
      </c>
      <c r="R130" s="2" t="inlineStr"/>
    </row>
    <row r="131" ht="15" customHeight="1">
      <c r="A131" t="inlineStr">
        <is>
          <t>A 39845-2023</t>
        </is>
      </c>
      <c r="B131" s="1" t="n">
        <v>45166</v>
      </c>
      <c r="C131" s="1" t="n">
        <v>45886</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49170-2024</t>
        </is>
      </c>
      <c r="B132" s="1" t="n">
        <v>45595.305</v>
      </c>
      <c r="C132" s="1" t="n">
        <v>45886</v>
      </c>
      <c r="D132" t="inlineStr">
        <is>
          <t>NORRBOTTENS LÄN</t>
        </is>
      </c>
      <c r="E132" t="inlineStr">
        <is>
          <t>ARVIDSJAUR</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54341-2024</t>
        </is>
      </c>
      <c r="B133" s="1" t="n">
        <v>45617</v>
      </c>
      <c r="C133" s="1" t="n">
        <v>45886</v>
      </c>
      <c r="D133" t="inlineStr">
        <is>
          <t>NORRBOTTENS LÄN</t>
        </is>
      </c>
      <c r="E133" t="inlineStr">
        <is>
          <t>ARVIDSJAUR</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11535-2025</t>
        </is>
      </c>
      <c r="B134" s="1" t="n">
        <v>45726</v>
      </c>
      <c r="C134" s="1" t="n">
        <v>45886</v>
      </c>
      <c r="D134" t="inlineStr">
        <is>
          <t>NORRBOTTENS LÄN</t>
        </is>
      </c>
      <c r="E134" t="inlineStr">
        <is>
          <t>ARVIDSJAUR</t>
        </is>
      </c>
      <c r="F134" t="inlineStr">
        <is>
          <t>Allmännings- och besparingsskogar</t>
        </is>
      </c>
      <c r="G134" t="n">
        <v>10.3</v>
      </c>
      <c r="H134" t="n">
        <v>0</v>
      </c>
      <c r="I134" t="n">
        <v>0</v>
      </c>
      <c r="J134" t="n">
        <v>0</v>
      </c>
      <c r="K134" t="n">
        <v>0</v>
      </c>
      <c r="L134" t="n">
        <v>0</v>
      </c>
      <c r="M134" t="n">
        <v>0</v>
      </c>
      <c r="N134" t="n">
        <v>0</v>
      </c>
      <c r="O134" t="n">
        <v>0</v>
      </c>
      <c r="P134" t="n">
        <v>0</v>
      </c>
      <c r="Q134" t="n">
        <v>0</v>
      </c>
      <c r="R134" s="2" t="inlineStr"/>
    </row>
    <row r="135" ht="15" customHeight="1">
      <c r="A135" t="inlineStr">
        <is>
          <t>A 11539-2025</t>
        </is>
      </c>
      <c r="B135" s="1" t="n">
        <v>45726</v>
      </c>
      <c r="C135" s="1" t="n">
        <v>45886</v>
      </c>
      <c r="D135" t="inlineStr">
        <is>
          <t>NORRBOTTENS LÄN</t>
        </is>
      </c>
      <c r="E135" t="inlineStr">
        <is>
          <t>ARVIDSJAUR</t>
        </is>
      </c>
      <c r="F135" t="inlineStr">
        <is>
          <t>Allmännings- och besparingsskogar</t>
        </is>
      </c>
      <c r="G135" t="n">
        <v>14.3</v>
      </c>
      <c r="H135" t="n">
        <v>0</v>
      </c>
      <c r="I135" t="n">
        <v>0</v>
      </c>
      <c r="J135" t="n">
        <v>0</v>
      </c>
      <c r="K135" t="n">
        <v>0</v>
      </c>
      <c r="L135" t="n">
        <v>0</v>
      </c>
      <c r="M135" t="n">
        <v>0</v>
      </c>
      <c r="N135" t="n">
        <v>0</v>
      </c>
      <c r="O135" t="n">
        <v>0</v>
      </c>
      <c r="P135" t="n">
        <v>0</v>
      </c>
      <c r="Q135" t="n">
        <v>0</v>
      </c>
      <c r="R135" s="2" t="inlineStr"/>
    </row>
    <row r="136" ht="15" customHeight="1">
      <c r="A136" t="inlineStr">
        <is>
          <t>A 3034-2024</t>
        </is>
      </c>
      <c r="B136" s="1" t="n">
        <v>45316</v>
      </c>
      <c r="C136" s="1" t="n">
        <v>45886</v>
      </c>
      <c r="D136" t="inlineStr">
        <is>
          <t>NORRBOTTENS LÄN</t>
        </is>
      </c>
      <c r="E136" t="inlineStr">
        <is>
          <t>ARVIDSJAUR</t>
        </is>
      </c>
      <c r="F136" t="inlineStr">
        <is>
          <t>Allmännings- och besparingsskogar</t>
        </is>
      </c>
      <c r="G136" t="n">
        <v>3.9</v>
      </c>
      <c r="H136" t="n">
        <v>0</v>
      </c>
      <c r="I136" t="n">
        <v>0</v>
      </c>
      <c r="J136" t="n">
        <v>0</v>
      </c>
      <c r="K136" t="n">
        <v>0</v>
      </c>
      <c r="L136" t="n">
        <v>0</v>
      </c>
      <c r="M136" t="n">
        <v>0</v>
      </c>
      <c r="N136" t="n">
        <v>0</v>
      </c>
      <c r="O136" t="n">
        <v>0</v>
      </c>
      <c r="P136" t="n">
        <v>0</v>
      </c>
      <c r="Q136" t="n">
        <v>0</v>
      </c>
      <c r="R136" s="2" t="inlineStr"/>
    </row>
    <row r="137" ht="15" customHeight="1">
      <c r="A137" t="inlineStr">
        <is>
          <t>A 9996-2023</t>
        </is>
      </c>
      <c r="B137" s="1" t="n">
        <v>44979</v>
      </c>
      <c r="C137" s="1" t="n">
        <v>45886</v>
      </c>
      <c r="D137" t="inlineStr">
        <is>
          <t>NORRBOTTENS LÄN</t>
        </is>
      </c>
      <c r="E137" t="inlineStr">
        <is>
          <t>ARVIDSJAUR</t>
        </is>
      </c>
      <c r="G137" t="n">
        <v>6.6</v>
      </c>
      <c r="H137" t="n">
        <v>0</v>
      </c>
      <c r="I137" t="n">
        <v>0</v>
      </c>
      <c r="J137" t="n">
        <v>0</v>
      </c>
      <c r="K137" t="n">
        <v>0</v>
      </c>
      <c r="L137" t="n">
        <v>0</v>
      </c>
      <c r="M137" t="n">
        <v>0</v>
      </c>
      <c r="N137" t="n">
        <v>0</v>
      </c>
      <c r="O137" t="n">
        <v>0</v>
      </c>
      <c r="P137" t="n">
        <v>0</v>
      </c>
      <c r="Q137" t="n">
        <v>0</v>
      </c>
      <c r="R137" s="2" t="inlineStr"/>
    </row>
    <row r="138" ht="15" customHeight="1">
      <c r="A138" t="inlineStr">
        <is>
          <t>A 40937-2024</t>
        </is>
      </c>
      <c r="B138" s="1" t="n">
        <v>45558.6424537037</v>
      </c>
      <c r="C138" s="1" t="n">
        <v>45886</v>
      </c>
      <c r="D138" t="inlineStr">
        <is>
          <t>NORRBOTTENS LÄN</t>
        </is>
      </c>
      <c r="E138" t="inlineStr">
        <is>
          <t>ARVIDSJAUR</t>
        </is>
      </c>
      <c r="F138" t="inlineStr">
        <is>
          <t>Sveaskog</t>
        </is>
      </c>
      <c r="G138" t="n">
        <v>22.6</v>
      </c>
      <c r="H138" t="n">
        <v>0</v>
      </c>
      <c r="I138" t="n">
        <v>0</v>
      </c>
      <c r="J138" t="n">
        <v>0</v>
      </c>
      <c r="K138" t="n">
        <v>0</v>
      </c>
      <c r="L138" t="n">
        <v>0</v>
      </c>
      <c r="M138" t="n">
        <v>0</v>
      </c>
      <c r="N138" t="n">
        <v>0</v>
      </c>
      <c r="O138" t="n">
        <v>0</v>
      </c>
      <c r="P138" t="n">
        <v>0</v>
      </c>
      <c r="Q138" t="n">
        <v>0</v>
      </c>
      <c r="R138" s="2" t="inlineStr"/>
    </row>
    <row r="139" ht="15" customHeight="1">
      <c r="A139" t="inlineStr">
        <is>
          <t>A 40937-2023</t>
        </is>
      </c>
      <c r="B139" s="1" t="n">
        <v>45173</v>
      </c>
      <c r="C139" s="1" t="n">
        <v>45886</v>
      </c>
      <c r="D139" t="inlineStr">
        <is>
          <t>NORRBOTTENS LÄN</t>
        </is>
      </c>
      <c r="E139" t="inlineStr">
        <is>
          <t>ARVIDSJAUR</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11620-2025</t>
        </is>
      </c>
      <c r="B140" s="1" t="n">
        <v>45726</v>
      </c>
      <c r="C140" s="1" t="n">
        <v>45886</v>
      </c>
      <c r="D140" t="inlineStr">
        <is>
          <t>NORRBOTTENS LÄN</t>
        </is>
      </c>
      <c r="E140" t="inlineStr">
        <is>
          <t>ARVIDSJAUR</t>
        </is>
      </c>
      <c r="F140" t="inlineStr">
        <is>
          <t>Allmännings- och besparingsskogar</t>
        </is>
      </c>
      <c r="G140" t="n">
        <v>14.1</v>
      </c>
      <c r="H140" t="n">
        <v>0</v>
      </c>
      <c r="I140" t="n">
        <v>0</v>
      </c>
      <c r="J140" t="n">
        <v>0</v>
      </c>
      <c r="K140" t="n">
        <v>0</v>
      </c>
      <c r="L140" t="n">
        <v>0</v>
      </c>
      <c r="M140" t="n">
        <v>0</v>
      </c>
      <c r="N140" t="n">
        <v>0</v>
      </c>
      <c r="O140" t="n">
        <v>0</v>
      </c>
      <c r="P140" t="n">
        <v>0</v>
      </c>
      <c r="Q140" t="n">
        <v>0</v>
      </c>
      <c r="R140" s="2" t="inlineStr"/>
    </row>
    <row r="141" ht="15" customHeight="1">
      <c r="A141" t="inlineStr">
        <is>
          <t>A 39591-2023</t>
        </is>
      </c>
      <c r="B141" s="1" t="n">
        <v>45167</v>
      </c>
      <c r="C141" s="1" t="n">
        <v>45886</v>
      </c>
      <c r="D141" t="inlineStr">
        <is>
          <t>NORRBOTTENS LÄN</t>
        </is>
      </c>
      <c r="E141" t="inlineStr">
        <is>
          <t>ARVIDSJAUR</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30343-2023</t>
        </is>
      </c>
      <c r="B142" s="1" t="n">
        <v>45111</v>
      </c>
      <c r="C142" s="1" t="n">
        <v>45886</v>
      </c>
      <c r="D142" t="inlineStr">
        <is>
          <t>NORRBOTTENS LÄN</t>
        </is>
      </c>
      <c r="E142" t="inlineStr">
        <is>
          <t>ARVIDSJAUR</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50043-2024</t>
        </is>
      </c>
      <c r="B143" s="1" t="n">
        <v>45597</v>
      </c>
      <c r="C143" s="1" t="n">
        <v>45886</v>
      </c>
      <c r="D143" t="inlineStr">
        <is>
          <t>NORRBOTTENS LÄN</t>
        </is>
      </c>
      <c r="E143" t="inlineStr">
        <is>
          <t>ARVIDSJAUR</t>
        </is>
      </c>
      <c r="G143" t="n">
        <v>10.4</v>
      </c>
      <c r="H143" t="n">
        <v>0</v>
      </c>
      <c r="I143" t="n">
        <v>0</v>
      </c>
      <c r="J143" t="n">
        <v>0</v>
      </c>
      <c r="K143" t="n">
        <v>0</v>
      </c>
      <c r="L143" t="n">
        <v>0</v>
      </c>
      <c r="M143" t="n">
        <v>0</v>
      </c>
      <c r="N143" t="n">
        <v>0</v>
      </c>
      <c r="O143" t="n">
        <v>0</v>
      </c>
      <c r="P143" t="n">
        <v>0</v>
      </c>
      <c r="Q143" t="n">
        <v>0</v>
      </c>
      <c r="R143" s="2" t="inlineStr"/>
    </row>
    <row r="144" ht="15" customHeight="1">
      <c r="A144" t="inlineStr">
        <is>
          <t>A 4937-2024</t>
        </is>
      </c>
      <c r="B144" s="1" t="n">
        <v>45329</v>
      </c>
      <c r="C144" s="1" t="n">
        <v>45886</v>
      </c>
      <c r="D144" t="inlineStr">
        <is>
          <t>NORRBOTTENS LÄN</t>
        </is>
      </c>
      <c r="E144" t="inlineStr">
        <is>
          <t>ARVIDSJAUR</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21704-2024</t>
        </is>
      </c>
      <c r="B145" s="1" t="n">
        <v>45442</v>
      </c>
      <c r="C145" s="1" t="n">
        <v>45886</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54218-2024</t>
        </is>
      </c>
      <c r="B146" s="1" t="n">
        <v>45616</v>
      </c>
      <c r="C146" s="1" t="n">
        <v>45886</v>
      </c>
      <c r="D146" t="inlineStr">
        <is>
          <t>NORRBOTTENS LÄN</t>
        </is>
      </c>
      <c r="E146" t="inlineStr">
        <is>
          <t>ARVIDSJAUR</t>
        </is>
      </c>
      <c r="G146" t="n">
        <v>4.4</v>
      </c>
      <c r="H146" t="n">
        <v>0</v>
      </c>
      <c r="I146" t="n">
        <v>0</v>
      </c>
      <c r="J146" t="n">
        <v>0</v>
      </c>
      <c r="K146" t="n">
        <v>0</v>
      </c>
      <c r="L146" t="n">
        <v>0</v>
      </c>
      <c r="M146" t="n">
        <v>0</v>
      </c>
      <c r="N146" t="n">
        <v>0</v>
      </c>
      <c r="O146" t="n">
        <v>0</v>
      </c>
      <c r="P146" t="n">
        <v>0</v>
      </c>
      <c r="Q146" t="n">
        <v>0</v>
      </c>
      <c r="R146" s="2" t="inlineStr"/>
    </row>
    <row r="147" ht="15" customHeight="1">
      <c r="A147" t="inlineStr">
        <is>
          <t>A 30752-2023</t>
        </is>
      </c>
      <c r="B147" s="1" t="n">
        <v>45103</v>
      </c>
      <c r="C147" s="1" t="n">
        <v>45886</v>
      </c>
      <c r="D147" t="inlineStr">
        <is>
          <t>NORRBOTTENS LÄN</t>
        </is>
      </c>
      <c r="E147" t="inlineStr">
        <is>
          <t>ARVIDSJAUR</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36400-2022</t>
        </is>
      </c>
      <c r="B148" s="1" t="n">
        <v>44804</v>
      </c>
      <c r="C148" s="1" t="n">
        <v>45886</v>
      </c>
      <c r="D148" t="inlineStr">
        <is>
          <t>NORRBOTTENS LÄN</t>
        </is>
      </c>
      <c r="E148" t="inlineStr">
        <is>
          <t>ARVIDSJAUR</t>
        </is>
      </c>
      <c r="G148" t="n">
        <v>0.8</v>
      </c>
      <c r="H148" t="n">
        <v>0</v>
      </c>
      <c r="I148" t="n">
        <v>0</v>
      </c>
      <c r="J148" t="n">
        <v>0</v>
      </c>
      <c r="K148" t="n">
        <v>0</v>
      </c>
      <c r="L148" t="n">
        <v>0</v>
      </c>
      <c r="M148" t="n">
        <v>0</v>
      </c>
      <c r="N148" t="n">
        <v>0</v>
      </c>
      <c r="O148" t="n">
        <v>0</v>
      </c>
      <c r="P148" t="n">
        <v>0</v>
      </c>
      <c r="Q148" t="n">
        <v>0</v>
      </c>
      <c r="R148" s="2" t="inlineStr"/>
    </row>
    <row r="149" ht="15" customHeight="1">
      <c r="A149" t="inlineStr">
        <is>
          <t>A 22997-2024</t>
        </is>
      </c>
      <c r="B149" s="1" t="n">
        <v>45450</v>
      </c>
      <c r="C149" s="1" t="n">
        <v>45886</v>
      </c>
      <c r="D149" t="inlineStr">
        <is>
          <t>NORRBOTTENS LÄN</t>
        </is>
      </c>
      <c r="E149" t="inlineStr">
        <is>
          <t>ARVIDSJAUR</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23592-2024</t>
        </is>
      </c>
      <c r="B150" s="1" t="n">
        <v>45454</v>
      </c>
      <c r="C150" s="1" t="n">
        <v>45886</v>
      </c>
      <c r="D150" t="inlineStr">
        <is>
          <t>NORRBOTTENS LÄN</t>
        </is>
      </c>
      <c r="E150" t="inlineStr">
        <is>
          <t>ARVIDSJAUR</t>
        </is>
      </c>
      <c r="G150" t="n">
        <v>2.4</v>
      </c>
      <c r="H150" t="n">
        <v>0</v>
      </c>
      <c r="I150" t="n">
        <v>0</v>
      </c>
      <c r="J150" t="n">
        <v>0</v>
      </c>
      <c r="K150" t="n">
        <v>0</v>
      </c>
      <c r="L150" t="n">
        <v>0</v>
      </c>
      <c r="M150" t="n">
        <v>0</v>
      </c>
      <c r="N150" t="n">
        <v>0</v>
      </c>
      <c r="O150" t="n">
        <v>0</v>
      </c>
      <c r="P150" t="n">
        <v>0</v>
      </c>
      <c r="Q150" t="n">
        <v>0</v>
      </c>
      <c r="R150" s="2" t="inlineStr"/>
    </row>
    <row r="151" ht="15" customHeight="1">
      <c r="A151" t="inlineStr">
        <is>
          <t>A 50111-2024</t>
        </is>
      </c>
      <c r="B151" s="1" t="n">
        <v>45600</v>
      </c>
      <c r="C151" s="1" t="n">
        <v>45886</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26684-2024</t>
        </is>
      </c>
      <c r="B152" s="1" t="n">
        <v>45470.35256944445</v>
      </c>
      <c r="C152" s="1" t="n">
        <v>45886</v>
      </c>
      <c r="D152" t="inlineStr">
        <is>
          <t>NORRBOTTENS LÄN</t>
        </is>
      </c>
      <c r="E152" t="inlineStr">
        <is>
          <t>ARVIDSJAUR</t>
        </is>
      </c>
      <c r="F152" t="inlineStr">
        <is>
          <t>Sveaskog</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26689-2024</t>
        </is>
      </c>
      <c r="B153" s="1" t="n">
        <v>45470.35973379629</v>
      </c>
      <c r="C153" s="1" t="n">
        <v>45886</v>
      </c>
      <c r="D153" t="inlineStr">
        <is>
          <t>NORRBOTTENS LÄN</t>
        </is>
      </c>
      <c r="E153" t="inlineStr">
        <is>
          <t>ARVIDSJAUR</t>
        </is>
      </c>
      <c r="F153" t="inlineStr">
        <is>
          <t>Sveaskog</t>
        </is>
      </c>
      <c r="G153" t="n">
        <v>11.8</v>
      </c>
      <c r="H153" t="n">
        <v>0</v>
      </c>
      <c r="I153" t="n">
        <v>0</v>
      </c>
      <c r="J153" t="n">
        <v>0</v>
      </c>
      <c r="K153" t="n">
        <v>0</v>
      </c>
      <c r="L153" t="n">
        <v>0</v>
      </c>
      <c r="M153" t="n">
        <v>0</v>
      </c>
      <c r="N153" t="n">
        <v>0</v>
      </c>
      <c r="O153" t="n">
        <v>0</v>
      </c>
      <c r="P153" t="n">
        <v>0</v>
      </c>
      <c r="Q153" t="n">
        <v>0</v>
      </c>
      <c r="R153" s="2" t="inlineStr"/>
    </row>
    <row r="154" ht="15" customHeight="1">
      <c r="A154" t="inlineStr">
        <is>
          <t>A 24184-2025</t>
        </is>
      </c>
      <c r="B154" s="1" t="n">
        <v>45796</v>
      </c>
      <c r="C154" s="1" t="n">
        <v>45886</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24506-2025</t>
        </is>
      </c>
      <c r="B155" s="1" t="n">
        <v>45798</v>
      </c>
      <c r="C155" s="1" t="n">
        <v>45886</v>
      </c>
      <c r="D155" t="inlineStr">
        <is>
          <t>NORRBOTTENS LÄN</t>
        </is>
      </c>
      <c r="E155" t="inlineStr">
        <is>
          <t>ARVIDSJAUR</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2773-2025</t>
        </is>
      </c>
      <c r="B156" s="1" t="n">
        <v>45677.51043981482</v>
      </c>
      <c r="C156" s="1" t="n">
        <v>45886</v>
      </c>
      <c r="D156" t="inlineStr">
        <is>
          <t>NORRBOTTENS LÄN</t>
        </is>
      </c>
      <c r="E156" t="inlineStr">
        <is>
          <t>ARVIDSJAUR</t>
        </is>
      </c>
      <c r="G156" t="n">
        <v>2.8</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45886</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7327-2025</t>
        </is>
      </c>
      <c r="B158" s="1" t="n">
        <v>45702</v>
      </c>
      <c r="C158" s="1" t="n">
        <v>45886</v>
      </c>
      <c r="D158" t="inlineStr">
        <is>
          <t>NORRBOTTENS LÄN</t>
        </is>
      </c>
      <c r="E158" t="inlineStr">
        <is>
          <t>ARVIDSJAUR</t>
        </is>
      </c>
      <c r="G158" t="n">
        <v>1.6</v>
      </c>
      <c r="H158" t="n">
        <v>0</v>
      </c>
      <c r="I158" t="n">
        <v>0</v>
      </c>
      <c r="J158" t="n">
        <v>0</v>
      </c>
      <c r="K158" t="n">
        <v>0</v>
      </c>
      <c r="L158" t="n">
        <v>0</v>
      </c>
      <c r="M158" t="n">
        <v>0</v>
      </c>
      <c r="N158" t="n">
        <v>0</v>
      </c>
      <c r="O158" t="n">
        <v>0</v>
      </c>
      <c r="P158" t="n">
        <v>0</v>
      </c>
      <c r="Q158" t="n">
        <v>0</v>
      </c>
      <c r="R158" s="2" t="inlineStr"/>
    </row>
    <row r="159" ht="15" customHeight="1">
      <c r="A159" t="inlineStr">
        <is>
          <t>A 24923-2025</t>
        </is>
      </c>
      <c r="B159" s="1" t="n">
        <v>45799.55270833334</v>
      </c>
      <c r="C159" s="1" t="n">
        <v>45886</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10832-2025</t>
        </is>
      </c>
      <c r="B160" s="1" t="n">
        <v>45722</v>
      </c>
      <c r="C160" s="1" t="n">
        <v>45886</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10852-2025</t>
        </is>
      </c>
      <c r="B161" s="1" t="n">
        <v>45722</v>
      </c>
      <c r="C161" s="1" t="n">
        <v>45886</v>
      </c>
      <c r="D161" t="inlineStr">
        <is>
          <t>NORRBOTTENS LÄN</t>
        </is>
      </c>
      <c r="E161" t="inlineStr">
        <is>
          <t>ARVIDSJAUR</t>
        </is>
      </c>
      <c r="F161" t="inlineStr">
        <is>
          <t>Sveaskog</t>
        </is>
      </c>
      <c r="G161" t="n">
        <v>7</v>
      </c>
      <c r="H161" t="n">
        <v>0</v>
      </c>
      <c r="I161" t="n">
        <v>0</v>
      </c>
      <c r="J161" t="n">
        <v>0</v>
      </c>
      <c r="K161" t="n">
        <v>0</v>
      </c>
      <c r="L161" t="n">
        <v>0</v>
      </c>
      <c r="M161" t="n">
        <v>0</v>
      </c>
      <c r="N161" t="n">
        <v>0</v>
      </c>
      <c r="O161" t="n">
        <v>0</v>
      </c>
      <c r="P161" t="n">
        <v>0</v>
      </c>
      <c r="Q161" t="n">
        <v>0</v>
      </c>
      <c r="R161" s="2" t="inlineStr"/>
    </row>
    <row r="162" ht="15" customHeight="1">
      <c r="A162" t="inlineStr">
        <is>
          <t>A 54336-2024</t>
        </is>
      </c>
      <c r="B162" s="1" t="n">
        <v>45617.38408564815</v>
      </c>
      <c r="C162" s="1" t="n">
        <v>45886</v>
      </c>
      <c r="D162" t="inlineStr">
        <is>
          <t>NORRBOTTENS LÄN</t>
        </is>
      </c>
      <c r="E162" t="inlineStr">
        <is>
          <t>ARVIDSJAUR</t>
        </is>
      </c>
      <c r="F162" t="inlineStr">
        <is>
          <t>Sveaskog</t>
        </is>
      </c>
      <c r="G162" t="n">
        <v>5.5</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45886</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25395-2022</t>
        </is>
      </c>
      <c r="B164" s="1" t="n">
        <v>44732</v>
      </c>
      <c r="C164" s="1" t="n">
        <v>45886</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11537-2025</t>
        </is>
      </c>
      <c r="B165" s="1" t="n">
        <v>45726</v>
      </c>
      <c r="C165" s="1" t="n">
        <v>45886</v>
      </c>
      <c r="D165" t="inlineStr">
        <is>
          <t>NORRBOTTENS LÄN</t>
        </is>
      </c>
      <c r="E165" t="inlineStr">
        <is>
          <t>ARVIDSJAUR</t>
        </is>
      </c>
      <c r="F165" t="inlineStr">
        <is>
          <t>Allmännings- och besparingsskogar</t>
        </is>
      </c>
      <c r="G165" t="n">
        <v>9.1</v>
      </c>
      <c r="H165" t="n">
        <v>0</v>
      </c>
      <c r="I165" t="n">
        <v>0</v>
      </c>
      <c r="J165" t="n">
        <v>0</v>
      </c>
      <c r="K165" t="n">
        <v>0</v>
      </c>
      <c r="L165" t="n">
        <v>0</v>
      </c>
      <c r="M165" t="n">
        <v>0</v>
      </c>
      <c r="N165" t="n">
        <v>0</v>
      </c>
      <c r="O165" t="n">
        <v>0</v>
      </c>
      <c r="P165" t="n">
        <v>0</v>
      </c>
      <c r="Q165" t="n">
        <v>0</v>
      </c>
      <c r="R165" s="2" t="inlineStr"/>
    </row>
    <row r="166" ht="15" customHeight="1">
      <c r="A166" t="inlineStr">
        <is>
          <t>A 11571-2025</t>
        </is>
      </c>
      <c r="B166" s="1" t="n">
        <v>45726</v>
      </c>
      <c r="C166" s="1" t="n">
        <v>45886</v>
      </c>
      <c r="D166" t="inlineStr">
        <is>
          <t>NORRBOTTENS LÄN</t>
        </is>
      </c>
      <c r="E166" t="inlineStr">
        <is>
          <t>ARVIDSJAUR</t>
        </is>
      </c>
      <c r="F166" t="inlineStr">
        <is>
          <t>Allmännings- och besparingsskogar</t>
        </is>
      </c>
      <c r="G166" t="n">
        <v>1.3</v>
      </c>
      <c r="H166" t="n">
        <v>0</v>
      </c>
      <c r="I166" t="n">
        <v>0</v>
      </c>
      <c r="J166" t="n">
        <v>0</v>
      </c>
      <c r="K166" t="n">
        <v>0</v>
      </c>
      <c r="L166" t="n">
        <v>0</v>
      </c>
      <c r="M166" t="n">
        <v>0</v>
      </c>
      <c r="N166" t="n">
        <v>0</v>
      </c>
      <c r="O166" t="n">
        <v>0</v>
      </c>
      <c r="P166" t="n">
        <v>0</v>
      </c>
      <c r="Q166" t="n">
        <v>0</v>
      </c>
      <c r="R166" s="2" t="inlineStr"/>
    </row>
    <row r="167" ht="15" customHeight="1">
      <c r="A167" t="inlineStr">
        <is>
          <t>A 38271-2024</t>
        </is>
      </c>
      <c r="B167" s="1" t="n">
        <v>45545</v>
      </c>
      <c r="C167" s="1" t="n">
        <v>45886</v>
      </c>
      <c r="D167" t="inlineStr">
        <is>
          <t>NORRBOTTENS LÄN</t>
        </is>
      </c>
      <c r="E167" t="inlineStr">
        <is>
          <t>ARVIDSJAUR</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3165-2024</t>
        </is>
      </c>
      <c r="B168" s="1" t="n">
        <v>45316</v>
      </c>
      <c r="C168" s="1" t="n">
        <v>45886</v>
      </c>
      <c r="D168" t="inlineStr">
        <is>
          <t>NORRBOTTENS LÄN</t>
        </is>
      </c>
      <c r="E168" t="inlineStr">
        <is>
          <t>ARVIDSJAUR</t>
        </is>
      </c>
      <c r="F168" t="inlineStr">
        <is>
          <t>Allmännings- och besparingsskogar</t>
        </is>
      </c>
      <c r="G168" t="n">
        <v>6.9</v>
      </c>
      <c r="H168" t="n">
        <v>0</v>
      </c>
      <c r="I168" t="n">
        <v>0</v>
      </c>
      <c r="J168" t="n">
        <v>0</v>
      </c>
      <c r="K168" t="n">
        <v>0</v>
      </c>
      <c r="L168" t="n">
        <v>0</v>
      </c>
      <c r="M168" t="n">
        <v>0</v>
      </c>
      <c r="N168" t="n">
        <v>0</v>
      </c>
      <c r="O168" t="n">
        <v>0</v>
      </c>
      <c r="P168" t="n">
        <v>0</v>
      </c>
      <c r="Q168" t="n">
        <v>0</v>
      </c>
      <c r="R168" s="2" t="inlineStr"/>
    </row>
    <row r="169" ht="15" customHeight="1">
      <c r="A169" t="inlineStr">
        <is>
          <t>A 24854-2024</t>
        </is>
      </c>
      <c r="B169" s="1" t="n">
        <v>45461</v>
      </c>
      <c r="C169" s="1" t="n">
        <v>45886</v>
      </c>
      <c r="D169" t="inlineStr">
        <is>
          <t>NORRBOTTENS LÄN</t>
        </is>
      </c>
      <c r="E169" t="inlineStr">
        <is>
          <t>ARVIDSJAUR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45886</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45886</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48364-2024</t>
        </is>
      </c>
      <c r="B172" s="1" t="n">
        <v>45590.57606481481</v>
      </c>
      <c r="C172" s="1" t="n">
        <v>45886</v>
      </c>
      <c r="D172" t="inlineStr">
        <is>
          <t>NORRBOTTENS LÄN</t>
        </is>
      </c>
      <c r="E172" t="inlineStr">
        <is>
          <t>ARVIDSJAUR</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26211-2025</t>
        </is>
      </c>
      <c r="B173" s="1" t="n">
        <v>45805.54035879629</v>
      </c>
      <c r="C173" s="1" t="n">
        <v>45886</v>
      </c>
      <c r="D173" t="inlineStr">
        <is>
          <t>NORRBOTTENS LÄN</t>
        </is>
      </c>
      <c r="E173" t="inlineStr">
        <is>
          <t>ARVIDSJAUR</t>
        </is>
      </c>
      <c r="F173" t="inlineStr">
        <is>
          <t>Sveaskog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26218-2025</t>
        </is>
      </c>
      <c r="B174" s="1" t="n">
        <v>45805.54811342592</v>
      </c>
      <c r="C174" s="1" t="n">
        <v>45886</v>
      </c>
      <c r="D174" t="inlineStr">
        <is>
          <t>NORRBOTTENS LÄN</t>
        </is>
      </c>
      <c r="E174" t="inlineStr">
        <is>
          <t>ARVIDSJAUR</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20403-2022</t>
        </is>
      </c>
      <c r="B175" s="1" t="n">
        <v>44699</v>
      </c>
      <c r="C175" s="1" t="n">
        <v>45886</v>
      </c>
      <c r="D175" t="inlineStr">
        <is>
          <t>NORRBOTTENS LÄN</t>
        </is>
      </c>
      <c r="E175" t="inlineStr">
        <is>
          <t>ARVIDSJAUR</t>
        </is>
      </c>
      <c r="G175" t="n">
        <v>1.7</v>
      </c>
      <c r="H175" t="n">
        <v>0</v>
      </c>
      <c r="I175" t="n">
        <v>0</v>
      </c>
      <c r="J175" t="n">
        <v>0</v>
      </c>
      <c r="K175" t="n">
        <v>0</v>
      </c>
      <c r="L175" t="n">
        <v>0</v>
      </c>
      <c r="M175" t="n">
        <v>0</v>
      </c>
      <c r="N175" t="n">
        <v>0</v>
      </c>
      <c r="O175" t="n">
        <v>0</v>
      </c>
      <c r="P175" t="n">
        <v>0</v>
      </c>
      <c r="Q175" t="n">
        <v>0</v>
      </c>
      <c r="R175" s="2" t="inlineStr"/>
    </row>
    <row r="176" ht="15" customHeight="1">
      <c r="A176" t="inlineStr">
        <is>
          <t>A 11076-2021</t>
        </is>
      </c>
      <c r="B176" s="1" t="n">
        <v>44259</v>
      </c>
      <c r="C176" s="1" t="n">
        <v>45886</v>
      </c>
      <c r="D176" t="inlineStr">
        <is>
          <t>NORRBOTTENS LÄN</t>
        </is>
      </c>
      <c r="E176" t="inlineStr">
        <is>
          <t>ARVIDSJAUR</t>
        </is>
      </c>
      <c r="G176" t="n">
        <v>5.1</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45886</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45127-2021</t>
        </is>
      </c>
      <c r="B178" s="1" t="n">
        <v>44439</v>
      </c>
      <c r="C178" s="1" t="n">
        <v>45886</v>
      </c>
      <c r="D178" t="inlineStr">
        <is>
          <t>NORRBOTTENS LÄN</t>
        </is>
      </c>
      <c r="E178" t="inlineStr">
        <is>
          <t>ARVIDSJAUR</t>
        </is>
      </c>
      <c r="G178" t="n">
        <v>4.6</v>
      </c>
      <c r="H178" t="n">
        <v>0</v>
      </c>
      <c r="I178" t="n">
        <v>0</v>
      </c>
      <c r="J178" t="n">
        <v>0</v>
      </c>
      <c r="K178" t="n">
        <v>0</v>
      </c>
      <c r="L178" t="n">
        <v>0</v>
      </c>
      <c r="M178" t="n">
        <v>0</v>
      </c>
      <c r="N178" t="n">
        <v>0</v>
      </c>
      <c r="O178" t="n">
        <v>0</v>
      </c>
      <c r="P178" t="n">
        <v>0</v>
      </c>
      <c r="Q178" t="n">
        <v>0</v>
      </c>
      <c r="R178" s="2" t="inlineStr"/>
    </row>
    <row r="179" ht="15" customHeight="1">
      <c r="A179" t="inlineStr">
        <is>
          <t>A 46181-2021</t>
        </is>
      </c>
      <c r="B179" s="1" t="n">
        <v>44441</v>
      </c>
      <c r="C179" s="1" t="n">
        <v>45886</v>
      </c>
      <c r="D179" t="inlineStr">
        <is>
          <t>NORRBOTTENS LÄN</t>
        </is>
      </c>
      <c r="E179" t="inlineStr">
        <is>
          <t>ARVIDSJAUR</t>
        </is>
      </c>
      <c r="G179" t="n">
        <v>6.5</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45886</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45886</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58941-2022</t>
        </is>
      </c>
      <c r="B182" s="1" t="n">
        <v>44903</v>
      </c>
      <c r="C182" s="1" t="n">
        <v>45886</v>
      </c>
      <c r="D182" t="inlineStr">
        <is>
          <t>NORRBOTTENS LÄN</t>
        </is>
      </c>
      <c r="E182" t="inlineStr">
        <is>
          <t>ARVIDSJAUR</t>
        </is>
      </c>
      <c r="F182" t="inlineStr">
        <is>
          <t>Sveaskog</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36417-2022</t>
        </is>
      </c>
      <c r="B183" s="1" t="n">
        <v>44804</v>
      </c>
      <c r="C183" s="1" t="n">
        <v>45886</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39760-2022</t>
        </is>
      </c>
      <c r="B184" s="1" t="n">
        <v>44819</v>
      </c>
      <c r="C184" s="1" t="n">
        <v>45886</v>
      </c>
      <c r="D184" t="inlineStr">
        <is>
          <t>NORRBOTTENS LÄN</t>
        </is>
      </c>
      <c r="E184" t="inlineStr">
        <is>
          <t>ARVIDSJAUR</t>
        </is>
      </c>
      <c r="F184" t="inlineStr">
        <is>
          <t>Sveaskog</t>
        </is>
      </c>
      <c r="G184" t="n">
        <v>3.2</v>
      </c>
      <c r="H184" t="n">
        <v>0</v>
      </c>
      <c r="I184" t="n">
        <v>0</v>
      </c>
      <c r="J184" t="n">
        <v>0</v>
      </c>
      <c r="K184" t="n">
        <v>0</v>
      </c>
      <c r="L184" t="n">
        <v>0</v>
      </c>
      <c r="M184" t="n">
        <v>0</v>
      </c>
      <c r="N184" t="n">
        <v>0</v>
      </c>
      <c r="O184" t="n">
        <v>0</v>
      </c>
      <c r="P184" t="n">
        <v>0</v>
      </c>
      <c r="Q184" t="n">
        <v>0</v>
      </c>
      <c r="R184" s="2" t="inlineStr"/>
    </row>
    <row r="185" ht="15" customHeight="1">
      <c r="A185" t="inlineStr">
        <is>
          <t>A 31050-2024</t>
        </is>
      </c>
      <c r="B185" s="1" t="n">
        <v>45502.33652777778</v>
      </c>
      <c r="C185" s="1" t="n">
        <v>45886</v>
      </c>
      <c r="D185" t="inlineStr">
        <is>
          <t>NORRBOTTENS LÄN</t>
        </is>
      </c>
      <c r="E185" t="inlineStr">
        <is>
          <t>ARVIDSJAUR</t>
        </is>
      </c>
      <c r="G185" t="n">
        <v>0</v>
      </c>
      <c r="H185" t="n">
        <v>0</v>
      </c>
      <c r="I185" t="n">
        <v>0</v>
      </c>
      <c r="J185" t="n">
        <v>0</v>
      </c>
      <c r="K185" t="n">
        <v>0</v>
      </c>
      <c r="L185" t="n">
        <v>0</v>
      </c>
      <c r="M185" t="n">
        <v>0</v>
      </c>
      <c r="N185" t="n">
        <v>0</v>
      </c>
      <c r="O185" t="n">
        <v>0</v>
      </c>
      <c r="P185" t="n">
        <v>0</v>
      </c>
      <c r="Q185" t="n">
        <v>0</v>
      </c>
      <c r="R185" s="2" t="inlineStr"/>
    </row>
    <row r="186" ht="15" customHeight="1">
      <c r="A186" t="inlineStr">
        <is>
          <t>A 36483-2022</t>
        </is>
      </c>
      <c r="B186" s="1" t="n">
        <v>44804</v>
      </c>
      <c r="C186" s="1" t="n">
        <v>45886</v>
      </c>
      <c r="D186" t="inlineStr">
        <is>
          <t>NORRBOTTENS LÄN</t>
        </is>
      </c>
      <c r="E186" t="inlineStr">
        <is>
          <t>ARVIDSJAUR</t>
        </is>
      </c>
      <c r="G186" t="n">
        <v>2.9</v>
      </c>
      <c r="H186" t="n">
        <v>0</v>
      </c>
      <c r="I186" t="n">
        <v>0</v>
      </c>
      <c r="J186" t="n">
        <v>0</v>
      </c>
      <c r="K186" t="n">
        <v>0</v>
      </c>
      <c r="L186" t="n">
        <v>0</v>
      </c>
      <c r="M186" t="n">
        <v>0</v>
      </c>
      <c r="N186" t="n">
        <v>0</v>
      </c>
      <c r="O186" t="n">
        <v>0</v>
      </c>
      <c r="P186" t="n">
        <v>0</v>
      </c>
      <c r="Q186" t="n">
        <v>0</v>
      </c>
      <c r="R186" s="2" t="inlineStr"/>
    </row>
    <row r="187" ht="15" customHeight="1">
      <c r="A187" t="inlineStr">
        <is>
          <t>A 26591-2023</t>
        </is>
      </c>
      <c r="B187" s="1" t="n">
        <v>45090</v>
      </c>
      <c r="C187" s="1" t="n">
        <v>45886</v>
      </c>
      <c r="D187" t="inlineStr">
        <is>
          <t>NORRBOTTENS LÄN</t>
        </is>
      </c>
      <c r="E187" t="inlineStr">
        <is>
          <t>ARVIDSJAUR</t>
        </is>
      </c>
      <c r="G187" t="n">
        <v>0.5</v>
      </c>
      <c r="H187" t="n">
        <v>0</v>
      </c>
      <c r="I187" t="n">
        <v>0</v>
      </c>
      <c r="J187" t="n">
        <v>0</v>
      </c>
      <c r="K187" t="n">
        <v>0</v>
      </c>
      <c r="L187" t="n">
        <v>0</v>
      </c>
      <c r="M187" t="n">
        <v>0</v>
      </c>
      <c r="N187" t="n">
        <v>0</v>
      </c>
      <c r="O187" t="n">
        <v>0</v>
      </c>
      <c r="P187" t="n">
        <v>0</v>
      </c>
      <c r="Q187" t="n">
        <v>0</v>
      </c>
      <c r="R187" s="2" t="inlineStr"/>
    </row>
    <row r="188" ht="15" customHeight="1">
      <c r="A188" t="inlineStr">
        <is>
          <t>A 48892-2024</t>
        </is>
      </c>
      <c r="B188" s="1" t="n">
        <v>45594</v>
      </c>
      <c r="C188" s="1" t="n">
        <v>45886</v>
      </c>
      <c r="D188" t="inlineStr">
        <is>
          <t>NORRBOTTENS LÄN</t>
        </is>
      </c>
      <c r="E188" t="inlineStr">
        <is>
          <t>ARVIDSJAUR</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2286-2024</t>
        </is>
      </c>
      <c r="B189" s="1" t="n">
        <v>45310</v>
      </c>
      <c r="C189" s="1" t="n">
        <v>45886</v>
      </c>
      <c r="D189" t="inlineStr">
        <is>
          <t>NORRBOTTENS LÄN</t>
        </is>
      </c>
      <c r="E189" t="inlineStr">
        <is>
          <t>ARVIDSJAUR</t>
        </is>
      </c>
      <c r="G189" t="n">
        <v>1</v>
      </c>
      <c r="H189" t="n">
        <v>0</v>
      </c>
      <c r="I189" t="n">
        <v>0</v>
      </c>
      <c r="J189" t="n">
        <v>0</v>
      </c>
      <c r="K189" t="n">
        <v>0</v>
      </c>
      <c r="L189" t="n">
        <v>0</v>
      </c>
      <c r="M189" t="n">
        <v>0</v>
      </c>
      <c r="N189" t="n">
        <v>0</v>
      </c>
      <c r="O189" t="n">
        <v>0</v>
      </c>
      <c r="P189" t="n">
        <v>0</v>
      </c>
      <c r="Q189" t="n">
        <v>0</v>
      </c>
      <c r="R189" s="2" t="inlineStr"/>
    </row>
    <row r="190" ht="15" customHeight="1">
      <c r="A190" t="inlineStr">
        <is>
          <t>A 54524-2023</t>
        </is>
      </c>
      <c r="B190" s="1" t="n">
        <v>45226</v>
      </c>
      <c r="C190" s="1" t="n">
        <v>45886</v>
      </c>
      <c r="D190" t="inlineStr">
        <is>
          <t>NORRBOTTENS LÄN</t>
        </is>
      </c>
      <c r="E190" t="inlineStr">
        <is>
          <t>ARVIDSJAUR</t>
        </is>
      </c>
      <c r="G190" t="n">
        <v>1.4</v>
      </c>
      <c r="H190" t="n">
        <v>0</v>
      </c>
      <c r="I190" t="n">
        <v>0</v>
      </c>
      <c r="J190" t="n">
        <v>0</v>
      </c>
      <c r="K190" t="n">
        <v>0</v>
      </c>
      <c r="L190" t="n">
        <v>0</v>
      </c>
      <c r="M190" t="n">
        <v>0</v>
      </c>
      <c r="N190" t="n">
        <v>0</v>
      </c>
      <c r="O190" t="n">
        <v>0</v>
      </c>
      <c r="P190" t="n">
        <v>0</v>
      </c>
      <c r="Q190" t="n">
        <v>0</v>
      </c>
      <c r="R190" s="2" t="inlineStr"/>
    </row>
    <row r="191" ht="15" customHeight="1">
      <c r="A191" t="inlineStr">
        <is>
          <t>A 54529-2023</t>
        </is>
      </c>
      <c r="B191" s="1" t="n">
        <v>45226</v>
      </c>
      <c r="C191" s="1" t="n">
        <v>45886</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51631-2023</t>
        </is>
      </c>
      <c r="B192" s="1" t="n">
        <v>45222.53628472222</v>
      </c>
      <c r="C192" s="1" t="n">
        <v>45886</v>
      </c>
      <c r="D192" t="inlineStr">
        <is>
          <t>NORRBOTTENS LÄN</t>
        </is>
      </c>
      <c r="E192" t="inlineStr">
        <is>
          <t>ARVIDSJAUR</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2309-2023</t>
        </is>
      </c>
      <c r="B193" s="1" t="n">
        <v>44942</v>
      </c>
      <c r="C193" s="1" t="n">
        <v>45886</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29677-2024</t>
        </is>
      </c>
      <c r="B194" s="1" t="n">
        <v>45484</v>
      </c>
      <c r="C194" s="1" t="n">
        <v>45886</v>
      </c>
      <c r="D194" t="inlineStr">
        <is>
          <t>NORRBOTTENS LÄN</t>
        </is>
      </c>
      <c r="E194" t="inlineStr">
        <is>
          <t>ARVIDSJAUR</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60888-2021</t>
        </is>
      </c>
      <c r="B195" s="1" t="n">
        <v>44497</v>
      </c>
      <c r="C195" s="1" t="n">
        <v>45886</v>
      </c>
      <c r="D195" t="inlineStr">
        <is>
          <t>NORRBOTTENS LÄN</t>
        </is>
      </c>
      <c r="E195" t="inlineStr">
        <is>
          <t>ARVIDSJAUR</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32268-2023</t>
        </is>
      </c>
      <c r="B196" s="1" t="n">
        <v>45120</v>
      </c>
      <c r="C196" s="1" t="n">
        <v>45886</v>
      </c>
      <c r="D196" t="inlineStr">
        <is>
          <t>NORRBOTTENS LÄN</t>
        </is>
      </c>
      <c r="E196" t="inlineStr">
        <is>
          <t>ARVIDSJAUR</t>
        </is>
      </c>
      <c r="F196" t="inlineStr">
        <is>
          <t>Sveaskog</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45794-2024</t>
        </is>
      </c>
      <c r="B197" s="1" t="n">
        <v>45579.6725</v>
      </c>
      <c r="C197" s="1" t="n">
        <v>45886</v>
      </c>
      <c r="D197" t="inlineStr">
        <is>
          <t>NORRBOTTENS LÄN</t>
        </is>
      </c>
      <c r="E197" t="inlineStr">
        <is>
          <t>ARVIDSJAUR</t>
        </is>
      </c>
      <c r="F197" t="inlineStr">
        <is>
          <t>Sveaskog</t>
        </is>
      </c>
      <c r="G197" t="n">
        <v>37.7</v>
      </c>
      <c r="H197" t="n">
        <v>0</v>
      </c>
      <c r="I197" t="n">
        <v>0</v>
      </c>
      <c r="J197" t="n">
        <v>0</v>
      </c>
      <c r="K197" t="n">
        <v>0</v>
      </c>
      <c r="L197" t="n">
        <v>0</v>
      </c>
      <c r="M197" t="n">
        <v>0</v>
      </c>
      <c r="N197" t="n">
        <v>0</v>
      </c>
      <c r="O197" t="n">
        <v>0</v>
      </c>
      <c r="P197" t="n">
        <v>0</v>
      </c>
      <c r="Q197" t="n">
        <v>0</v>
      </c>
      <c r="R197" s="2" t="inlineStr"/>
    </row>
    <row r="198" ht="15" customHeight="1">
      <c r="A198" t="inlineStr">
        <is>
          <t>A 27944-2024</t>
        </is>
      </c>
      <c r="B198" s="1" t="n">
        <v>45476</v>
      </c>
      <c r="C198" s="1" t="n">
        <v>45886</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20698-2022</t>
        </is>
      </c>
      <c r="B199" s="1" t="n">
        <v>44700</v>
      </c>
      <c r="C199" s="1" t="n">
        <v>45886</v>
      </c>
      <c r="D199" t="inlineStr">
        <is>
          <t>NORRBOTTENS LÄN</t>
        </is>
      </c>
      <c r="E199" t="inlineStr">
        <is>
          <t>ARVIDSJAUR</t>
        </is>
      </c>
      <c r="G199" t="n">
        <v>1.3</v>
      </c>
      <c r="H199" t="n">
        <v>0</v>
      </c>
      <c r="I199" t="n">
        <v>0</v>
      </c>
      <c r="J199" t="n">
        <v>0</v>
      </c>
      <c r="K199" t="n">
        <v>0</v>
      </c>
      <c r="L199" t="n">
        <v>0</v>
      </c>
      <c r="M199" t="n">
        <v>0</v>
      </c>
      <c r="N199" t="n">
        <v>0</v>
      </c>
      <c r="O199" t="n">
        <v>0</v>
      </c>
      <c r="P199" t="n">
        <v>0</v>
      </c>
      <c r="Q199" t="n">
        <v>0</v>
      </c>
      <c r="R199" s="2" t="inlineStr"/>
    </row>
    <row r="200" ht="15" customHeight="1">
      <c r="A200" t="inlineStr">
        <is>
          <t>A 29681-2024</t>
        </is>
      </c>
      <c r="B200" s="1" t="n">
        <v>45484.94334490741</v>
      </c>
      <c r="C200" s="1" t="n">
        <v>45886</v>
      </c>
      <c r="D200" t="inlineStr">
        <is>
          <t>NORRBOTTENS LÄN</t>
        </is>
      </c>
      <c r="E200" t="inlineStr">
        <is>
          <t>ARVIDSJAUR</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36954-2023</t>
        </is>
      </c>
      <c r="B201" s="1" t="n">
        <v>45154</v>
      </c>
      <c r="C201" s="1" t="n">
        <v>45886</v>
      </c>
      <c r="D201" t="inlineStr">
        <is>
          <t>NORRBOTTENS LÄN</t>
        </is>
      </c>
      <c r="E201" t="inlineStr">
        <is>
          <t>ARVIDSJAUR</t>
        </is>
      </c>
      <c r="G201" t="n">
        <v>3.7</v>
      </c>
      <c r="H201" t="n">
        <v>0</v>
      </c>
      <c r="I201" t="n">
        <v>0</v>
      </c>
      <c r="J201" t="n">
        <v>0</v>
      </c>
      <c r="K201" t="n">
        <v>0</v>
      </c>
      <c r="L201" t="n">
        <v>0</v>
      </c>
      <c r="M201" t="n">
        <v>0</v>
      </c>
      <c r="N201" t="n">
        <v>0</v>
      </c>
      <c r="O201" t="n">
        <v>0</v>
      </c>
      <c r="P201" t="n">
        <v>0</v>
      </c>
      <c r="Q201" t="n">
        <v>0</v>
      </c>
      <c r="R201" s="2" t="inlineStr"/>
    </row>
    <row r="202" ht="15" customHeight="1">
      <c r="A202" t="inlineStr">
        <is>
          <t>A 18780-2024</t>
        </is>
      </c>
      <c r="B202" s="1" t="n">
        <v>45426</v>
      </c>
      <c r="C202" s="1" t="n">
        <v>45886</v>
      </c>
      <c r="D202" t="inlineStr">
        <is>
          <t>NORRBOTTENS LÄN</t>
        </is>
      </c>
      <c r="E202" t="inlineStr">
        <is>
          <t>ARVIDSJAUR</t>
        </is>
      </c>
      <c r="F202" t="inlineStr">
        <is>
          <t>Sveaskog</t>
        </is>
      </c>
      <c r="G202" t="n">
        <v>4</v>
      </c>
      <c r="H202" t="n">
        <v>0</v>
      </c>
      <c r="I202" t="n">
        <v>0</v>
      </c>
      <c r="J202" t="n">
        <v>0</v>
      </c>
      <c r="K202" t="n">
        <v>0</v>
      </c>
      <c r="L202" t="n">
        <v>0</v>
      </c>
      <c r="M202" t="n">
        <v>0</v>
      </c>
      <c r="N202" t="n">
        <v>0</v>
      </c>
      <c r="O202" t="n">
        <v>0</v>
      </c>
      <c r="P202" t="n">
        <v>0</v>
      </c>
      <c r="Q202" t="n">
        <v>0</v>
      </c>
      <c r="R202" s="2" t="inlineStr"/>
    </row>
    <row r="203" ht="15" customHeight="1">
      <c r="A203" t="inlineStr">
        <is>
          <t>A 44557-2023</t>
        </is>
      </c>
      <c r="B203" s="1" t="n">
        <v>45189.53853009259</v>
      </c>
      <c r="C203" s="1" t="n">
        <v>45886</v>
      </c>
      <c r="D203" t="inlineStr">
        <is>
          <t>NORRBOTTENS LÄN</t>
        </is>
      </c>
      <c r="E203" t="inlineStr">
        <is>
          <t>ARVIDSJAUR</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50303-2022</t>
        </is>
      </c>
      <c r="B204" s="1" t="n">
        <v>44865</v>
      </c>
      <c r="C204" s="1" t="n">
        <v>45886</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60466-2022</t>
        </is>
      </c>
      <c r="B205" s="1" t="n">
        <v>44911</v>
      </c>
      <c r="C205" s="1" t="n">
        <v>45886</v>
      </c>
      <c r="D205" t="inlineStr">
        <is>
          <t>NORRBOTTENS LÄN</t>
        </is>
      </c>
      <c r="E205" t="inlineStr">
        <is>
          <t>ARVIDSJAUR</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60516-2022</t>
        </is>
      </c>
      <c r="B206" s="1" t="n">
        <v>44911</v>
      </c>
      <c r="C206" s="1" t="n">
        <v>45886</v>
      </c>
      <c r="D206" t="inlineStr">
        <is>
          <t>NORRBOTTENS LÄN</t>
        </is>
      </c>
      <c r="E206" t="inlineStr">
        <is>
          <t>ARVIDSJAUR</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45886</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4934-2024</t>
        </is>
      </c>
      <c r="B208" s="1" t="n">
        <v>45329</v>
      </c>
      <c r="C208" s="1" t="n">
        <v>45886</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36815-2024</t>
        </is>
      </c>
      <c r="B209" s="1" t="n">
        <v>45538</v>
      </c>
      <c r="C209" s="1" t="n">
        <v>45886</v>
      </c>
      <c r="D209" t="inlineStr">
        <is>
          <t>NORRBOTTENS LÄN</t>
        </is>
      </c>
      <c r="E209" t="inlineStr">
        <is>
          <t>ARVIDSJAUR</t>
        </is>
      </c>
      <c r="G209" t="n">
        <v>6</v>
      </c>
      <c r="H209" t="n">
        <v>0</v>
      </c>
      <c r="I209" t="n">
        <v>0</v>
      </c>
      <c r="J209" t="n">
        <v>0</v>
      </c>
      <c r="K209" t="n">
        <v>0</v>
      </c>
      <c r="L209" t="n">
        <v>0</v>
      </c>
      <c r="M209" t="n">
        <v>0</v>
      </c>
      <c r="N209" t="n">
        <v>0</v>
      </c>
      <c r="O209" t="n">
        <v>0</v>
      </c>
      <c r="P209" t="n">
        <v>0</v>
      </c>
      <c r="Q209" t="n">
        <v>0</v>
      </c>
      <c r="R209" s="2" t="inlineStr"/>
    </row>
    <row r="210" ht="15" customHeight="1">
      <c r="A210" t="inlineStr">
        <is>
          <t>A 28353-2025</t>
        </is>
      </c>
      <c r="B210" s="1" t="n">
        <v>45818</v>
      </c>
      <c r="C210" s="1" t="n">
        <v>45886</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28356-2025</t>
        </is>
      </c>
      <c r="B211" s="1" t="n">
        <v>45818</v>
      </c>
      <c r="C211" s="1" t="n">
        <v>45886</v>
      </c>
      <c r="D211" t="inlineStr">
        <is>
          <t>NORRBOTTENS LÄN</t>
        </is>
      </c>
      <c r="E211" t="inlineStr">
        <is>
          <t>ARVIDSJAUR</t>
        </is>
      </c>
      <c r="G211" t="n">
        <v>1.1</v>
      </c>
      <c r="H211" t="n">
        <v>0</v>
      </c>
      <c r="I211" t="n">
        <v>0</v>
      </c>
      <c r="J211" t="n">
        <v>0</v>
      </c>
      <c r="K211" t="n">
        <v>0</v>
      </c>
      <c r="L211" t="n">
        <v>0</v>
      </c>
      <c r="M211" t="n">
        <v>0</v>
      </c>
      <c r="N211" t="n">
        <v>0</v>
      </c>
      <c r="O211" t="n">
        <v>0</v>
      </c>
      <c r="P211" t="n">
        <v>0</v>
      </c>
      <c r="Q211" t="n">
        <v>0</v>
      </c>
      <c r="R211" s="2" t="inlineStr"/>
    </row>
    <row r="212" ht="15" customHeight="1">
      <c r="A212" t="inlineStr">
        <is>
          <t>A 41313-2021</t>
        </is>
      </c>
      <c r="B212" s="1" t="n">
        <v>44424</v>
      </c>
      <c r="C212" s="1" t="n">
        <v>45886</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61133-2022</t>
        </is>
      </c>
      <c r="B213" s="1" t="n">
        <v>44915.44876157407</v>
      </c>
      <c r="C213" s="1" t="n">
        <v>45886</v>
      </c>
      <c r="D213" t="inlineStr">
        <is>
          <t>NORRBOTTENS LÄN</t>
        </is>
      </c>
      <c r="E213" t="inlineStr">
        <is>
          <t>ARVIDSJAUR</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28357-2025</t>
        </is>
      </c>
      <c r="B214" s="1" t="n">
        <v>45818</v>
      </c>
      <c r="C214" s="1" t="n">
        <v>45886</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27742-2024</t>
        </is>
      </c>
      <c r="B215" s="1" t="n">
        <v>45475.46423611111</v>
      </c>
      <c r="C215" s="1" t="n">
        <v>45886</v>
      </c>
      <c r="D215" t="inlineStr">
        <is>
          <t>NORRBOTTENS LÄN</t>
        </is>
      </c>
      <c r="E215" t="inlineStr">
        <is>
          <t>ARVIDSJAUR</t>
        </is>
      </c>
      <c r="G215" t="n">
        <v>16.8</v>
      </c>
      <c r="H215" t="n">
        <v>0</v>
      </c>
      <c r="I215" t="n">
        <v>0</v>
      </c>
      <c r="J215" t="n">
        <v>0</v>
      </c>
      <c r="K215" t="n">
        <v>0</v>
      </c>
      <c r="L215" t="n">
        <v>0</v>
      </c>
      <c r="M215" t="n">
        <v>0</v>
      </c>
      <c r="N215" t="n">
        <v>0</v>
      </c>
      <c r="O215" t="n">
        <v>0</v>
      </c>
      <c r="P215" t="n">
        <v>0</v>
      </c>
      <c r="Q215" t="n">
        <v>0</v>
      </c>
      <c r="R215" s="2" t="inlineStr"/>
    </row>
    <row r="216" ht="15" customHeight="1">
      <c r="A216" t="inlineStr">
        <is>
          <t>A 33084-2024</t>
        </is>
      </c>
      <c r="B216" s="1" t="n">
        <v>45517</v>
      </c>
      <c r="C216" s="1" t="n">
        <v>45886</v>
      </c>
      <c r="D216" t="inlineStr">
        <is>
          <t>NORRBOTTENS LÄN</t>
        </is>
      </c>
      <c r="E216" t="inlineStr">
        <is>
          <t>ARVIDSJAUR</t>
        </is>
      </c>
      <c r="G216" t="n">
        <v>0.5</v>
      </c>
      <c r="H216" t="n">
        <v>0</v>
      </c>
      <c r="I216" t="n">
        <v>0</v>
      </c>
      <c r="J216" t="n">
        <v>0</v>
      </c>
      <c r="K216" t="n">
        <v>0</v>
      </c>
      <c r="L216" t="n">
        <v>0</v>
      </c>
      <c r="M216" t="n">
        <v>0</v>
      </c>
      <c r="N216" t="n">
        <v>0</v>
      </c>
      <c r="O216" t="n">
        <v>0</v>
      </c>
      <c r="P216" t="n">
        <v>0</v>
      </c>
      <c r="Q216" t="n">
        <v>0</v>
      </c>
      <c r="R216" s="2" t="inlineStr"/>
    </row>
    <row r="217" ht="15" customHeight="1">
      <c r="A217" t="inlineStr">
        <is>
          <t>A 2392-2025</t>
        </is>
      </c>
      <c r="B217" s="1" t="n">
        <v>45674</v>
      </c>
      <c r="C217" s="1" t="n">
        <v>45886</v>
      </c>
      <c r="D217" t="inlineStr">
        <is>
          <t>NORRBOTTENS LÄN</t>
        </is>
      </c>
      <c r="E217" t="inlineStr">
        <is>
          <t>ARVIDSJAUR</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42842-2024</t>
        </is>
      </c>
      <c r="B218" s="1" t="n">
        <v>45566</v>
      </c>
      <c r="C218" s="1" t="n">
        <v>45886</v>
      </c>
      <c r="D218" t="inlineStr">
        <is>
          <t>NORRBOTTENS LÄN</t>
        </is>
      </c>
      <c r="E218" t="inlineStr">
        <is>
          <t>ARVIDSJAUR</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42862-2024</t>
        </is>
      </c>
      <c r="B219" s="1" t="n">
        <v>45566</v>
      </c>
      <c r="C219" s="1" t="n">
        <v>45886</v>
      </c>
      <c r="D219" t="inlineStr">
        <is>
          <t>NORRBOTTENS LÄN</t>
        </is>
      </c>
      <c r="E219" t="inlineStr">
        <is>
          <t>ARVIDSJAUR</t>
        </is>
      </c>
      <c r="F219" t="inlineStr">
        <is>
          <t>Sveaskog</t>
        </is>
      </c>
      <c r="G219" t="n">
        <v>26.6</v>
      </c>
      <c r="H219" t="n">
        <v>0</v>
      </c>
      <c r="I219" t="n">
        <v>0</v>
      </c>
      <c r="J219" t="n">
        <v>0</v>
      </c>
      <c r="K219" t="n">
        <v>0</v>
      </c>
      <c r="L219" t="n">
        <v>0</v>
      </c>
      <c r="M219" t="n">
        <v>0</v>
      </c>
      <c r="N219" t="n">
        <v>0</v>
      </c>
      <c r="O219" t="n">
        <v>0</v>
      </c>
      <c r="P219" t="n">
        <v>0</v>
      </c>
      <c r="Q219" t="n">
        <v>0</v>
      </c>
      <c r="R219" s="2" t="inlineStr"/>
    </row>
    <row r="220" ht="15" customHeight="1">
      <c r="A220" t="inlineStr">
        <is>
          <t>A 3201-2024</t>
        </is>
      </c>
      <c r="B220" s="1" t="n">
        <v>45316</v>
      </c>
      <c r="C220" s="1" t="n">
        <v>45886</v>
      </c>
      <c r="D220" t="inlineStr">
        <is>
          <t>NORRBOTTENS LÄN</t>
        </is>
      </c>
      <c r="E220" t="inlineStr">
        <is>
          <t>ARVIDSJAUR</t>
        </is>
      </c>
      <c r="F220" t="inlineStr">
        <is>
          <t>Allmännings- och besparingsskogar</t>
        </is>
      </c>
      <c r="G220" t="n">
        <v>1.9</v>
      </c>
      <c r="H220" t="n">
        <v>0</v>
      </c>
      <c r="I220" t="n">
        <v>0</v>
      </c>
      <c r="J220" t="n">
        <v>0</v>
      </c>
      <c r="K220" t="n">
        <v>0</v>
      </c>
      <c r="L220" t="n">
        <v>0</v>
      </c>
      <c r="M220" t="n">
        <v>0</v>
      </c>
      <c r="N220" t="n">
        <v>0</v>
      </c>
      <c r="O220" t="n">
        <v>0</v>
      </c>
      <c r="P220" t="n">
        <v>0</v>
      </c>
      <c r="Q220" t="n">
        <v>0</v>
      </c>
      <c r="R220" s="2" t="inlineStr"/>
    </row>
    <row r="221" ht="15" customHeight="1">
      <c r="A221" t="inlineStr">
        <is>
          <t>A 36791-2024</t>
        </is>
      </c>
      <c r="B221" s="1" t="n">
        <v>45538</v>
      </c>
      <c r="C221" s="1" t="n">
        <v>45886</v>
      </c>
      <c r="D221" t="inlineStr">
        <is>
          <t>NORRBOTTENS LÄN</t>
        </is>
      </c>
      <c r="E221" t="inlineStr">
        <is>
          <t>ARVIDSJAUR</t>
        </is>
      </c>
      <c r="G221" t="n">
        <v>1.5</v>
      </c>
      <c r="H221" t="n">
        <v>0</v>
      </c>
      <c r="I221" t="n">
        <v>0</v>
      </c>
      <c r="J221" t="n">
        <v>0</v>
      </c>
      <c r="K221" t="n">
        <v>0</v>
      </c>
      <c r="L221" t="n">
        <v>0</v>
      </c>
      <c r="M221" t="n">
        <v>0</v>
      </c>
      <c r="N221" t="n">
        <v>0</v>
      </c>
      <c r="O221" t="n">
        <v>0</v>
      </c>
      <c r="P221" t="n">
        <v>0</v>
      </c>
      <c r="Q221" t="n">
        <v>0</v>
      </c>
      <c r="R221" s="2" t="inlineStr"/>
    </row>
    <row r="222" ht="15" customHeight="1">
      <c r="A222" t="inlineStr">
        <is>
          <t>A 28892-2025</t>
        </is>
      </c>
      <c r="B222" s="1" t="n">
        <v>45820.63246527778</v>
      </c>
      <c r="C222" s="1" t="n">
        <v>45886</v>
      </c>
      <c r="D222" t="inlineStr">
        <is>
          <t>NORRBOTTENS LÄN</t>
        </is>
      </c>
      <c r="E222" t="inlineStr">
        <is>
          <t>ARVIDSJAUR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28894-2025</t>
        </is>
      </c>
      <c r="B223" s="1" t="n">
        <v>45820.63534722223</v>
      </c>
      <c r="C223" s="1" t="n">
        <v>45886</v>
      </c>
      <c r="D223" t="inlineStr">
        <is>
          <t>NORRBOTTENS LÄN</t>
        </is>
      </c>
      <c r="E223" t="inlineStr">
        <is>
          <t>ARVIDSJAUR</t>
        </is>
      </c>
      <c r="F223" t="inlineStr">
        <is>
          <t>Sveaskog</t>
        </is>
      </c>
      <c r="G223" t="n">
        <v>14.2</v>
      </c>
      <c r="H223" t="n">
        <v>0</v>
      </c>
      <c r="I223" t="n">
        <v>0</v>
      </c>
      <c r="J223" t="n">
        <v>0</v>
      </c>
      <c r="K223" t="n">
        <v>0</v>
      </c>
      <c r="L223" t="n">
        <v>0</v>
      </c>
      <c r="M223" t="n">
        <v>0</v>
      </c>
      <c r="N223" t="n">
        <v>0</v>
      </c>
      <c r="O223" t="n">
        <v>0</v>
      </c>
      <c r="P223" t="n">
        <v>0</v>
      </c>
      <c r="Q223" t="n">
        <v>0</v>
      </c>
      <c r="R223" s="2" t="inlineStr"/>
    </row>
    <row r="224" ht="15" customHeight="1">
      <c r="A224" t="inlineStr">
        <is>
          <t>A 25121-2024</t>
        </is>
      </c>
      <c r="B224" s="1" t="n">
        <v>45462</v>
      </c>
      <c r="C224" s="1" t="n">
        <v>45886</v>
      </c>
      <c r="D224" t="inlineStr">
        <is>
          <t>NORRBOTTENS LÄN</t>
        </is>
      </c>
      <c r="E224" t="inlineStr">
        <is>
          <t>ARVIDSJAUR</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35670-2025</t>
        </is>
      </c>
      <c r="B225" s="1" t="n">
        <v>45859.61556712963</v>
      </c>
      <c r="C225" s="1" t="n">
        <v>45886</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29241-2025</t>
        </is>
      </c>
      <c r="B226" s="1" t="n">
        <v>45824</v>
      </c>
      <c r="C226" s="1" t="n">
        <v>45886</v>
      </c>
      <c r="D226" t="inlineStr">
        <is>
          <t>NORRBOTTENS LÄN</t>
        </is>
      </c>
      <c r="E226" t="inlineStr">
        <is>
          <t>ARVIDSJAUR</t>
        </is>
      </c>
      <c r="G226" t="n">
        <v>2.1</v>
      </c>
      <c r="H226" t="n">
        <v>0</v>
      </c>
      <c r="I226" t="n">
        <v>0</v>
      </c>
      <c r="J226" t="n">
        <v>0</v>
      </c>
      <c r="K226" t="n">
        <v>0</v>
      </c>
      <c r="L226" t="n">
        <v>0</v>
      </c>
      <c r="M226" t="n">
        <v>0</v>
      </c>
      <c r="N226" t="n">
        <v>0</v>
      </c>
      <c r="O226" t="n">
        <v>0</v>
      </c>
      <c r="P226" t="n">
        <v>0</v>
      </c>
      <c r="Q226" t="n">
        <v>0</v>
      </c>
      <c r="R226" s="2" t="inlineStr"/>
    </row>
    <row r="227" ht="15" customHeight="1">
      <c r="A227" t="inlineStr">
        <is>
          <t>A 28954-2025</t>
        </is>
      </c>
      <c r="B227" s="1" t="n">
        <v>45821.28777777778</v>
      </c>
      <c r="C227" s="1" t="n">
        <v>45886</v>
      </c>
      <c r="D227" t="inlineStr">
        <is>
          <t>NORRBOTTENS LÄN</t>
        </is>
      </c>
      <c r="E227" t="inlineStr">
        <is>
          <t>ARVIDSJAUR</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54521-2023</t>
        </is>
      </c>
      <c r="B228" s="1" t="n">
        <v>45226</v>
      </c>
      <c r="C228" s="1" t="n">
        <v>45886</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3206-2024</t>
        </is>
      </c>
      <c r="B229" s="1" t="n">
        <v>45316</v>
      </c>
      <c r="C229" s="1" t="n">
        <v>45886</v>
      </c>
      <c r="D229" t="inlineStr">
        <is>
          <t>NORRBOTTENS LÄN</t>
        </is>
      </c>
      <c r="E229" t="inlineStr">
        <is>
          <t>ARVIDSJAUR</t>
        </is>
      </c>
      <c r="F229" t="inlineStr">
        <is>
          <t>Allmännings- och besparingsskogar</t>
        </is>
      </c>
      <c r="G229" t="n">
        <v>15.1</v>
      </c>
      <c r="H229" t="n">
        <v>0</v>
      </c>
      <c r="I229" t="n">
        <v>0</v>
      </c>
      <c r="J229" t="n">
        <v>0</v>
      </c>
      <c r="K229" t="n">
        <v>0</v>
      </c>
      <c r="L229" t="n">
        <v>0</v>
      </c>
      <c r="M229" t="n">
        <v>0</v>
      </c>
      <c r="N229" t="n">
        <v>0</v>
      </c>
      <c r="O229" t="n">
        <v>0</v>
      </c>
      <c r="P229" t="n">
        <v>0</v>
      </c>
      <c r="Q229" t="n">
        <v>0</v>
      </c>
      <c r="R229" s="2" t="inlineStr"/>
    </row>
    <row r="230" ht="15" customHeight="1">
      <c r="A230" t="inlineStr">
        <is>
          <t>A 29518-2025</t>
        </is>
      </c>
      <c r="B230" s="1" t="n">
        <v>45825.32150462963</v>
      </c>
      <c r="C230" s="1" t="n">
        <v>45886</v>
      </c>
      <c r="D230" t="inlineStr">
        <is>
          <t>NORRBOTTENS LÄN</t>
        </is>
      </c>
      <c r="E230" t="inlineStr">
        <is>
          <t>ARVIDSJAUR</t>
        </is>
      </c>
      <c r="F230" t="inlineStr">
        <is>
          <t>Sveaskog</t>
        </is>
      </c>
      <c r="G230" t="n">
        <v>13.3</v>
      </c>
      <c r="H230" t="n">
        <v>0</v>
      </c>
      <c r="I230" t="n">
        <v>0</v>
      </c>
      <c r="J230" t="n">
        <v>0</v>
      </c>
      <c r="K230" t="n">
        <v>0</v>
      </c>
      <c r="L230" t="n">
        <v>0</v>
      </c>
      <c r="M230" t="n">
        <v>0</v>
      </c>
      <c r="N230" t="n">
        <v>0</v>
      </c>
      <c r="O230" t="n">
        <v>0</v>
      </c>
      <c r="P230" t="n">
        <v>0</v>
      </c>
      <c r="Q230" t="n">
        <v>0</v>
      </c>
      <c r="R230" s="2" t="inlineStr"/>
    </row>
    <row r="231" ht="15" customHeight="1">
      <c r="A231" t="inlineStr">
        <is>
          <t>A 29504-2025</t>
        </is>
      </c>
      <c r="B231" s="1" t="n">
        <v>45825</v>
      </c>
      <c r="C231" s="1" t="n">
        <v>45886</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29516-2025</t>
        </is>
      </c>
      <c r="B232" s="1" t="n">
        <v>45825.31756944444</v>
      </c>
      <c r="C232" s="1" t="n">
        <v>45886</v>
      </c>
      <c r="D232" t="inlineStr">
        <is>
          <t>NORRBOTTENS LÄN</t>
        </is>
      </c>
      <c r="E232" t="inlineStr">
        <is>
          <t>ARVIDSJAUR</t>
        </is>
      </c>
      <c r="F232" t="inlineStr">
        <is>
          <t>Sveaskog</t>
        </is>
      </c>
      <c r="G232" t="n">
        <v>17.1</v>
      </c>
      <c r="H232" t="n">
        <v>0</v>
      </c>
      <c r="I232" t="n">
        <v>0</v>
      </c>
      <c r="J232" t="n">
        <v>0</v>
      </c>
      <c r="K232" t="n">
        <v>0</v>
      </c>
      <c r="L232" t="n">
        <v>0</v>
      </c>
      <c r="M232" t="n">
        <v>0</v>
      </c>
      <c r="N232" t="n">
        <v>0</v>
      </c>
      <c r="O232" t="n">
        <v>0</v>
      </c>
      <c r="P232" t="n">
        <v>0</v>
      </c>
      <c r="Q232" t="n">
        <v>0</v>
      </c>
      <c r="R232" s="2" t="inlineStr"/>
    </row>
    <row r="233" ht="15" customHeight="1">
      <c r="A233" t="inlineStr">
        <is>
          <t>A 29514-2025</t>
        </is>
      </c>
      <c r="B233" s="1" t="n">
        <v>45825.3119212963</v>
      </c>
      <c r="C233" s="1" t="n">
        <v>45886</v>
      </c>
      <c r="D233" t="inlineStr">
        <is>
          <t>NORRBOTTENS LÄN</t>
        </is>
      </c>
      <c r="E233" t="inlineStr">
        <is>
          <t>ARVIDSJAUR</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36489-2025</t>
        </is>
      </c>
      <c r="B234" s="1" t="n">
        <v>45869.52704861111</v>
      </c>
      <c r="C234" s="1" t="n">
        <v>45886</v>
      </c>
      <c r="D234" t="inlineStr">
        <is>
          <t>NORRBOTTENS LÄN</t>
        </is>
      </c>
      <c r="E234" t="inlineStr">
        <is>
          <t>ARVIDSJAUR</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25599-2024</t>
        </is>
      </c>
      <c r="B235" s="1" t="n">
        <v>45463.62568287037</v>
      </c>
      <c r="C235" s="1" t="n">
        <v>45886</v>
      </c>
      <c r="D235" t="inlineStr">
        <is>
          <t>NORRBOTTENS LÄN</t>
        </is>
      </c>
      <c r="E235" t="inlineStr">
        <is>
          <t>ARVIDSJAUR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30383-2025</t>
        </is>
      </c>
      <c r="B236" s="1" t="n">
        <v>45827.57081018519</v>
      </c>
      <c r="C236" s="1" t="n">
        <v>45886</v>
      </c>
      <c r="D236" t="inlineStr">
        <is>
          <t>NORRBOTTENS LÄN</t>
        </is>
      </c>
      <c r="E236" t="inlineStr">
        <is>
          <t>ARVIDSJAUR</t>
        </is>
      </c>
      <c r="G236" t="n">
        <v>20</v>
      </c>
      <c r="H236" t="n">
        <v>0</v>
      </c>
      <c r="I236" t="n">
        <v>0</v>
      </c>
      <c r="J236" t="n">
        <v>0</v>
      </c>
      <c r="K236" t="n">
        <v>0</v>
      </c>
      <c r="L236" t="n">
        <v>0</v>
      </c>
      <c r="M236" t="n">
        <v>0</v>
      </c>
      <c r="N236" t="n">
        <v>0</v>
      </c>
      <c r="O236" t="n">
        <v>0</v>
      </c>
      <c r="P236" t="n">
        <v>0</v>
      </c>
      <c r="Q236" t="n">
        <v>0</v>
      </c>
      <c r="R236" s="2" t="inlineStr"/>
    </row>
    <row r="237" ht="15" customHeight="1">
      <c r="A237" t="inlineStr">
        <is>
          <t>A 38472-2024</t>
        </is>
      </c>
      <c r="B237" s="1" t="n">
        <v>45546</v>
      </c>
      <c r="C237" s="1" t="n">
        <v>45886</v>
      </c>
      <c r="D237" t="inlineStr">
        <is>
          <t>NORRBOTTENS LÄN</t>
        </is>
      </c>
      <c r="E237" t="inlineStr">
        <is>
          <t>ARVIDSJAUR</t>
        </is>
      </c>
      <c r="G237" t="n">
        <v>3.6</v>
      </c>
      <c r="H237" t="n">
        <v>0</v>
      </c>
      <c r="I237" t="n">
        <v>0</v>
      </c>
      <c r="J237" t="n">
        <v>0</v>
      </c>
      <c r="K237" t="n">
        <v>0</v>
      </c>
      <c r="L237" t="n">
        <v>0</v>
      </c>
      <c r="M237" t="n">
        <v>0</v>
      </c>
      <c r="N237" t="n">
        <v>0</v>
      </c>
      <c r="O237" t="n">
        <v>0</v>
      </c>
      <c r="P237" t="n">
        <v>0</v>
      </c>
      <c r="Q237" t="n">
        <v>0</v>
      </c>
      <c r="R237" s="2" t="inlineStr"/>
    </row>
    <row r="238" ht="15" customHeight="1">
      <c r="A238" t="inlineStr">
        <is>
          <t>A 32605-2024</t>
        </is>
      </c>
      <c r="B238" s="1" t="n">
        <v>45513</v>
      </c>
      <c r="C238" s="1" t="n">
        <v>45886</v>
      </c>
      <c r="D238" t="inlineStr">
        <is>
          <t>NORRBOTTENS LÄN</t>
        </is>
      </c>
      <c r="E238" t="inlineStr">
        <is>
          <t>ARVIDSJAUR</t>
        </is>
      </c>
      <c r="F238" t="inlineStr">
        <is>
          <t>Sveaskog</t>
        </is>
      </c>
      <c r="G238" t="n">
        <v>1.2</v>
      </c>
      <c r="H238" t="n">
        <v>0</v>
      </c>
      <c r="I238" t="n">
        <v>0</v>
      </c>
      <c r="J238" t="n">
        <v>0</v>
      </c>
      <c r="K238" t="n">
        <v>0</v>
      </c>
      <c r="L238" t="n">
        <v>0</v>
      </c>
      <c r="M238" t="n">
        <v>0</v>
      </c>
      <c r="N238" t="n">
        <v>0</v>
      </c>
      <c r="O238" t="n">
        <v>0</v>
      </c>
      <c r="P238" t="n">
        <v>0</v>
      </c>
      <c r="Q238" t="n">
        <v>0</v>
      </c>
      <c r="R238" s="2" t="inlineStr"/>
    </row>
    <row r="239" ht="15" customHeight="1">
      <c r="A239" t="inlineStr">
        <is>
          <t>A 3265-2024</t>
        </is>
      </c>
      <c r="B239" s="1" t="n">
        <v>45316</v>
      </c>
      <c r="C239" s="1" t="n">
        <v>45886</v>
      </c>
      <c r="D239" t="inlineStr">
        <is>
          <t>NORRBOTTENS LÄN</t>
        </is>
      </c>
      <c r="E239" t="inlineStr">
        <is>
          <t>ARVIDSJAUR</t>
        </is>
      </c>
      <c r="F239" t="inlineStr">
        <is>
          <t>Allmännings- och besparingsskogar</t>
        </is>
      </c>
      <c r="G239" t="n">
        <v>0.5</v>
      </c>
      <c r="H239" t="n">
        <v>0</v>
      </c>
      <c r="I239" t="n">
        <v>0</v>
      </c>
      <c r="J239" t="n">
        <v>0</v>
      </c>
      <c r="K239" t="n">
        <v>0</v>
      </c>
      <c r="L239" t="n">
        <v>0</v>
      </c>
      <c r="M239" t="n">
        <v>0</v>
      </c>
      <c r="N239" t="n">
        <v>0</v>
      </c>
      <c r="O239" t="n">
        <v>0</v>
      </c>
      <c r="P239" t="n">
        <v>0</v>
      </c>
      <c r="Q239" t="n">
        <v>0</v>
      </c>
      <c r="R239" s="2" t="inlineStr"/>
    </row>
    <row r="240" ht="15" customHeight="1">
      <c r="A240" t="inlineStr">
        <is>
          <t>A 14345-2025</t>
        </is>
      </c>
      <c r="B240" s="1" t="n">
        <v>45741.34417824074</v>
      </c>
      <c r="C240" s="1" t="n">
        <v>45886</v>
      </c>
      <c r="D240" t="inlineStr">
        <is>
          <t>NORRBOTTENS LÄN</t>
        </is>
      </c>
      <c r="E240" t="inlineStr">
        <is>
          <t>ARVIDSJAUR</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11492-2025</t>
        </is>
      </c>
      <c r="B241" s="1" t="n">
        <v>45726</v>
      </c>
      <c r="C241" s="1" t="n">
        <v>45886</v>
      </c>
      <c r="D241" t="inlineStr">
        <is>
          <t>NORRBOTTENS LÄN</t>
        </is>
      </c>
      <c r="E241" t="inlineStr">
        <is>
          <t>ARVIDSJAUR</t>
        </is>
      </c>
      <c r="F241" t="inlineStr">
        <is>
          <t>Allmännings- och besparingsskogar</t>
        </is>
      </c>
      <c r="G241" t="n">
        <v>14.2</v>
      </c>
      <c r="H241" t="n">
        <v>0</v>
      </c>
      <c r="I241" t="n">
        <v>0</v>
      </c>
      <c r="J241" t="n">
        <v>0</v>
      </c>
      <c r="K241" t="n">
        <v>0</v>
      </c>
      <c r="L241" t="n">
        <v>0</v>
      </c>
      <c r="M241" t="n">
        <v>0</v>
      </c>
      <c r="N241" t="n">
        <v>0</v>
      </c>
      <c r="O241" t="n">
        <v>0</v>
      </c>
      <c r="P241" t="n">
        <v>0</v>
      </c>
      <c r="Q241" t="n">
        <v>0</v>
      </c>
      <c r="R241" s="2" t="inlineStr"/>
    </row>
    <row r="242" ht="15" customHeight="1">
      <c r="A242" t="inlineStr">
        <is>
          <t>A 11494-2025</t>
        </is>
      </c>
      <c r="B242" s="1" t="n">
        <v>45726</v>
      </c>
      <c r="C242" s="1" t="n">
        <v>45886</v>
      </c>
      <c r="D242" t="inlineStr">
        <is>
          <t>NORRBOTTENS LÄN</t>
        </is>
      </c>
      <c r="E242" t="inlineStr">
        <is>
          <t>ARVIDSJAUR</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2116-2024</t>
        </is>
      </c>
      <c r="B243" s="1" t="n">
        <v>45309</v>
      </c>
      <c r="C243" s="1" t="n">
        <v>45886</v>
      </c>
      <c r="D243" t="inlineStr">
        <is>
          <t>NORRBOTTENS LÄN</t>
        </is>
      </c>
      <c r="E243" t="inlineStr">
        <is>
          <t>ARVIDSJAUR</t>
        </is>
      </c>
      <c r="G243" t="n">
        <v>0.9</v>
      </c>
      <c r="H243" t="n">
        <v>0</v>
      </c>
      <c r="I243" t="n">
        <v>0</v>
      </c>
      <c r="J243" t="n">
        <v>0</v>
      </c>
      <c r="K243" t="n">
        <v>0</v>
      </c>
      <c r="L243" t="n">
        <v>0</v>
      </c>
      <c r="M243" t="n">
        <v>0</v>
      </c>
      <c r="N243" t="n">
        <v>0</v>
      </c>
      <c r="O243" t="n">
        <v>0</v>
      </c>
      <c r="P243" t="n">
        <v>0</v>
      </c>
      <c r="Q243" t="n">
        <v>0</v>
      </c>
      <c r="R243" s="2" t="inlineStr"/>
    </row>
    <row r="244" ht="15" customHeight="1">
      <c r="A244" t="inlineStr">
        <is>
          <t>A 11540-2025</t>
        </is>
      </c>
      <c r="B244" s="1" t="n">
        <v>45726</v>
      </c>
      <c r="C244" s="1" t="n">
        <v>45886</v>
      </c>
      <c r="D244" t="inlineStr">
        <is>
          <t>NORRBOTTENS LÄN</t>
        </is>
      </c>
      <c r="E244" t="inlineStr">
        <is>
          <t>ARVIDSJAUR</t>
        </is>
      </c>
      <c r="F244" t="inlineStr">
        <is>
          <t>Allmännings- och besparingsskogar</t>
        </is>
      </c>
      <c r="G244" t="n">
        <v>4.7</v>
      </c>
      <c r="H244" t="n">
        <v>0</v>
      </c>
      <c r="I244" t="n">
        <v>0</v>
      </c>
      <c r="J244" t="n">
        <v>0</v>
      </c>
      <c r="K244" t="n">
        <v>0</v>
      </c>
      <c r="L244" t="n">
        <v>0</v>
      </c>
      <c r="M244" t="n">
        <v>0</v>
      </c>
      <c r="N244" t="n">
        <v>0</v>
      </c>
      <c r="O244" t="n">
        <v>0</v>
      </c>
      <c r="P244" t="n">
        <v>0</v>
      </c>
      <c r="Q244" t="n">
        <v>0</v>
      </c>
      <c r="R244" s="2" t="inlineStr"/>
    </row>
    <row r="245" ht="15" customHeight="1">
      <c r="A245" t="inlineStr">
        <is>
          <t>A 10130-2024</t>
        </is>
      </c>
      <c r="B245" s="1" t="n">
        <v>45364</v>
      </c>
      <c r="C245" s="1" t="n">
        <v>45886</v>
      </c>
      <c r="D245" t="inlineStr">
        <is>
          <t>NORRBOTTENS LÄN</t>
        </is>
      </c>
      <c r="E245" t="inlineStr">
        <is>
          <t>ARVIDSJAUR</t>
        </is>
      </c>
      <c r="F245" t="inlineStr">
        <is>
          <t>Sveaskog</t>
        </is>
      </c>
      <c r="G245" t="n">
        <v>22.5</v>
      </c>
      <c r="H245" t="n">
        <v>0</v>
      </c>
      <c r="I245" t="n">
        <v>0</v>
      </c>
      <c r="J245" t="n">
        <v>0</v>
      </c>
      <c r="K245" t="n">
        <v>0</v>
      </c>
      <c r="L245" t="n">
        <v>0</v>
      </c>
      <c r="M245" t="n">
        <v>0</v>
      </c>
      <c r="N245" t="n">
        <v>0</v>
      </c>
      <c r="O245" t="n">
        <v>0</v>
      </c>
      <c r="P245" t="n">
        <v>0</v>
      </c>
      <c r="Q245" t="n">
        <v>0</v>
      </c>
      <c r="R245" s="2" t="inlineStr"/>
    </row>
    <row r="246" ht="15" customHeight="1">
      <c r="A246" t="inlineStr">
        <is>
          <t>A 3203-2024</t>
        </is>
      </c>
      <c r="B246" s="1" t="n">
        <v>45316</v>
      </c>
      <c r="C246" s="1" t="n">
        <v>45886</v>
      </c>
      <c r="D246" t="inlineStr">
        <is>
          <t>NORRBOTTENS LÄN</t>
        </is>
      </c>
      <c r="E246" t="inlineStr">
        <is>
          <t>ARVIDSJAUR</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19232-2025</t>
        </is>
      </c>
      <c r="B247" s="1" t="n">
        <v>45769</v>
      </c>
      <c r="C247" s="1" t="n">
        <v>45886</v>
      </c>
      <c r="D247" t="inlineStr">
        <is>
          <t>NORRBOTTENS LÄN</t>
        </is>
      </c>
      <c r="E247" t="inlineStr">
        <is>
          <t>ARVIDSJAUR</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49141-2022</t>
        </is>
      </c>
      <c r="B248" s="1" t="n">
        <v>44860</v>
      </c>
      <c r="C248" s="1" t="n">
        <v>45886</v>
      </c>
      <c r="D248" t="inlineStr">
        <is>
          <t>NORRBOTTENS LÄN</t>
        </is>
      </c>
      <c r="E248" t="inlineStr">
        <is>
          <t>ARVIDSJAUR</t>
        </is>
      </c>
      <c r="G248" t="n">
        <v>4</v>
      </c>
      <c r="H248" t="n">
        <v>0</v>
      </c>
      <c r="I248" t="n">
        <v>0</v>
      </c>
      <c r="J248" t="n">
        <v>0</v>
      </c>
      <c r="K248" t="n">
        <v>0</v>
      </c>
      <c r="L248" t="n">
        <v>0</v>
      </c>
      <c r="M248" t="n">
        <v>0</v>
      </c>
      <c r="N248" t="n">
        <v>0</v>
      </c>
      <c r="O248" t="n">
        <v>0</v>
      </c>
      <c r="P248" t="n">
        <v>0</v>
      </c>
      <c r="Q248" t="n">
        <v>0</v>
      </c>
      <c r="R248" s="2" t="inlineStr"/>
    </row>
    <row r="249" ht="15" customHeight="1">
      <c r="A249" t="inlineStr">
        <is>
          <t>A 37191-2025</t>
        </is>
      </c>
      <c r="B249" s="1" t="n">
        <v>45875.64945601852</v>
      </c>
      <c r="C249" s="1" t="n">
        <v>45886</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29674-2024</t>
        </is>
      </c>
      <c r="B250" s="1" t="n">
        <v>45484.94219907407</v>
      </c>
      <c r="C250" s="1" t="n">
        <v>45886</v>
      </c>
      <c r="D250" t="inlineStr">
        <is>
          <t>NORRBOTTENS LÄN</t>
        </is>
      </c>
      <c r="E250" t="inlineStr">
        <is>
          <t>ARVIDSJAUR</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29368-2024</t>
        </is>
      </c>
      <c r="B251" s="1" t="n">
        <v>45483.56891203704</v>
      </c>
      <c r="C251" s="1" t="n">
        <v>45886</v>
      </c>
      <c r="D251" t="inlineStr">
        <is>
          <t>NORRBOTTENS LÄN</t>
        </is>
      </c>
      <c r="E251" t="inlineStr">
        <is>
          <t>ARVIDSJAUR</t>
        </is>
      </c>
      <c r="F251" t="inlineStr">
        <is>
          <t>Sveaskog</t>
        </is>
      </c>
      <c r="G251" t="n">
        <v>30.6</v>
      </c>
      <c r="H251" t="n">
        <v>0</v>
      </c>
      <c r="I251" t="n">
        <v>0</v>
      </c>
      <c r="J251" t="n">
        <v>0</v>
      </c>
      <c r="K251" t="n">
        <v>0</v>
      </c>
      <c r="L251" t="n">
        <v>0</v>
      </c>
      <c r="M251" t="n">
        <v>0</v>
      </c>
      <c r="N251" t="n">
        <v>0</v>
      </c>
      <c r="O251" t="n">
        <v>0</v>
      </c>
      <c r="P251" t="n">
        <v>0</v>
      </c>
      <c r="Q251" t="n">
        <v>0</v>
      </c>
      <c r="R251" s="2" t="inlineStr"/>
    </row>
    <row r="252" ht="15" customHeight="1">
      <c r="A252" t="inlineStr">
        <is>
          <t>A 59926-2020</t>
        </is>
      </c>
      <c r="B252" s="1" t="n">
        <v>44151</v>
      </c>
      <c r="C252" s="1" t="n">
        <v>45886</v>
      </c>
      <c r="D252" t="inlineStr">
        <is>
          <t>NORRBOTTENS LÄN</t>
        </is>
      </c>
      <c r="E252" t="inlineStr">
        <is>
          <t>ARVIDSJAUR</t>
        </is>
      </c>
      <c r="G252" t="n">
        <v>3.6</v>
      </c>
      <c r="H252" t="n">
        <v>0</v>
      </c>
      <c r="I252" t="n">
        <v>0</v>
      </c>
      <c r="J252" t="n">
        <v>0</v>
      </c>
      <c r="K252" t="n">
        <v>0</v>
      </c>
      <c r="L252" t="n">
        <v>0</v>
      </c>
      <c r="M252" t="n">
        <v>0</v>
      </c>
      <c r="N252" t="n">
        <v>0</v>
      </c>
      <c r="O252" t="n">
        <v>0</v>
      </c>
      <c r="P252" t="n">
        <v>0</v>
      </c>
      <c r="Q252" t="n">
        <v>0</v>
      </c>
      <c r="R252" s="2" t="inlineStr"/>
    </row>
    <row r="253" ht="15" customHeight="1">
      <c r="A253" t="inlineStr">
        <is>
          <t>A 28313-2023</t>
        </is>
      </c>
      <c r="B253" s="1" t="n">
        <v>45099</v>
      </c>
      <c r="C253" s="1" t="n">
        <v>45886</v>
      </c>
      <c r="D253" t="inlineStr">
        <is>
          <t>NORRBOTTENS LÄN</t>
        </is>
      </c>
      <c r="E253" t="inlineStr">
        <is>
          <t>ARVIDSJAUR</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37454-2025</t>
        </is>
      </c>
      <c r="B254" s="1" t="n">
        <v>45877.56238425926</v>
      </c>
      <c r="C254" s="1" t="n">
        <v>45886</v>
      </c>
      <c r="D254" t="inlineStr">
        <is>
          <t>NORRBOTTENS LÄN</t>
        </is>
      </c>
      <c r="E254" t="inlineStr">
        <is>
          <t>ARVIDSJAUR</t>
        </is>
      </c>
      <c r="F254" t="inlineStr">
        <is>
          <t>Sveaskog</t>
        </is>
      </c>
      <c r="G254" t="n">
        <v>23.4</v>
      </c>
      <c r="H254" t="n">
        <v>0</v>
      </c>
      <c r="I254" t="n">
        <v>0</v>
      </c>
      <c r="J254" t="n">
        <v>0</v>
      </c>
      <c r="K254" t="n">
        <v>0</v>
      </c>
      <c r="L254" t="n">
        <v>0</v>
      </c>
      <c r="M254" t="n">
        <v>0</v>
      </c>
      <c r="N254" t="n">
        <v>0</v>
      </c>
      <c r="O254" t="n">
        <v>0</v>
      </c>
      <c r="P254" t="n">
        <v>0</v>
      </c>
      <c r="Q254" t="n">
        <v>0</v>
      </c>
      <c r="R254" s="2" t="inlineStr"/>
    </row>
    <row r="255" ht="15" customHeight="1">
      <c r="A255" t="inlineStr">
        <is>
          <t>A 48373-2024</t>
        </is>
      </c>
      <c r="B255" s="1" t="n">
        <v>45590</v>
      </c>
      <c r="C255" s="1" t="n">
        <v>45886</v>
      </c>
      <c r="D255" t="inlineStr">
        <is>
          <t>NORRBOTTENS LÄN</t>
        </is>
      </c>
      <c r="E255" t="inlineStr">
        <is>
          <t>ARVIDSJAUR</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5702-2024</t>
        </is>
      </c>
      <c r="B256" s="1" t="n">
        <v>45334</v>
      </c>
      <c r="C256" s="1" t="n">
        <v>45886</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32990-2025</t>
        </is>
      </c>
      <c r="B257" s="1" t="n">
        <v>45840.3191087963</v>
      </c>
      <c r="C257" s="1" t="n">
        <v>45886</v>
      </c>
      <c r="D257" t="inlineStr">
        <is>
          <t>NORRBOTTENS LÄN</t>
        </is>
      </c>
      <c r="E257" t="inlineStr">
        <is>
          <t>ARVIDSJAUR</t>
        </is>
      </c>
      <c r="G257" t="n">
        <v>3</v>
      </c>
      <c r="H257" t="n">
        <v>0</v>
      </c>
      <c r="I257" t="n">
        <v>0</v>
      </c>
      <c r="J257" t="n">
        <v>0</v>
      </c>
      <c r="K257" t="n">
        <v>0</v>
      </c>
      <c r="L257" t="n">
        <v>0</v>
      </c>
      <c r="M257" t="n">
        <v>0</v>
      </c>
      <c r="N257" t="n">
        <v>0</v>
      </c>
      <c r="O257" t="n">
        <v>0</v>
      </c>
      <c r="P257" t="n">
        <v>0</v>
      </c>
      <c r="Q257" t="n">
        <v>0</v>
      </c>
      <c r="R257" s="2" t="inlineStr"/>
    </row>
    <row r="258" ht="15" customHeight="1">
      <c r="A258" t="inlineStr">
        <is>
          <t>A 33174-2025</t>
        </is>
      </c>
      <c r="B258" s="1" t="n">
        <v>45840.585625</v>
      </c>
      <c r="C258" s="1" t="n">
        <v>45886</v>
      </c>
      <c r="D258" t="inlineStr">
        <is>
          <t>NORRBOTTENS LÄN</t>
        </is>
      </c>
      <c r="E258" t="inlineStr">
        <is>
          <t>ARVIDSJAUR</t>
        </is>
      </c>
      <c r="F258" t="inlineStr">
        <is>
          <t>Sveaskog</t>
        </is>
      </c>
      <c r="G258" t="n">
        <v>26.3</v>
      </c>
      <c r="H258" t="n">
        <v>0</v>
      </c>
      <c r="I258" t="n">
        <v>0</v>
      </c>
      <c r="J258" t="n">
        <v>0</v>
      </c>
      <c r="K258" t="n">
        <v>0</v>
      </c>
      <c r="L258" t="n">
        <v>0</v>
      </c>
      <c r="M258" t="n">
        <v>0</v>
      </c>
      <c r="N258" t="n">
        <v>0</v>
      </c>
      <c r="O258" t="n">
        <v>0</v>
      </c>
      <c r="P258" t="n">
        <v>0</v>
      </c>
      <c r="Q258" t="n">
        <v>0</v>
      </c>
      <c r="R258" s="2" t="inlineStr"/>
    </row>
    <row r="259" ht="15" customHeight="1">
      <c r="A259" t="inlineStr">
        <is>
          <t>A 37788-2025</t>
        </is>
      </c>
      <c r="B259" s="1" t="n">
        <v>45881.30692129629</v>
      </c>
      <c r="C259" s="1" t="n">
        <v>45886</v>
      </c>
      <c r="D259" t="inlineStr">
        <is>
          <t>NORRBOTTENS LÄN</t>
        </is>
      </c>
      <c r="E259" t="inlineStr">
        <is>
          <t>ARVIDSJAUR</t>
        </is>
      </c>
      <c r="F259" t="inlineStr">
        <is>
          <t>Sveaskog</t>
        </is>
      </c>
      <c r="G259" t="n">
        <v>13.8</v>
      </c>
      <c r="H259" t="n">
        <v>0</v>
      </c>
      <c r="I259" t="n">
        <v>0</v>
      </c>
      <c r="J259" t="n">
        <v>0</v>
      </c>
      <c r="K259" t="n">
        <v>0</v>
      </c>
      <c r="L259" t="n">
        <v>0</v>
      </c>
      <c r="M259" t="n">
        <v>0</v>
      </c>
      <c r="N259" t="n">
        <v>0</v>
      </c>
      <c r="O259" t="n">
        <v>0</v>
      </c>
      <c r="P259" t="n">
        <v>0</v>
      </c>
      <c r="Q259" t="n">
        <v>0</v>
      </c>
      <c r="R259" s="2" t="inlineStr"/>
    </row>
    <row r="260" ht="15" customHeight="1">
      <c r="A260" t="inlineStr">
        <is>
          <t>A 33222-2025</t>
        </is>
      </c>
      <c r="B260" s="1" t="n">
        <v>45840</v>
      </c>
      <c r="C260" s="1" t="n">
        <v>45886</v>
      </c>
      <c r="D260" t="inlineStr">
        <is>
          <t>NORRBOTTENS LÄN</t>
        </is>
      </c>
      <c r="E260" t="inlineStr">
        <is>
          <t>ARVIDSJAUR</t>
        </is>
      </c>
      <c r="F260" t="inlineStr">
        <is>
          <t>Sveaskog</t>
        </is>
      </c>
      <c r="G260" t="n">
        <v>6.5</v>
      </c>
      <c r="H260" t="n">
        <v>0</v>
      </c>
      <c r="I260" t="n">
        <v>0</v>
      </c>
      <c r="J260" t="n">
        <v>0</v>
      </c>
      <c r="K260" t="n">
        <v>0</v>
      </c>
      <c r="L260" t="n">
        <v>0</v>
      </c>
      <c r="M260" t="n">
        <v>0</v>
      </c>
      <c r="N260" t="n">
        <v>0</v>
      </c>
      <c r="O260" t="n">
        <v>0</v>
      </c>
      <c r="P260" t="n">
        <v>0</v>
      </c>
      <c r="Q260" t="n">
        <v>0</v>
      </c>
      <c r="R260" s="2" t="inlineStr"/>
    </row>
    <row r="261" ht="15" customHeight="1">
      <c r="A261" t="inlineStr">
        <is>
          <t>A 37790-2025</t>
        </is>
      </c>
      <c r="B261" s="1" t="n">
        <v>45881.31024305556</v>
      </c>
      <c r="C261" s="1" t="n">
        <v>45886</v>
      </c>
      <c r="D261" t="inlineStr">
        <is>
          <t>NORRBOTTENS LÄN</t>
        </is>
      </c>
      <c r="E261" t="inlineStr">
        <is>
          <t>ARVIDSJAUR</t>
        </is>
      </c>
      <c r="F261" t="inlineStr">
        <is>
          <t>Sveaskog</t>
        </is>
      </c>
      <c r="G261" t="n">
        <v>6</v>
      </c>
      <c r="H261" t="n">
        <v>0</v>
      </c>
      <c r="I261" t="n">
        <v>0</v>
      </c>
      <c r="J261" t="n">
        <v>0</v>
      </c>
      <c r="K261" t="n">
        <v>0</v>
      </c>
      <c r="L261" t="n">
        <v>0</v>
      </c>
      <c r="M261" t="n">
        <v>0</v>
      </c>
      <c r="N261" t="n">
        <v>0</v>
      </c>
      <c r="O261" t="n">
        <v>0</v>
      </c>
      <c r="P261" t="n">
        <v>0</v>
      </c>
      <c r="Q261" t="n">
        <v>0</v>
      </c>
      <c r="R261" s="2" t="inlineStr"/>
    </row>
    <row r="262" ht="15" customHeight="1">
      <c r="A262" t="inlineStr">
        <is>
          <t>A 50527-2024</t>
        </is>
      </c>
      <c r="B262" s="1" t="n">
        <v>45601.56194444445</v>
      </c>
      <c r="C262" s="1" t="n">
        <v>45886</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37789-2025</t>
        </is>
      </c>
      <c r="B263" s="1" t="n">
        <v>45881.30875</v>
      </c>
      <c r="C263" s="1" t="n">
        <v>45886</v>
      </c>
      <c r="D263" t="inlineStr">
        <is>
          <t>NORRBOTTENS LÄN</t>
        </is>
      </c>
      <c r="E263" t="inlineStr">
        <is>
          <t>ARVIDSJAUR</t>
        </is>
      </c>
      <c r="F263" t="inlineStr">
        <is>
          <t>Sveaskog</t>
        </is>
      </c>
      <c r="G263" t="n">
        <v>6.9</v>
      </c>
      <c r="H263" t="n">
        <v>0</v>
      </c>
      <c r="I263" t="n">
        <v>0</v>
      </c>
      <c r="J263" t="n">
        <v>0</v>
      </c>
      <c r="K263" t="n">
        <v>0</v>
      </c>
      <c r="L263" t="n">
        <v>0</v>
      </c>
      <c r="M263" t="n">
        <v>0</v>
      </c>
      <c r="N263" t="n">
        <v>0</v>
      </c>
      <c r="O263" t="n">
        <v>0</v>
      </c>
      <c r="P263" t="n">
        <v>0</v>
      </c>
      <c r="Q263" t="n">
        <v>0</v>
      </c>
      <c r="R263" s="2" t="inlineStr"/>
    </row>
    <row r="264" ht="15" customHeight="1">
      <c r="A264" t="inlineStr">
        <is>
          <t>A 22691-2024</t>
        </is>
      </c>
      <c r="B264" s="1" t="n">
        <v>45448</v>
      </c>
      <c r="C264" s="1" t="n">
        <v>45886</v>
      </c>
      <c r="D264" t="inlineStr">
        <is>
          <t>NORRBOTTENS LÄN</t>
        </is>
      </c>
      <c r="E264" t="inlineStr">
        <is>
          <t>ARVIDSJAUR</t>
        </is>
      </c>
      <c r="F264" t="inlineStr">
        <is>
          <t>Sveaskog</t>
        </is>
      </c>
      <c r="G264" t="n">
        <v>11.2</v>
      </c>
      <c r="H264" t="n">
        <v>0</v>
      </c>
      <c r="I264" t="n">
        <v>0</v>
      </c>
      <c r="J264" t="n">
        <v>0</v>
      </c>
      <c r="K264" t="n">
        <v>0</v>
      </c>
      <c r="L264" t="n">
        <v>0</v>
      </c>
      <c r="M264" t="n">
        <v>0</v>
      </c>
      <c r="N264" t="n">
        <v>0</v>
      </c>
      <c r="O264" t="n">
        <v>0</v>
      </c>
      <c r="P264" t="n">
        <v>0</v>
      </c>
      <c r="Q264" t="n">
        <v>0</v>
      </c>
      <c r="R264" s="2" t="inlineStr"/>
    </row>
    <row r="265" ht="15" customHeight="1">
      <c r="A265" t="inlineStr">
        <is>
          <t>A 52645-2023</t>
        </is>
      </c>
      <c r="B265" s="1" t="n">
        <v>45225</v>
      </c>
      <c r="C265" s="1" t="n">
        <v>45886</v>
      </c>
      <c r="D265" t="inlineStr">
        <is>
          <t>NORRBOTTENS LÄN</t>
        </is>
      </c>
      <c r="E265" t="inlineStr">
        <is>
          <t>ARVIDSJAUR</t>
        </is>
      </c>
      <c r="G265" t="n">
        <v>2.7</v>
      </c>
      <c r="H265" t="n">
        <v>0</v>
      </c>
      <c r="I265" t="n">
        <v>0</v>
      </c>
      <c r="J265" t="n">
        <v>0</v>
      </c>
      <c r="K265" t="n">
        <v>0</v>
      </c>
      <c r="L265" t="n">
        <v>0</v>
      </c>
      <c r="M265" t="n">
        <v>0</v>
      </c>
      <c r="N265" t="n">
        <v>0</v>
      </c>
      <c r="O265" t="n">
        <v>0</v>
      </c>
      <c r="P265" t="n">
        <v>0</v>
      </c>
      <c r="Q265" t="n">
        <v>0</v>
      </c>
      <c r="R265" s="2" t="inlineStr"/>
    </row>
    <row r="266" ht="15" customHeight="1">
      <c r="A266" t="inlineStr">
        <is>
          <t>A 37649-2024</t>
        </is>
      </c>
      <c r="B266" s="1" t="n">
        <v>45541</v>
      </c>
      <c r="C266" s="1" t="n">
        <v>45886</v>
      </c>
      <c r="D266" t="inlineStr">
        <is>
          <t>NORRBOTTENS LÄN</t>
        </is>
      </c>
      <c r="E266" t="inlineStr">
        <is>
          <t>ARVIDSJAUR</t>
        </is>
      </c>
      <c r="F266" t="inlineStr">
        <is>
          <t>Allmännings- och besparingsskogar</t>
        </is>
      </c>
      <c r="G266" t="n">
        <v>6.1</v>
      </c>
      <c r="H266" t="n">
        <v>0</v>
      </c>
      <c r="I266" t="n">
        <v>0</v>
      </c>
      <c r="J266" t="n">
        <v>0</v>
      </c>
      <c r="K266" t="n">
        <v>0</v>
      </c>
      <c r="L266" t="n">
        <v>0</v>
      </c>
      <c r="M266" t="n">
        <v>0</v>
      </c>
      <c r="N266" t="n">
        <v>0</v>
      </c>
      <c r="O266" t="n">
        <v>0</v>
      </c>
      <c r="P266" t="n">
        <v>0</v>
      </c>
      <c r="Q266" t="n">
        <v>0</v>
      </c>
      <c r="R266" s="2" t="inlineStr"/>
      <c r="U266">
        <f>HYPERLINK("https://klasma.github.io/Logging_2505/knärot/A 37649-2024 karta knärot.png", "A 37649-2024")</f>
        <v/>
      </c>
      <c r="V266">
        <f>HYPERLINK("https://klasma.github.io/Logging_2505/klagomål/A 37649-2024 FSC-klagomål.docx", "A 37649-2024")</f>
        <v/>
      </c>
      <c r="W266">
        <f>HYPERLINK("https://klasma.github.io/Logging_2505/klagomålsmail/A 37649-2024 FSC-klagomål mail.docx", "A 37649-2024")</f>
        <v/>
      </c>
      <c r="X266">
        <f>HYPERLINK("https://klasma.github.io/Logging_2505/tillsyn/A 37649-2024 tillsynsbegäran.docx", "A 37649-2024")</f>
        <v/>
      </c>
      <c r="Y266">
        <f>HYPERLINK("https://klasma.github.io/Logging_2505/tillsynsmail/A 37649-2024 tillsynsbegäran mail.docx", "A 37649-2024")</f>
        <v/>
      </c>
    </row>
    <row r="267" ht="15" customHeight="1">
      <c r="A267" t="inlineStr">
        <is>
          <t>A 41659-2024</t>
        </is>
      </c>
      <c r="B267" s="1" t="n">
        <v>45560</v>
      </c>
      <c r="C267" s="1" t="n">
        <v>45886</v>
      </c>
      <c r="D267" t="inlineStr">
        <is>
          <t>NORRBOTTENS LÄN</t>
        </is>
      </c>
      <c r="E267" t="inlineStr">
        <is>
          <t>ARVIDSJAUR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37448-2025</t>
        </is>
      </c>
      <c r="B268" s="1" t="n">
        <v>45877</v>
      </c>
      <c r="C268" s="1" t="n">
        <v>45886</v>
      </c>
      <c r="D268" t="inlineStr">
        <is>
          <t>NORRBOTTENS LÄN</t>
        </is>
      </c>
      <c r="E268" t="inlineStr">
        <is>
          <t>ARVIDSJAUR</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38027-2025</t>
        </is>
      </c>
      <c r="B269" s="1" t="n">
        <v>45882.34554398148</v>
      </c>
      <c r="C269" s="1" t="n">
        <v>45886</v>
      </c>
      <c r="D269" t="inlineStr">
        <is>
          <t>NORRBOTTENS LÄN</t>
        </is>
      </c>
      <c r="E269" t="inlineStr">
        <is>
          <t>ARVIDSJAUR</t>
        </is>
      </c>
      <c r="G269" t="n">
        <v>2.5</v>
      </c>
      <c r="H269" t="n">
        <v>0</v>
      </c>
      <c r="I269" t="n">
        <v>0</v>
      </c>
      <c r="J269" t="n">
        <v>0</v>
      </c>
      <c r="K269" t="n">
        <v>0</v>
      </c>
      <c r="L269" t="n">
        <v>0</v>
      </c>
      <c r="M269" t="n">
        <v>0</v>
      </c>
      <c r="N269" t="n">
        <v>0</v>
      </c>
      <c r="O269" t="n">
        <v>0</v>
      </c>
      <c r="P269" t="n">
        <v>0</v>
      </c>
      <c r="Q269" t="n">
        <v>0</v>
      </c>
      <c r="R269" s="2" t="inlineStr"/>
    </row>
    <row r="270" ht="15" customHeight="1">
      <c r="A270" t="inlineStr">
        <is>
          <t>A 10851-2025</t>
        </is>
      </c>
      <c r="B270" s="1" t="n">
        <v>45722</v>
      </c>
      <c r="C270" s="1" t="n">
        <v>45886</v>
      </c>
      <c r="D270" t="inlineStr">
        <is>
          <t>NORRBOTTENS LÄN</t>
        </is>
      </c>
      <c r="E270" t="inlineStr">
        <is>
          <t>ARVIDSJAUR</t>
        </is>
      </c>
      <c r="G270" t="n">
        <v>2</v>
      </c>
      <c r="H270" t="n">
        <v>0</v>
      </c>
      <c r="I270" t="n">
        <v>0</v>
      </c>
      <c r="J270" t="n">
        <v>0</v>
      </c>
      <c r="K270" t="n">
        <v>0</v>
      </c>
      <c r="L270" t="n">
        <v>0</v>
      </c>
      <c r="M270" t="n">
        <v>0</v>
      </c>
      <c r="N270" t="n">
        <v>0</v>
      </c>
      <c r="O270" t="n">
        <v>0</v>
      </c>
      <c r="P270" t="n">
        <v>0</v>
      </c>
      <c r="Q270" t="n">
        <v>0</v>
      </c>
      <c r="R270" s="2" t="inlineStr"/>
    </row>
    <row r="271" ht="15" customHeight="1">
      <c r="A271" t="inlineStr">
        <is>
          <t>A 36452-2024</t>
        </is>
      </c>
      <c r="B271" s="1" t="n">
        <v>45537</v>
      </c>
      <c r="C271" s="1" t="n">
        <v>45886</v>
      </c>
      <c r="D271" t="inlineStr">
        <is>
          <t>NORRBOTTENS LÄN</t>
        </is>
      </c>
      <c r="E271" t="inlineStr">
        <is>
          <t>ARVIDSJAUR</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39109-2024</t>
        </is>
      </c>
      <c r="B272" s="1" t="n">
        <v>45548.57447916667</v>
      </c>
      <c r="C272" s="1" t="n">
        <v>45886</v>
      </c>
      <c r="D272" t="inlineStr">
        <is>
          <t>NORRBOTTENS LÄN</t>
        </is>
      </c>
      <c r="E272" t="inlineStr">
        <is>
          <t>ARVIDSJAUR</t>
        </is>
      </c>
      <c r="F272" t="inlineStr">
        <is>
          <t>Sveaskog</t>
        </is>
      </c>
      <c r="G272" t="n">
        <v>35.3</v>
      </c>
      <c r="H272" t="n">
        <v>0</v>
      </c>
      <c r="I272" t="n">
        <v>0</v>
      </c>
      <c r="J272" t="n">
        <v>0</v>
      </c>
      <c r="K272" t="n">
        <v>0</v>
      </c>
      <c r="L272" t="n">
        <v>0</v>
      </c>
      <c r="M272" t="n">
        <v>0</v>
      </c>
      <c r="N272" t="n">
        <v>0</v>
      </c>
      <c r="O272" t="n">
        <v>0</v>
      </c>
      <c r="P272" t="n">
        <v>0</v>
      </c>
      <c r="Q272" t="n">
        <v>0</v>
      </c>
      <c r="R272" s="2" t="inlineStr"/>
    </row>
    <row r="273" ht="15" customHeight="1">
      <c r="A273" t="inlineStr">
        <is>
          <t>A 45034-2023</t>
        </is>
      </c>
      <c r="B273" s="1" t="n">
        <v>45191.28909722222</v>
      </c>
      <c r="C273" s="1" t="n">
        <v>45886</v>
      </c>
      <c r="D273" t="inlineStr">
        <is>
          <t>NORRBOTTENS LÄN</t>
        </is>
      </c>
      <c r="E273" t="inlineStr">
        <is>
          <t>ARVIDSJAUR</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47919-2024</t>
        </is>
      </c>
      <c r="B274" s="1" t="n">
        <v>45589</v>
      </c>
      <c r="C274" s="1" t="n">
        <v>45886</v>
      </c>
      <c r="D274" t="inlineStr">
        <is>
          <t>NORRBOTTENS LÄN</t>
        </is>
      </c>
      <c r="E274" t="inlineStr">
        <is>
          <t>ARVIDSJAUR</t>
        </is>
      </c>
      <c r="F274" t="inlineStr">
        <is>
          <t>Sveaskog</t>
        </is>
      </c>
      <c r="G274" t="n">
        <v>7.8</v>
      </c>
      <c r="H274" t="n">
        <v>0</v>
      </c>
      <c r="I274" t="n">
        <v>0</v>
      </c>
      <c r="J274" t="n">
        <v>0</v>
      </c>
      <c r="K274" t="n">
        <v>0</v>
      </c>
      <c r="L274" t="n">
        <v>0</v>
      </c>
      <c r="M274" t="n">
        <v>0</v>
      </c>
      <c r="N274" t="n">
        <v>0</v>
      </c>
      <c r="O274" t="n">
        <v>0</v>
      </c>
      <c r="P274" t="n">
        <v>0</v>
      </c>
      <c r="Q274" t="n">
        <v>0</v>
      </c>
      <c r="R274" s="2" t="inlineStr"/>
    </row>
    <row r="275" ht="15" customHeight="1">
      <c r="A275" t="inlineStr">
        <is>
          <t>A 38343-2025</t>
        </is>
      </c>
      <c r="B275" s="1" t="n">
        <v>45883</v>
      </c>
      <c r="C275" s="1" t="n">
        <v>45886</v>
      </c>
      <c r="D275" t="inlineStr">
        <is>
          <t>NORRBOTTENS LÄN</t>
        </is>
      </c>
      <c r="E275" t="inlineStr">
        <is>
          <t>ARVIDSJAUR</t>
        </is>
      </c>
      <c r="G275" t="n">
        <v>2.6</v>
      </c>
      <c r="H275" t="n">
        <v>0</v>
      </c>
      <c r="I275" t="n">
        <v>0</v>
      </c>
      <c r="J275" t="n">
        <v>0</v>
      </c>
      <c r="K275" t="n">
        <v>0</v>
      </c>
      <c r="L275" t="n">
        <v>0</v>
      </c>
      <c r="M275" t="n">
        <v>0</v>
      </c>
      <c r="N275" t="n">
        <v>0</v>
      </c>
      <c r="O275" t="n">
        <v>0</v>
      </c>
      <c r="P275" t="n">
        <v>0</v>
      </c>
      <c r="Q275" t="n">
        <v>0</v>
      </c>
      <c r="R275" s="2" t="inlineStr"/>
    </row>
    <row r="276" ht="15" customHeight="1">
      <c r="A276" t="inlineStr">
        <is>
          <t>A 22996-2024</t>
        </is>
      </c>
      <c r="B276" s="1" t="n">
        <v>45450</v>
      </c>
      <c r="C276" s="1" t="n">
        <v>45886</v>
      </c>
      <c r="D276" t="inlineStr">
        <is>
          <t>NORRBOTTENS LÄN</t>
        </is>
      </c>
      <c r="E276" t="inlineStr">
        <is>
          <t>ARVIDSJAUR</t>
        </is>
      </c>
      <c r="F276" t="inlineStr">
        <is>
          <t>Sveaskog</t>
        </is>
      </c>
      <c r="G276" t="n">
        <v>8.9</v>
      </c>
      <c r="H276" t="n">
        <v>0</v>
      </c>
      <c r="I276" t="n">
        <v>0</v>
      </c>
      <c r="J276" t="n">
        <v>0</v>
      </c>
      <c r="K276" t="n">
        <v>0</v>
      </c>
      <c r="L276" t="n">
        <v>0</v>
      </c>
      <c r="M276" t="n">
        <v>0</v>
      </c>
      <c r="N276" t="n">
        <v>0</v>
      </c>
      <c r="O276" t="n">
        <v>0</v>
      </c>
      <c r="P276" t="n">
        <v>0</v>
      </c>
      <c r="Q276" t="n">
        <v>0</v>
      </c>
      <c r="R276" s="2" t="inlineStr"/>
    </row>
    <row r="277" ht="15" customHeight="1">
      <c r="A277" t="inlineStr">
        <is>
          <t>A 54211-2024</t>
        </is>
      </c>
      <c r="B277" s="1" t="n">
        <v>45616</v>
      </c>
      <c r="C277" s="1" t="n">
        <v>45886</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8483-2021</t>
        </is>
      </c>
      <c r="B278" s="1" t="n">
        <v>44244</v>
      </c>
      <c r="C278" s="1" t="n">
        <v>45886</v>
      </c>
      <c r="D278" t="inlineStr">
        <is>
          <t>NORRBOTTENS LÄN</t>
        </is>
      </c>
      <c r="E278" t="inlineStr">
        <is>
          <t>ARVIDSJAUR</t>
        </is>
      </c>
      <c r="G278" t="n">
        <v>33.1</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45886</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54311-2023</t>
        </is>
      </c>
      <c r="B280" s="1" t="n">
        <v>45225</v>
      </c>
      <c r="C280" s="1" t="n">
        <v>45886</v>
      </c>
      <c r="D280" t="inlineStr">
        <is>
          <t>NORRBOTTENS LÄN</t>
        </is>
      </c>
      <c r="E280" t="inlineStr">
        <is>
          <t>ARVIDSJAUR</t>
        </is>
      </c>
      <c r="G280" t="n">
        <v>1.4</v>
      </c>
      <c r="H280" t="n">
        <v>0</v>
      </c>
      <c r="I280" t="n">
        <v>0</v>
      </c>
      <c r="J280" t="n">
        <v>0</v>
      </c>
      <c r="K280" t="n">
        <v>0</v>
      </c>
      <c r="L280" t="n">
        <v>0</v>
      </c>
      <c r="M280" t="n">
        <v>0</v>
      </c>
      <c r="N280" t="n">
        <v>0</v>
      </c>
      <c r="O280" t="n">
        <v>0</v>
      </c>
      <c r="P280" t="n">
        <v>0</v>
      </c>
      <c r="Q280" t="n">
        <v>0</v>
      </c>
      <c r="R280" s="2" t="inlineStr"/>
    </row>
    <row r="281" ht="15" customHeight="1">
      <c r="A281" t="inlineStr">
        <is>
          <t>A 22696-2024</t>
        </is>
      </c>
      <c r="B281" s="1" t="n">
        <v>45448</v>
      </c>
      <c r="C281" s="1" t="n">
        <v>45886</v>
      </c>
      <c r="D281" t="inlineStr">
        <is>
          <t>NORRBOTTENS LÄN</t>
        </is>
      </c>
      <c r="E281" t="inlineStr">
        <is>
          <t>ARVIDSJAUR</t>
        </is>
      </c>
      <c r="F281" t="inlineStr">
        <is>
          <t>Sveaskog</t>
        </is>
      </c>
      <c r="G281" t="n">
        <v>23.1</v>
      </c>
      <c r="H281" t="n">
        <v>0</v>
      </c>
      <c r="I281" t="n">
        <v>0</v>
      </c>
      <c r="J281" t="n">
        <v>0</v>
      </c>
      <c r="K281" t="n">
        <v>0</v>
      </c>
      <c r="L281" t="n">
        <v>0</v>
      </c>
      <c r="M281" t="n">
        <v>0</v>
      </c>
      <c r="N281" t="n">
        <v>0</v>
      </c>
      <c r="O281" t="n">
        <v>0</v>
      </c>
      <c r="P281" t="n">
        <v>0</v>
      </c>
      <c r="Q281" t="n">
        <v>0</v>
      </c>
      <c r="R281" s="2" t="inlineStr"/>
    </row>
    <row r="282" ht="15" customHeight="1">
      <c r="A282" t="inlineStr">
        <is>
          <t>A 34998-2023</t>
        </is>
      </c>
      <c r="B282" s="1" t="n">
        <v>45142</v>
      </c>
      <c r="C282" s="1" t="n">
        <v>45886</v>
      </c>
      <c r="D282" t="inlineStr">
        <is>
          <t>NORRBOTTENS LÄN</t>
        </is>
      </c>
      <c r="E282" t="inlineStr">
        <is>
          <t>ARVIDSJAUR</t>
        </is>
      </c>
      <c r="G282" t="n">
        <v>10.3</v>
      </c>
      <c r="H282" t="n">
        <v>0</v>
      </c>
      <c r="I282" t="n">
        <v>0</v>
      </c>
      <c r="J282" t="n">
        <v>0</v>
      </c>
      <c r="K282" t="n">
        <v>0</v>
      </c>
      <c r="L282" t="n">
        <v>0</v>
      </c>
      <c r="M282" t="n">
        <v>0</v>
      </c>
      <c r="N282" t="n">
        <v>0</v>
      </c>
      <c r="O282" t="n">
        <v>0</v>
      </c>
      <c r="P282" t="n">
        <v>0</v>
      </c>
      <c r="Q282" t="n">
        <v>0</v>
      </c>
      <c r="R282" s="2" t="inlineStr"/>
    </row>
    <row r="283" ht="15" customHeight="1">
      <c r="A283" t="inlineStr">
        <is>
          <t>A 33302-2025</t>
        </is>
      </c>
      <c r="B283" s="1" t="n">
        <v>45841</v>
      </c>
      <c r="C283" s="1" t="n">
        <v>45886</v>
      </c>
      <c r="D283" t="inlineStr">
        <is>
          <t>NORRBOTTENS LÄN</t>
        </is>
      </c>
      <c r="E283" t="inlineStr">
        <is>
          <t>ARVIDSJAUR</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39436-2024</t>
        </is>
      </c>
      <c r="B284" s="1" t="n">
        <v>45551</v>
      </c>
      <c r="C284" s="1" t="n">
        <v>45886</v>
      </c>
      <c r="D284" t="inlineStr">
        <is>
          <t>NORRBOTTENS LÄN</t>
        </is>
      </c>
      <c r="E284" t="inlineStr">
        <is>
          <t>ARVIDSJAUR</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45886</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59922-2020</t>
        </is>
      </c>
      <c r="B286" s="1" t="n">
        <v>44148</v>
      </c>
      <c r="C286" s="1" t="n">
        <v>45886</v>
      </c>
      <c r="D286" t="inlineStr">
        <is>
          <t>NORRBOTTENS LÄN</t>
        </is>
      </c>
      <c r="E286" t="inlineStr">
        <is>
          <t>ARVIDSJAUR</t>
        </is>
      </c>
      <c r="G286" t="n">
        <v>16.1</v>
      </c>
      <c r="H286" t="n">
        <v>0</v>
      </c>
      <c r="I286" t="n">
        <v>0</v>
      </c>
      <c r="J286" t="n">
        <v>0</v>
      </c>
      <c r="K286" t="n">
        <v>0</v>
      </c>
      <c r="L286" t="n">
        <v>0</v>
      </c>
      <c r="M286" t="n">
        <v>0</v>
      </c>
      <c r="N286" t="n">
        <v>0</v>
      </c>
      <c r="O286" t="n">
        <v>0</v>
      </c>
      <c r="P286" t="n">
        <v>0</v>
      </c>
      <c r="Q286" t="n">
        <v>0</v>
      </c>
      <c r="R286" s="2" t="inlineStr"/>
    </row>
    <row r="287" ht="15" customHeight="1">
      <c r="A287" t="inlineStr">
        <is>
          <t>A 53878-2024</t>
        </is>
      </c>
      <c r="B287" s="1" t="n">
        <v>45614</v>
      </c>
      <c r="C287" s="1" t="n">
        <v>45886</v>
      </c>
      <c r="D287" t="inlineStr">
        <is>
          <t>NORRBOTTENS LÄN</t>
        </is>
      </c>
      <c r="E287" t="inlineStr">
        <is>
          <t>ARVIDSJAUR</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50119-2024</t>
        </is>
      </c>
      <c r="B288" s="1" t="n">
        <v>45600.41550925926</v>
      </c>
      <c r="C288" s="1" t="n">
        <v>45886</v>
      </c>
      <c r="D288" t="inlineStr">
        <is>
          <t>NORRBOTTENS LÄN</t>
        </is>
      </c>
      <c r="E288" t="inlineStr">
        <is>
          <t>ARVIDSJAUR</t>
        </is>
      </c>
      <c r="F288" t="inlineStr">
        <is>
          <t>Sveaskog</t>
        </is>
      </c>
      <c r="G288" t="n">
        <v>5.7</v>
      </c>
      <c r="H288" t="n">
        <v>0</v>
      </c>
      <c r="I288" t="n">
        <v>0</v>
      </c>
      <c r="J288" t="n">
        <v>0</v>
      </c>
      <c r="K288" t="n">
        <v>0</v>
      </c>
      <c r="L288" t="n">
        <v>0</v>
      </c>
      <c r="M288" t="n">
        <v>0</v>
      </c>
      <c r="N288" t="n">
        <v>0</v>
      </c>
      <c r="O288" t="n">
        <v>0</v>
      </c>
      <c r="P288" t="n">
        <v>0</v>
      </c>
      <c r="Q288" t="n">
        <v>0</v>
      </c>
      <c r="R288" s="2" t="inlineStr"/>
    </row>
    <row r="289" ht="15" customHeight="1">
      <c r="A289" t="inlineStr">
        <is>
          <t>A 30756-2023</t>
        </is>
      </c>
      <c r="B289" s="1" t="n">
        <v>45103</v>
      </c>
      <c r="C289" s="1" t="n">
        <v>45886</v>
      </c>
      <c r="D289" t="inlineStr">
        <is>
          <t>NORRBOTTENS LÄN</t>
        </is>
      </c>
      <c r="E289" t="inlineStr">
        <is>
          <t>ARVIDSJAUR</t>
        </is>
      </c>
      <c r="G289" t="n">
        <v>1.9</v>
      </c>
      <c r="H289" t="n">
        <v>0</v>
      </c>
      <c r="I289" t="n">
        <v>0</v>
      </c>
      <c r="J289" t="n">
        <v>0</v>
      </c>
      <c r="K289" t="n">
        <v>0</v>
      </c>
      <c r="L289" t="n">
        <v>0</v>
      </c>
      <c r="M289" t="n">
        <v>0</v>
      </c>
      <c r="N289" t="n">
        <v>0</v>
      </c>
      <c r="O289" t="n">
        <v>0</v>
      </c>
      <c r="P289" t="n">
        <v>0</v>
      </c>
      <c r="Q289" t="n">
        <v>0</v>
      </c>
      <c r="R289" s="2" t="inlineStr"/>
    </row>
    <row r="290" ht="15" customHeight="1">
      <c r="A290" t="inlineStr">
        <is>
          <t>A 50667-2020</t>
        </is>
      </c>
      <c r="B290" s="1" t="n">
        <v>44111</v>
      </c>
      <c r="C290" s="1" t="n">
        <v>45886</v>
      </c>
      <c r="D290" t="inlineStr">
        <is>
          <t>NORRBOTTENS LÄN</t>
        </is>
      </c>
      <c r="E290" t="inlineStr">
        <is>
          <t>ARVIDSJAUR</t>
        </is>
      </c>
      <c r="G290" t="n">
        <v>1.6</v>
      </c>
      <c r="H290" t="n">
        <v>0</v>
      </c>
      <c r="I290" t="n">
        <v>0</v>
      </c>
      <c r="J290" t="n">
        <v>0</v>
      </c>
      <c r="K290" t="n">
        <v>0</v>
      </c>
      <c r="L290" t="n">
        <v>0</v>
      </c>
      <c r="M290" t="n">
        <v>0</v>
      </c>
      <c r="N290" t="n">
        <v>0</v>
      </c>
      <c r="O290" t="n">
        <v>0</v>
      </c>
      <c r="P290" t="n">
        <v>0</v>
      </c>
      <c r="Q290" t="n">
        <v>0</v>
      </c>
      <c r="R290" s="2" t="inlineStr"/>
    </row>
    <row r="291" ht="15" customHeight="1">
      <c r="A291" t="inlineStr">
        <is>
          <t>A 41872-2021</t>
        </is>
      </c>
      <c r="B291" s="1" t="n">
        <v>44426</v>
      </c>
      <c r="C291" s="1" t="n">
        <v>45886</v>
      </c>
      <c r="D291" t="inlineStr">
        <is>
          <t>NORRBOTTENS LÄN</t>
        </is>
      </c>
      <c r="E291" t="inlineStr">
        <is>
          <t>ARVIDSJAUR</t>
        </is>
      </c>
      <c r="F291" t="inlineStr">
        <is>
          <t>Sveaskog</t>
        </is>
      </c>
      <c r="G291" t="n">
        <v>4</v>
      </c>
      <c r="H291" t="n">
        <v>0</v>
      </c>
      <c r="I291" t="n">
        <v>0</v>
      </c>
      <c r="J291" t="n">
        <v>0</v>
      </c>
      <c r="K291" t="n">
        <v>0</v>
      </c>
      <c r="L291" t="n">
        <v>0</v>
      </c>
      <c r="M291" t="n">
        <v>0</v>
      </c>
      <c r="N291" t="n">
        <v>0</v>
      </c>
      <c r="O291" t="n">
        <v>0</v>
      </c>
      <c r="P291" t="n">
        <v>0</v>
      </c>
      <c r="Q291" t="n">
        <v>0</v>
      </c>
      <c r="R291" s="2" t="inlineStr"/>
    </row>
    <row r="292" ht="15" customHeight="1">
      <c r="A292" t="inlineStr">
        <is>
          <t>A 45769-2021</t>
        </is>
      </c>
      <c r="B292" s="1" t="n">
        <v>44441</v>
      </c>
      <c r="C292" s="1" t="n">
        <v>45886</v>
      </c>
      <c r="D292" t="inlineStr">
        <is>
          <t>NORRBOTTENS LÄN</t>
        </is>
      </c>
      <c r="E292" t="inlineStr">
        <is>
          <t>ARVIDSJAUR</t>
        </is>
      </c>
      <c r="G292" t="n">
        <v>1.4</v>
      </c>
      <c r="H292" t="n">
        <v>0</v>
      </c>
      <c r="I292" t="n">
        <v>0</v>
      </c>
      <c r="J292" t="n">
        <v>0</v>
      </c>
      <c r="K292" t="n">
        <v>0</v>
      </c>
      <c r="L292" t="n">
        <v>0</v>
      </c>
      <c r="M292" t="n">
        <v>0</v>
      </c>
      <c r="N292" t="n">
        <v>0</v>
      </c>
      <c r="O292" t="n">
        <v>0</v>
      </c>
      <c r="P292" t="n">
        <v>0</v>
      </c>
      <c r="Q292" t="n">
        <v>0</v>
      </c>
      <c r="R292" s="2" t="inlineStr"/>
    </row>
    <row r="293" ht="15" customHeight="1">
      <c r="A293" t="inlineStr">
        <is>
          <t>A 50323-2024</t>
        </is>
      </c>
      <c r="B293" s="1" t="n">
        <v>45600.67706018518</v>
      </c>
      <c r="C293" s="1" t="n">
        <v>45886</v>
      </c>
      <c r="D293" t="inlineStr">
        <is>
          <t>NORRBOTTENS LÄN</t>
        </is>
      </c>
      <c r="E293" t="inlineStr">
        <is>
          <t>ARVIDSJAUR</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3343-2024</t>
        </is>
      </c>
      <c r="B294" s="1" t="n">
        <v>45317</v>
      </c>
      <c r="C294" s="1" t="n">
        <v>45886</v>
      </c>
      <c r="D294" t="inlineStr">
        <is>
          <t>NORRBOTTENS LÄN</t>
        </is>
      </c>
      <c r="E294" t="inlineStr">
        <is>
          <t>ARVIDSJAUR</t>
        </is>
      </c>
      <c r="G294" t="n">
        <v>10.9</v>
      </c>
      <c r="H294" t="n">
        <v>0</v>
      </c>
      <c r="I294" t="n">
        <v>0</v>
      </c>
      <c r="J294" t="n">
        <v>0</v>
      </c>
      <c r="K294" t="n">
        <v>0</v>
      </c>
      <c r="L294" t="n">
        <v>0</v>
      </c>
      <c r="M294" t="n">
        <v>0</v>
      </c>
      <c r="N294" t="n">
        <v>0</v>
      </c>
      <c r="O294" t="n">
        <v>0</v>
      </c>
      <c r="P294" t="n">
        <v>0</v>
      </c>
      <c r="Q294" t="n">
        <v>0</v>
      </c>
      <c r="R294" s="2" t="inlineStr"/>
    </row>
    <row r="295" ht="15" customHeight="1">
      <c r="A295" t="inlineStr">
        <is>
          <t>A 48009-2024</t>
        </is>
      </c>
      <c r="B295" s="1" t="n">
        <v>45589</v>
      </c>
      <c r="C295" s="1" t="n">
        <v>45886</v>
      </c>
      <c r="D295" t="inlineStr">
        <is>
          <t>NORRBOTTENS LÄN</t>
        </is>
      </c>
      <c r="E295" t="inlineStr">
        <is>
          <t>ARVIDSJAUR</t>
        </is>
      </c>
      <c r="G295" t="n">
        <v>6.4</v>
      </c>
      <c r="H295" t="n">
        <v>0</v>
      </c>
      <c r="I295" t="n">
        <v>0</v>
      </c>
      <c r="J295" t="n">
        <v>0</v>
      </c>
      <c r="K295" t="n">
        <v>0</v>
      </c>
      <c r="L295" t="n">
        <v>0</v>
      </c>
      <c r="M295" t="n">
        <v>0</v>
      </c>
      <c r="N295" t="n">
        <v>0</v>
      </c>
      <c r="O295" t="n">
        <v>0</v>
      </c>
      <c r="P295" t="n">
        <v>0</v>
      </c>
      <c r="Q295" t="n">
        <v>0</v>
      </c>
      <c r="R295" s="2" t="inlineStr"/>
    </row>
    <row r="296" ht="15" customHeight="1">
      <c r="A296" t="inlineStr">
        <is>
          <t>A 12794-2023</t>
        </is>
      </c>
      <c r="B296" s="1" t="n">
        <v>45001</v>
      </c>
      <c r="C296" s="1" t="n">
        <v>45886</v>
      </c>
      <c r="D296" t="inlineStr">
        <is>
          <t>NORRBOTTENS LÄN</t>
        </is>
      </c>
      <c r="E296" t="inlineStr">
        <is>
          <t>ARVIDSJAUR</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28803-2024</t>
        </is>
      </c>
      <c r="B297" s="1" t="n">
        <v>45478</v>
      </c>
      <c r="C297" s="1" t="n">
        <v>45886</v>
      </c>
      <c r="D297" t="inlineStr">
        <is>
          <t>NORRBOTTENS LÄN</t>
        </is>
      </c>
      <c r="E297" t="inlineStr">
        <is>
          <t>ARVIDSJAUR</t>
        </is>
      </c>
      <c r="F297" t="inlineStr">
        <is>
          <t>Övriga Aktiebolag</t>
        </is>
      </c>
      <c r="G297" t="n">
        <v>16.5</v>
      </c>
      <c r="H297" t="n">
        <v>0</v>
      </c>
      <c r="I297" t="n">
        <v>0</v>
      </c>
      <c r="J297" t="n">
        <v>0</v>
      </c>
      <c r="K297" t="n">
        <v>0</v>
      </c>
      <c r="L297" t="n">
        <v>0</v>
      </c>
      <c r="M297" t="n">
        <v>0</v>
      </c>
      <c r="N297" t="n">
        <v>0</v>
      </c>
      <c r="O297" t="n">
        <v>0</v>
      </c>
      <c r="P297" t="n">
        <v>0</v>
      </c>
      <c r="Q297" t="n">
        <v>0</v>
      </c>
      <c r="R297" s="2" t="inlineStr"/>
    </row>
    <row r="298" ht="15" customHeight="1">
      <c r="A298" t="inlineStr">
        <is>
          <t>A 45059-2024</t>
        </is>
      </c>
      <c r="B298" s="1" t="n">
        <v>45575.55498842592</v>
      </c>
      <c r="C298" s="1" t="n">
        <v>45886</v>
      </c>
      <c r="D298" t="inlineStr">
        <is>
          <t>NORRBOTTENS LÄN</t>
        </is>
      </c>
      <c r="E298" t="inlineStr">
        <is>
          <t>ARVIDSJAUR</t>
        </is>
      </c>
      <c r="F298" t="inlineStr">
        <is>
          <t>Sveaskog</t>
        </is>
      </c>
      <c r="G298" t="n">
        <v>14.9</v>
      </c>
      <c r="H298" t="n">
        <v>0</v>
      </c>
      <c r="I298" t="n">
        <v>0</v>
      </c>
      <c r="J298" t="n">
        <v>0</v>
      </c>
      <c r="K298" t="n">
        <v>0</v>
      </c>
      <c r="L298" t="n">
        <v>0</v>
      </c>
      <c r="M298" t="n">
        <v>0</v>
      </c>
      <c r="N298" t="n">
        <v>0</v>
      </c>
      <c r="O298" t="n">
        <v>0</v>
      </c>
      <c r="P298" t="n">
        <v>0</v>
      </c>
      <c r="Q298" t="n">
        <v>0</v>
      </c>
      <c r="R298" s="2" t="inlineStr"/>
    </row>
    <row r="299" ht="15" customHeight="1">
      <c r="A299" t="inlineStr">
        <is>
          <t>A 50109-2024</t>
        </is>
      </c>
      <c r="B299" s="1" t="n">
        <v>45600</v>
      </c>
      <c r="C299" s="1" t="n">
        <v>45886</v>
      </c>
      <c r="D299" t="inlineStr">
        <is>
          <t>NORRBOTTENS LÄN</t>
        </is>
      </c>
      <c r="E299" t="inlineStr">
        <is>
          <t>ARVIDSJAUR</t>
        </is>
      </c>
      <c r="F299" t="inlineStr">
        <is>
          <t>Sveaskog</t>
        </is>
      </c>
      <c r="G299" t="n">
        <v>6.6</v>
      </c>
      <c r="H299" t="n">
        <v>0</v>
      </c>
      <c r="I299" t="n">
        <v>0</v>
      </c>
      <c r="J299" t="n">
        <v>0</v>
      </c>
      <c r="K299" t="n">
        <v>0</v>
      </c>
      <c r="L299" t="n">
        <v>0</v>
      </c>
      <c r="M299" t="n">
        <v>0</v>
      </c>
      <c r="N299" t="n">
        <v>0</v>
      </c>
      <c r="O299" t="n">
        <v>0</v>
      </c>
      <c r="P299" t="n">
        <v>0</v>
      </c>
      <c r="Q299" t="n">
        <v>0</v>
      </c>
      <c r="R299" s="2" t="inlineStr"/>
    </row>
    <row r="300" ht="15" customHeight="1">
      <c r="A300" t="inlineStr">
        <is>
          <t>A 49620-2024</t>
        </is>
      </c>
      <c r="B300" s="1" t="n">
        <v>45596</v>
      </c>
      <c r="C300" s="1" t="n">
        <v>45886</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48464-2024</t>
        </is>
      </c>
      <c r="B301" s="1" t="n">
        <v>45590</v>
      </c>
      <c r="C301" s="1" t="n">
        <v>45886</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45886</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55917-2024</t>
        </is>
      </c>
      <c r="B303" s="1" t="n">
        <v>45622</v>
      </c>
      <c r="C303" s="1" t="n">
        <v>45886</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15475-2023</t>
        </is>
      </c>
      <c r="B304" s="1" t="n">
        <v>45020</v>
      </c>
      <c r="C304" s="1" t="n">
        <v>45886</v>
      </c>
      <c r="D304" t="inlineStr">
        <is>
          <t>NORRBOTTENS LÄN</t>
        </is>
      </c>
      <c r="E304" t="inlineStr">
        <is>
          <t>ARVIDSJAUR</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41599-2024</t>
        </is>
      </c>
      <c r="B305" s="1" t="n">
        <v>45560</v>
      </c>
      <c r="C305" s="1" t="n">
        <v>45886</v>
      </c>
      <c r="D305" t="inlineStr">
        <is>
          <t>NORRBOTTENS LÄN</t>
        </is>
      </c>
      <c r="E305" t="inlineStr">
        <is>
          <t>ARVIDSJAUR</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37483-2024</t>
        </is>
      </c>
      <c r="B306" s="1" t="n">
        <v>45541.33534722222</v>
      </c>
      <c r="C306" s="1" t="n">
        <v>45886</v>
      </c>
      <c r="D306" t="inlineStr">
        <is>
          <t>NORRBOTTENS LÄN</t>
        </is>
      </c>
      <c r="E306" t="inlineStr">
        <is>
          <t>ARVIDSJAUR</t>
        </is>
      </c>
      <c r="F306" t="inlineStr">
        <is>
          <t>Sveaskog</t>
        </is>
      </c>
      <c r="G306" t="n">
        <v>4.4</v>
      </c>
      <c r="H306" t="n">
        <v>0</v>
      </c>
      <c r="I306" t="n">
        <v>0</v>
      </c>
      <c r="J306" t="n">
        <v>0</v>
      </c>
      <c r="K306" t="n">
        <v>0</v>
      </c>
      <c r="L306" t="n">
        <v>0</v>
      </c>
      <c r="M306" t="n">
        <v>0</v>
      </c>
      <c r="N306" t="n">
        <v>0</v>
      </c>
      <c r="O306" t="n">
        <v>0</v>
      </c>
      <c r="P306" t="n">
        <v>0</v>
      </c>
      <c r="Q306" t="n">
        <v>0</v>
      </c>
      <c r="R306" s="2" t="inlineStr"/>
    </row>
    <row r="307" ht="15" customHeight="1">
      <c r="A307" t="inlineStr">
        <is>
          <t>A 53683-2024</t>
        </is>
      </c>
      <c r="B307" s="1" t="n">
        <v>45612</v>
      </c>
      <c r="C307" s="1" t="n">
        <v>45886</v>
      </c>
      <c r="D307" t="inlineStr">
        <is>
          <t>NORRBOTTENS LÄN</t>
        </is>
      </c>
      <c r="E307" t="inlineStr">
        <is>
          <t>ARVIDSJAUR</t>
        </is>
      </c>
      <c r="G307" t="n">
        <v>3.7</v>
      </c>
      <c r="H307" t="n">
        <v>0</v>
      </c>
      <c r="I307" t="n">
        <v>0</v>
      </c>
      <c r="J307" t="n">
        <v>0</v>
      </c>
      <c r="K307" t="n">
        <v>0</v>
      </c>
      <c r="L307" t="n">
        <v>0</v>
      </c>
      <c r="M307" t="n">
        <v>0</v>
      </c>
      <c r="N307" t="n">
        <v>0</v>
      </c>
      <c r="O307" t="n">
        <v>0</v>
      </c>
      <c r="P307" t="n">
        <v>0</v>
      </c>
      <c r="Q307" t="n">
        <v>0</v>
      </c>
      <c r="R307" s="2" t="inlineStr"/>
    </row>
    <row r="308" ht="15" customHeight="1">
      <c r="A308" t="inlineStr">
        <is>
          <t>A 48616-2024</t>
        </is>
      </c>
      <c r="B308" s="1" t="n">
        <v>45593.45395833333</v>
      </c>
      <c r="C308" s="1" t="n">
        <v>45886</v>
      </c>
      <c r="D308" t="inlineStr">
        <is>
          <t>NORRBOTTENS LÄN</t>
        </is>
      </c>
      <c r="E308" t="inlineStr">
        <is>
          <t>ARVIDSJAUR</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48358-2024</t>
        </is>
      </c>
      <c r="B309" s="1" t="n">
        <v>45590</v>
      </c>
      <c r="C309" s="1" t="n">
        <v>45886</v>
      </c>
      <c r="D309" t="inlineStr">
        <is>
          <t>NORRBOTTENS LÄN</t>
        </is>
      </c>
      <c r="E309" t="inlineStr">
        <is>
          <t>ARVIDSJAUR</t>
        </is>
      </c>
      <c r="F309" t="inlineStr">
        <is>
          <t>Sveaskog</t>
        </is>
      </c>
      <c r="G309" t="n">
        <v>20.3</v>
      </c>
      <c r="H309" t="n">
        <v>0</v>
      </c>
      <c r="I309" t="n">
        <v>0</v>
      </c>
      <c r="J309" t="n">
        <v>0</v>
      </c>
      <c r="K309" t="n">
        <v>0</v>
      </c>
      <c r="L309" t="n">
        <v>0</v>
      </c>
      <c r="M309" t="n">
        <v>0</v>
      </c>
      <c r="N309" t="n">
        <v>0</v>
      </c>
      <c r="O309" t="n">
        <v>0</v>
      </c>
      <c r="P309" t="n">
        <v>0</v>
      </c>
      <c r="Q309" t="n">
        <v>0</v>
      </c>
      <c r="R309" s="2" t="inlineStr"/>
    </row>
    <row r="310" ht="15" customHeight="1">
      <c r="A310" t="inlineStr">
        <is>
          <t>A 49172-2024</t>
        </is>
      </c>
      <c r="B310" s="1" t="n">
        <v>45595.31174768518</v>
      </c>
      <c r="C310" s="1" t="n">
        <v>45886</v>
      </c>
      <c r="D310" t="inlineStr">
        <is>
          <t>NORRBOTTENS LÄN</t>
        </is>
      </c>
      <c r="E310" t="inlineStr">
        <is>
          <t>ARVIDSJAUR</t>
        </is>
      </c>
      <c r="F310" t="inlineStr">
        <is>
          <t>Sveaskog</t>
        </is>
      </c>
      <c r="G310" t="n">
        <v>10.8</v>
      </c>
      <c r="H310" t="n">
        <v>0</v>
      </c>
      <c r="I310" t="n">
        <v>0</v>
      </c>
      <c r="J310" t="n">
        <v>0</v>
      </c>
      <c r="K310" t="n">
        <v>0</v>
      </c>
      <c r="L310" t="n">
        <v>0</v>
      </c>
      <c r="M310" t="n">
        <v>0</v>
      </c>
      <c r="N310" t="n">
        <v>0</v>
      </c>
      <c r="O310" t="n">
        <v>0</v>
      </c>
      <c r="P310" t="n">
        <v>0</v>
      </c>
      <c r="Q310" t="n">
        <v>0</v>
      </c>
      <c r="R310" s="2" t="inlineStr"/>
    </row>
    <row r="311" ht="15" customHeight="1">
      <c r="A311" t="inlineStr">
        <is>
          <t>A 11741-2025</t>
        </is>
      </c>
      <c r="B311" s="1" t="n">
        <v>45727</v>
      </c>
      <c r="C311" s="1" t="n">
        <v>45886</v>
      </c>
      <c r="D311" t="inlineStr">
        <is>
          <t>NORRBOTTENS LÄN</t>
        </is>
      </c>
      <c r="E311" t="inlineStr">
        <is>
          <t>ARVIDSJAUR</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26673-2023</t>
        </is>
      </c>
      <c r="B312" s="1" t="n">
        <v>45093</v>
      </c>
      <c r="C312" s="1" t="n">
        <v>45886</v>
      </c>
      <c r="D312" t="inlineStr">
        <is>
          <t>NORRBOTTENS LÄN</t>
        </is>
      </c>
      <c r="E312" t="inlineStr">
        <is>
          <t>ARVIDSJAUR</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10845-2025</t>
        </is>
      </c>
      <c r="B313" s="1" t="n">
        <v>45722</v>
      </c>
      <c r="C313" s="1" t="n">
        <v>45886</v>
      </c>
      <c r="D313" t="inlineStr">
        <is>
          <t>NORRBOTTENS LÄN</t>
        </is>
      </c>
      <c r="E313" t="inlineStr">
        <is>
          <t>ARVIDSJAUR</t>
        </is>
      </c>
      <c r="G313" t="n">
        <v>5.3</v>
      </c>
      <c r="H313" t="n">
        <v>0</v>
      </c>
      <c r="I313" t="n">
        <v>0</v>
      </c>
      <c r="J313" t="n">
        <v>0</v>
      </c>
      <c r="K313" t="n">
        <v>0</v>
      </c>
      <c r="L313" t="n">
        <v>0</v>
      </c>
      <c r="M313" t="n">
        <v>0</v>
      </c>
      <c r="N313" t="n">
        <v>0</v>
      </c>
      <c r="O313" t="n">
        <v>0</v>
      </c>
      <c r="P313" t="n">
        <v>0</v>
      </c>
      <c r="Q313" t="n">
        <v>0</v>
      </c>
      <c r="R313" s="2" t="inlineStr"/>
    </row>
    <row r="314" ht="15" customHeight="1">
      <c r="A314" t="inlineStr">
        <is>
          <t>A 61374-2024</t>
        </is>
      </c>
      <c r="B314" s="1" t="n">
        <v>45646</v>
      </c>
      <c r="C314" s="1" t="n">
        <v>45886</v>
      </c>
      <c r="D314" t="inlineStr">
        <is>
          <t>NORRBOTTENS LÄN</t>
        </is>
      </c>
      <c r="E314" t="inlineStr">
        <is>
          <t>ARVIDSJAUR</t>
        </is>
      </c>
      <c r="G314" t="n">
        <v>13.9</v>
      </c>
      <c r="H314" t="n">
        <v>0</v>
      </c>
      <c r="I314" t="n">
        <v>0</v>
      </c>
      <c r="J314" t="n">
        <v>0</v>
      </c>
      <c r="K314" t="n">
        <v>0</v>
      </c>
      <c r="L314" t="n">
        <v>0</v>
      </c>
      <c r="M314" t="n">
        <v>0</v>
      </c>
      <c r="N314" t="n">
        <v>0</v>
      </c>
      <c r="O314" t="n">
        <v>0</v>
      </c>
      <c r="P314" t="n">
        <v>0</v>
      </c>
      <c r="Q314" t="n">
        <v>0</v>
      </c>
      <c r="R314" s="2" t="inlineStr"/>
    </row>
    <row r="315" ht="15" customHeight="1">
      <c r="A315" t="inlineStr">
        <is>
          <t>A 26687-2024</t>
        </is>
      </c>
      <c r="B315" s="1" t="n">
        <v>45470.35686342593</v>
      </c>
      <c r="C315" s="1" t="n">
        <v>45886</v>
      </c>
      <c r="D315" t="inlineStr">
        <is>
          <t>NORRBOTTENS LÄN</t>
        </is>
      </c>
      <c r="E315" t="inlineStr">
        <is>
          <t>ARVIDSJAUR</t>
        </is>
      </c>
      <c r="F315" t="inlineStr">
        <is>
          <t>Sveaskog</t>
        </is>
      </c>
      <c r="G315" t="n">
        <v>7.7</v>
      </c>
      <c r="H315" t="n">
        <v>0</v>
      </c>
      <c r="I315" t="n">
        <v>0</v>
      </c>
      <c r="J315" t="n">
        <v>0</v>
      </c>
      <c r="K315" t="n">
        <v>0</v>
      </c>
      <c r="L315" t="n">
        <v>0</v>
      </c>
      <c r="M315" t="n">
        <v>0</v>
      </c>
      <c r="N315" t="n">
        <v>0</v>
      </c>
      <c r="O315" t="n">
        <v>0</v>
      </c>
      <c r="P315" t="n">
        <v>0</v>
      </c>
      <c r="Q315" t="n">
        <v>0</v>
      </c>
      <c r="R315" s="2" t="inlineStr"/>
    </row>
    <row r="316" ht="15" customHeight="1">
      <c r="A316" t="inlineStr">
        <is>
          <t>A 46443-2024</t>
        </is>
      </c>
      <c r="B316" s="1" t="n">
        <v>45582</v>
      </c>
      <c r="C316" s="1" t="n">
        <v>45886</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20811-2024</t>
        </is>
      </c>
      <c r="B317" s="1" t="n">
        <v>45439</v>
      </c>
      <c r="C317" s="1" t="n">
        <v>45886</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26819-2024</t>
        </is>
      </c>
      <c r="B318" s="1" t="n">
        <v>45470.55719907407</v>
      </c>
      <c r="C318" s="1" t="n">
        <v>45886</v>
      </c>
      <c r="D318" t="inlineStr">
        <is>
          <t>NORRBOTTENS LÄN</t>
        </is>
      </c>
      <c r="E318" t="inlineStr">
        <is>
          <t>ARVIDSJAUR</t>
        </is>
      </c>
      <c r="F318" t="inlineStr">
        <is>
          <t>Sveaskog</t>
        </is>
      </c>
      <c r="G318" t="n">
        <v>6.5</v>
      </c>
      <c r="H318" t="n">
        <v>0</v>
      </c>
      <c r="I318" t="n">
        <v>0</v>
      </c>
      <c r="J318" t="n">
        <v>0</v>
      </c>
      <c r="K318" t="n">
        <v>0</v>
      </c>
      <c r="L318" t="n">
        <v>0</v>
      </c>
      <c r="M318" t="n">
        <v>0</v>
      </c>
      <c r="N318" t="n">
        <v>0</v>
      </c>
      <c r="O318" t="n">
        <v>0</v>
      </c>
      <c r="P318" t="n">
        <v>0</v>
      </c>
      <c r="Q318" t="n">
        <v>0</v>
      </c>
      <c r="R318" s="2" t="inlineStr"/>
    </row>
    <row r="319" ht="15" customHeight="1">
      <c r="A319" t="inlineStr">
        <is>
          <t>A 26686-2024</t>
        </is>
      </c>
      <c r="B319" s="1" t="n">
        <v>45470.35486111111</v>
      </c>
      <c r="C319" s="1" t="n">
        <v>45886</v>
      </c>
      <c r="D319" t="inlineStr">
        <is>
          <t>NORRBOTTENS LÄN</t>
        </is>
      </c>
      <c r="E319" t="inlineStr">
        <is>
          <t>ARVIDSJAUR</t>
        </is>
      </c>
      <c r="F319" t="inlineStr">
        <is>
          <t>Sveaskog</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10838-2025</t>
        </is>
      </c>
      <c r="B320" s="1" t="n">
        <v>45722</v>
      </c>
      <c r="C320" s="1" t="n">
        <v>45886</v>
      </c>
      <c r="D320" t="inlineStr">
        <is>
          <t>NORRBOTTENS LÄN</t>
        </is>
      </c>
      <c r="E320" t="inlineStr">
        <is>
          <t>ARVIDSJAUR</t>
        </is>
      </c>
      <c r="G320" t="n">
        <v>3.4</v>
      </c>
      <c r="H320" t="n">
        <v>0</v>
      </c>
      <c r="I320" t="n">
        <v>0</v>
      </c>
      <c r="J320" t="n">
        <v>0</v>
      </c>
      <c r="K320" t="n">
        <v>0</v>
      </c>
      <c r="L320" t="n">
        <v>0</v>
      </c>
      <c r="M320" t="n">
        <v>0</v>
      </c>
      <c r="N320" t="n">
        <v>0</v>
      </c>
      <c r="O320" t="n">
        <v>0</v>
      </c>
      <c r="P320" t="n">
        <v>0</v>
      </c>
      <c r="Q320" t="n">
        <v>0</v>
      </c>
      <c r="R320" s="2" t="inlineStr"/>
    </row>
    <row r="321" ht="15" customHeight="1">
      <c r="A321" t="inlineStr">
        <is>
          <t>A 11574-2025</t>
        </is>
      </c>
      <c r="B321" s="1" t="n">
        <v>45726</v>
      </c>
      <c r="C321" s="1" t="n">
        <v>45886</v>
      </c>
      <c r="D321" t="inlineStr">
        <is>
          <t>NORRBOTTENS LÄN</t>
        </is>
      </c>
      <c r="E321" t="inlineStr">
        <is>
          <t>ARVIDSJAUR</t>
        </is>
      </c>
      <c r="F321" t="inlineStr">
        <is>
          <t>Allmännings- och besparingsskogar</t>
        </is>
      </c>
      <c r="G321" t="n">
        <v>3.6</v>
      </c>
      <c r="H321" t="n">
        <v>0</v>
      </c>
      <c r="I321" t="n">
        <v>0</v>
      </c>
      <c r="J321" t="n">
        <v>0</v>
      </c>
      <c r="K321" t="n">
        <v>0</v>
      </c>
      <c r="L321" t="n">
        <v>0</v>
      </c>
      <c r="M321" t="n">
        <v>0</v>
      </c>
      <c r="N321" t="n">
        <v>0</v>
      </c>
      <c r="O321" t="n">
        <v>0</v>
      </c>
      <c r="P321" t="n">
        <v>0</v>
      </c>
      <c r="Q321" t="n">
        <v>0</v>
      </c>
      <c r="R321" s="2" t="inlineStr"/>
    </row>
    <row r="322" ht="15" customHeight="1">
      <c r="A322" t="inlineStr">
        <is>
          <t>A 54879-2024</t>
        </is>
      </c>
      <c r="B322" s="1" t="n">
        <v>45618</v>
      </c>
      <c r="C322" s="1" t="n">
        <v>45886</v>
      </c>
      <c r="D322" t="inlineStr">
        <is>
          <t>NORRBOTTENS LÄN</t>
        </is>
      </c>
      <c r="E322" t="inlineStr">
        <is>
          <t>ARVIDSJAUR</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11591-2025</t>
        </is>
      </c>
      <c r="B323" s="1" t="n">
        <v>45726</v>
      </c>
      <c r="C323" s="1" t="n">
        <v>45886</v>
      </c>
      <c r="D323" t="inlineStr">
        <is>
          <t>NORRBOTTENS LÄN</t>
        </is>
      </c>
      <c r="E323" t="inlineStr">
        <is>
          <t>ARVIDSJAUR</t>
        </is>
      </c>
      <c r="F323" t="inlineStr">
        <is>
          <t>Allmännings- och besparingsskogar</t>
        </is>
      </c>
      <c r="G323" t="n">
        <v>10.9</v>
      </c>
      <c r="H323" t="n">
        <v>0</v>
      </c>
      <c r="I323" t="n">
        <v>0</v>
      </c>
      <c r="J323" t="n">
        <v>0</v>
      </c>
      <c r="K323" t="n">
        <v>0</v>
      </c>
      <c r="L323" t="n">
        <v>0</v>
      </c>
      <c r="M323" t="n">
        <v>0</v>
      </c>
      <c r="N323" t="n">
        <v>0</v>
      </c>
      <c r="O323" t="n">
        <v>0</v>
      </c>
      <c r="P323" t="n">
        <v>0</v>
      </c>
      <c r="Q323" t="n">
        <v>0</v>
      </c>
      <c r="R323" s="2" t="inlineStr"/>
    </row>
    <row r="324" ht="15" customHeight="1">
      <c r="A324" t="inlineStr">
        <is>
          <t>A 61625-2024</t>
        </is>
      </c>
      <c r="B324" s="1" t="n">
        <v>45646</v>
      </c>
      <c r="C324" s="1" t="n">
        <v>45886</v>
      </c>
      <c r="D324" t="inlineStr">
        <is>
          <t>NORRBOTTENS LÄN</t>
        </is>
      </c>
      <c r="E324" t="inlineStr">
        <is>
          <t>ARVIDSJAUR</t>
        </is>
      </c>
      <c r="F324" t="inlineStr">
        <is>
          <t>Sveaskog</t>
        </is>
      </c>
      <c r="G324" t="n">
        <v>7.7</v>
      </c>
      <c r="H324" t="n">
        <v>0</v>
      </c>
      <c r="I324" t="n">
        <v>0</v>
      </c>
      <c r="J324" t="n">
        <v>0</v>
      </c>
      <c r="K324" t="n">
        <v>0</v>
      </c>
      <c r="L324" t="n">
        <v>0</v>
      </c>
      <c r="M324" t="n">
        <v>0</v>
      </c>
      <c r="N324" t="n">
        <v>0</v>
      </c>
      <c r="O324" t="n">
        <v>0</v>
      </c>
      <c r="P324" t="n">
        <v>0</v>
      </c>
      <c r="Q324" t="n">
        <v>0</v>
      </c>
      <c r="R324" s="2" t="inlineStr"/>
    </row>
    <row r="325" ht="15" customHeight="1">
      <c r="A325" t="inlineStr">
        <is>
          <t>A 36443-2023</t>
        </is>
      </c>
      <c r="B325" s="1" t="n">
        <v>45152</v>
      </c>
      <c r="C325" s="1" t="n">
        <v>45886</v>
      </c>
      <c r="D325" t="inlineStr">
        <is>
          <t>NORRBOTTENS LÄN</t>
        </is>
      </c>
      <c r="E325" t="inlineStr">
        <is>
          <t>ARVIDSJAUR</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30749-2023</t>
        </is>
      </c>
      <c r="B326" s="1" t="n">
        <v>45103</v>
      </c>
      <c r="C326" s="1" t="n">
        <v>45886</v>
      </c>
      <c r="D326" t="inlineStr">
        <is>
          <t>NORRBOTTENS LÄN</t>
        </is>
      </c>
      <c r="E326" t="inlineStr">
        <is>
          <t>ARVIDSJAUR</t>
        </is>
      </c>
      <c r="G326" t="n">
        <v>5</v>
      </c>
      <c r="H326" t="n">
        <v>0</v>
      </c>
      <c r="I326" t="n">
        <v>0</v>
      </c>
      <c r="J326" t="n">
        <v>0</v>
      </c>
      <c r="K326" t="n">
        <v>0</v>
      </c>
      <c r="L326" t="n">
        <v>0</v>
      </c>
      <c r="M326" t="n">
        <v>0</v>
      </c>
      <c r="N326" t="n">
        <v>0</v>
      </c>
      <c r="O326" t="n">
        <v>0</v>
      </c>
      <c r="P326" t="n">
        <v>0</v>
      </c>
      <c r="Q326" t="n">
        <v>0</v>
      </c>
      <c r="R326" s="2" t="inlineStr"/>
    </row>
    <row r="327" ht="15" customHeight="1">
      <c r="A327" t="inlineStr">
        <is>
          <t>A 31666-2023</t>
        </is>
      </c>
      <c r="B327" s="1" t="n">
        <v>45105</v>
      </c>
      <c r="C327" s="1" t="n">
        <v>45886</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11582-2025</t>
        </is>
      </c>
      <c r="B328" s="1" t="n">
        <v>45726</v>
      </c>
      <c r="C328" s="1" t="n">
        <v>45886</v>
      </c>
      <c r="D328" t="inlineStr">
        <is>
          <t>NORRBOTTENS LÄN</t>
        </is>
      </c>
      <c r="E328" t="inlineStr">
        <is>
          <t>ARVIDSJAUR</t>
        </is>
      </c>
      <c r="F328" t="inlineStr">
        <is>
          <t>Allmännings- och besparingsskogar</t>
        </is>
      </c>
      <c r="G328" t="n">
        <v>7.1</v>
      </c>
      <c r="H328" t="n">
        <v>0</v>
      </c>
      <c r="I328" t="n">
        <v>0</v>
      </c>
      <c r="J328" t="n">
        <v>0</v>
      </c>
      <c r="K328" t="n">
        <v>0</v>
      </c>
      <c r="L328" t="n">
        <v>0</v>
      </c>
      <c r="M328" t="n">
        <v>0</v>
      </c>
      <c r="N328" t="n">
        <v>0</v>
      </c>
      <c r="O328" t="n">
        <v>0</v>
      </c>
      <c r="P328" t="n">
        <v>0</v>
      </c>
      <c r="Q328" t="n">
        <v>0</v>
      </c>
      <c r="R328" s="2" t="inlineStr"/>
    </row>
    <row r="329" ht="15" customHeight="1">
      <c r="A329" t="inlineStr">
        <is>
          <t>A 11538-2025</t>
        </is>
      </c>
      <c r="B329" s="1" t="n">
        <v>45726</v>
      </c>
      <c r="C329" s="1" t="n">
        <v>45886</v>
      </c>
      <c r="D329" t="inlineStr">
        <is>
          <t>NORRBOTTENS LÄN</t>
        </is>
      </c>
      <c r="E329" t="inlineStr">
        <is>
          <t>ARVIDSJAUR</t>
        </is>
      </c>
      <c r="F329" t="inlineStr">
        <is>
          <t>Allmännings- och besparingsskogar</t>
        </is>
      </c>
      <c r="G329" t="n">
        <v>15.3</v>
      </c>
      <c r="H329" t="n">
        <v>0</v>
      </c>
      <c r="I329" t="n">
        <v>0</v>
      </c>
      <c r="J329" t="n">
        <v>0</v>
      </c>
      <c r="K329" t="n">
        <v>0</v>
      </c>
      <c r="L329" t="n">
        <v>0</v>
      </c>
      <c r="M329" t="n">
        <v>0</v>
      </c>
      <c r="N329" t="n">
        <v>0</v>
      </c>
      <c r="O329" t="n">
        <v>0</v>
      </c>
      <c r="P329" t="n">
        <v>0</v>
      </c>
      <c r="Q329" t="n">
        <v>0</v>
      </c>
      <c r="R329" s="2" t="inlineStr"/>
    </row>
    <row r="330" ht="15" customHeight="1">
      <c r="A330" t="inlineStr">
        <is>
          <t>A 42798-2023</t>
        </is>
      </c>
      <c r="B330" s="1" t="n">
        <v>45182</v>
      </c>
      <c r="C330" s="1" t="n">
        <v>45886</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50607-2024</t>
        </is>
      </c>
      <c r="B331" s="1" t="n">
        <v>45601</v>
      </c>
      <c r="C331" s="1" t="n">
        <v>45886</v>
      </c>
      <c r="D331" t="inlineStr">
        <is>
          <t>NORRBOTTENS LÄN</t>
        </is>
      </c>
      <c r="E331" t="inlineStr">
        <is>
          <t>ARVIDSJAUR</t>
        </is>
      </c>
      <c r="G331" t="n">
        <v>10</v>
      </c>
      <c r="H331" t="n">
        <v>0</v>
      </c>
      <c r="I331" t="n">
        <v>0</v>
      </c>
      <c r="J331" t="n">
        <v>0</v>
      </c>
      <c r="K331" t="n">
        <v>0</v>
      </c>
      <c r="L331" t="n">
        <v>0</v>
      </c>
      <c r="M331" t="n">
        <v>0</v>
      </c>
      <c r="N331" t="n">
        <v>0</v>
      </c>
      <c r="O331" t="n">
        <v>0</v>
      </c>
      <c r="P331" t="n">
        <v>0</v>
      </c>
      <c r="Q331" t="n">
        <v>0</v>
      </c>
      <c r="R331" s="2" t="inlineStr"/>
    </row>
    <row r="332" ht="15" customHeight="1">
      <c r="A332" t="inlineStr">
        <is>
          <t>A 52646-2023</t>
        </is>
      </c>
      <c r="B332" s="1" t="n">
        <v>45225</v>
      </c>
      <c r="C332" s="1" t="n">
        <v>45886</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7084-2025</t>
        </is>
      </c>
      <c r="B333" s="1" t="n">
        <v>45701</v>
      </c>
      <c r="C333" s="1" t="n">
        <v>45886</v>
      </c>
      <c r="D333" t="inlineStr">
        <is>
          <t>NORRBOTTENS LÄN</t>
        </is>
      </c>
      <c r="E333" t="inlineStr">
        <is>
          <t>ARVIDSJAUR</t>
        </is>
      </c>
      <c r="G333" t="n">
        <v>1.7</v>
      </c>
      <c r="H333" t="n">
        <v>0</v>
      </c>
      <c r="I333" t="n">
        <v>0</v>
      </c>
      <c r="J333" t="n">
        <v>0</v>
      </c>
      <c r="K333" t="n">
        <v>0</v>
      </c>
      <c r="L333" t="n">
        <v>0</v>
      </c>
      <c r="M333" t="n">
        <v>0</v>
      </c>
      <c r="N333" t="n">
        <v>0</v>
      </c>
      <c r="O333" t="n">
        <v>0</v>
      </c>
      <c r="P333" t="n">
        <v>0</v>
      </c>
      <c r="Q333" t="n">
        <v>0</v>
      </c>
      <c r="R333" s="2" t="inlineStr"/>
    </row>
    <row r="334" ht="15" customHeight="1">
      <c r="A334" t="inlineStr">
        <is>
          <t>A 58942-2024</t>
        </is>
      </c>
      <c r="B334" s="1" t="n">
        <v>45636</v>
      </c>
      <c r="C334" s="1" t="n">
        <v>45886</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56495-2024</t>
        </is>
      </c>
      <c r="B335" s="1" t="n">
        <v>45625</v>
      </c>
      <c r="C335" s="1" t="n">
        <v>45886</v>
      </c>
      <c r="D335" t="inlineStr">
        <is>
          <t>NORRBOTTENS LÄN</t>
        </is>
      </c>
      <c r="E335" t="inlineStr">
        <is>
          <t>ARVIDSJAUR</t>
        </is>
      </c>
      <c r="G335" t="n">
        <v>14.1</v>
      </c>
      <c r="H335" t="n">
        <v>0</v>
      </c>
      <c r="I335" t="n">
        <v>0</v>
      </c>
      <c r="J335" t="n">
        <v>0</v>
      </c>
      <c r="K335" t="n">
        <v>0</v>
      </c>
      <c r="L335" t="n">
        <v>0</v>
      </c>
      <c r="M335" t="n">
        <v>0</v>
      </c>
      <c r="N335" t="n">
        <v>0</v>
      </c>
      <c r="O335" t="n">
        <v>0</v>
      </c>
      <c r="P335" t="n">
        <v>0</v>
      </c>
      <c r="Q335" t="n">
        <v>0</v>
      </c>
      <c r="R335" s="2" t="inlineStr"/>
    </row>
    <row r="336" ht="15" customHeight="1">
      <c r="A336" t="inlineStr">
        <is>
          <t>A 44179-2023</t>
        </is>
      </c>
      <c r="B336" s="1" t="n">
        <v>45188.51991898148</v>
      </c>
      <c r="C336" s="1" t="n">
        <v>45886</v>
      </c>
      <c r="D336" t="inlineStr">
        <is>
          <t>NORRBOTTENS LÄN</t>
        </is>
      </c>
      <c r="E336" t="inlineStr">
        <is>
          <t>ARVIDSJAUR</t>
        </is>
      </c>
      <c r="F336" t="inlineStr">
        <is>
          <t>Sveaskog</t>
        </is>
      </c>
      <c r="G336" t="n">
        <v>7.3</v>
      </c>
      <c r="H336" t="n">
        <v>0</v>
      </c>
      <c r="I336" t="n">
        <v>0</v>
      </c>
      <c r="J336" t="n">
        <v>0</v>
      </c>
      <c r="K336" t="n">
        <v>0</v>
      </c>
      <c r="L336" t="n">
        <v>0</v>
      </c>
      <c r="M336" t="n">
        <v>0</v>
      </c>
      <c r="N336" t="n">
        <v>0</v>
      </c>
      <c r="O336" t="n">
        <v>0</v>
      </c>
      <c r="P336" t="n">
        <v>0</v>
      </c>
      <c r="Q336" t="n">
        <v>0</v>
      </c>
      <c r="R336" s="2" t="inlineStr"/>
    </row>
    <row r="337" ht="15" customHeight="1">
      <c r="A337" t="inlineStr">
        <is>
          <t>A 10664-2023</t>
        </is>
      </c>
      <c r="B337" s="1" t="n">
        <v>44988</v>
      </c>
      <c r="C337" s="1" t="n">
        <v>45886</v>
      </c>
      <c r="D337" t="inlineStr">
        <is>
          <t>NORRBOTTENS LÄN</t>
        </is>
      </c>
      <c r="E337" t="inlineStr">
        <is>
          <t>ARVIDSJAUR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34510-2021</t>
        </is>
      </c>
      <c r="B338" s="1" t="n">
        <v>44382</v>
      </c>
      <c r="C338" s="1" t="n">
        <v>45886</v>
      </c>
      <c r="D338" t="inlineStr">
        <is>
          <t>NORRBOTTENS LÄN</t>
        </is>
      </c>
      <c r="E338" t="inlineStr">
        <is>
          <t>ARVIDSJAUR</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39619-2022</t>
        </is>
      </c>
      <c r="B339" s="1" t="n">
        <v>44818</v>
      </c>
      <c r="C339" s="1" t="n">
        <v>45886</v>
      </c>
      <c r="D339" t="inlineStr">
        <is>
          <t>NORRBOTTENS LÄN</t>
        </is>
      </c>
      <c r="E339" t="inlineStr">
        <is>
          <t>ARVIDSJAUR</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49204-2024</t>
        </is>
      </c>
      <c r="B340" s="1" t="n">
        <v>45595</v>
      </c>
      <c r="C340" s="1" t="n">
        <v>45886</v>
      </c>
      <c r="D340" t="inlineStr">
        <is>
          <t>NORRBOTTENS LÄN</t>
        </is>
      </c>
      <c r="E340" t="inlineStr">
        <is>
          <t>ARVIDSJAUR</t>
        </is>
      </c>
      <c r="G340" t="n">
        <v>6.9</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45886</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19237-2025</t>
        </is>
      </c>
      <c r="B342" s="1" t="n">
        <v>45769</v>
      </c>
      <c r="C342" s="1" t="n">
        <v>45886</v>
      </c>
      <c r="D342" t="inlineStr">
        <is>
          <t>NORRBOTTENS LÄN</t>
        </is>
      </c>
      <c r="E342" t="inlineStr">
        <is>
          <t>ARVIDSJAUR</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23736-2024</t>
        </is>
      </c>
      <c r="B343" s="1" t="n">
        <v>45454</v>
      </c>
      <c r="C343" s="1" t="n">
        <v>45886</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48608-2024</t>
        </is>
      </c>
      <c r="B344" s="1" t="n">
        <v>45593.45075231481</v>
      </c>
      <c r="C344" s="1" t="n">
        <v>45886</v>
      </c>
      <c r="D344" t="inlineStr">
        <is>
          <t>NORRBOTTENS LÄN</t>
        </is>
      </c>
      <c r="E344" t="inlineStr">
        <is>
          <t>ARVIDSJAUR</t>
        </is>
      </c>
      <c r="F344" t="inlineStr">
        <is>
          <t>Sveaskog</t>
        </is>
      </c>
      <c r="G344" t="n">
        <v>16.6</v>
      </c>
      <c r="H344" t="n">
        <v>0</v>
      </c>
      <c r="I344" t="n">
        <v>0</v>
      </c>
      <c r="J344" t="n">
        <v>0</v>
      </c>
      <c r="K344" t="n">
        <v>0</v>
      </c>
      <c r="L344" t="n">
        <v>0</v>
      </c>
      <c r="M344" t="n">
        <v>0</v>
      </c>
      <c r="N344" t="n">
        <v>0</v>
      </c>
      <c r="O344" t="n">
        <v>0</v>
      </c>
      <c r="P344" t="n">
        <v>0</v>
      </c>
      <c r="Q344" t="n">
        <v>0</v>
      </c>
      <c r="R344" s="2" t="inlineStr"/>
    </row>
    <row r="345" ht="15" customHeight="1">
      <c r="A345" t="inlineStr">
        <is>
          <t>A 48291-2023</t>
        </is>
      </c>
      <c r="B345" s="1" t="n">
        <v>45201</v>
      </c>
      <c r="C345" s="1" t="n">
        <v>45886</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22328-2021</t>
        </is>
      </c>
      <c r="B346" s="1" t="n">
        <v>44321</v>
      </c>
      <c r="C346" s="1" t="n">
        <v>45886</v>
      </c>
      <c r="D346" t="inlineStr">
        <is>
          <t>NORRBOTTENS LÄN</t>
        </is>
      </c>
      <c r="E346" t="inlineStr">
        <is>
          <t>ARVIDSJAUR</t>
        </is>
      </c>
      <c r="G346" t="n">
        <v>0.6</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45886</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1355-2024</t>
        </is>
      </c>
      <c r="B348" s="1" t="n">
        <v>45303</v>
      </c>
      <c r="C348" s="1" t="n">
        <v>45886</v>
      </c>
      <c r="D348" t="inlineStr">
        <is>
          <t>NORRBOTTENS LÄN</t>
        </is>
      </c>
      <c r="E348" t="inlineStr">
        <is>
          <t>ARVIDSJAUR</t>
        </is>
      </c>
      <c r="G348" t="n">
        <v>1</v>
      </c>
      <c r="H348" t="n">
        <v>0</v>
      </c>
      <c r="I348" t="n">
        <v>0</v>
      </c>
      <c r="J348" t="n">
        <v>0</v>
      </c>
      <c r="K348" t="n">
        <v>0</v>
      </c>
      <c r="L348" t="n">
        <v>0</v>
      </c>
      <c r="M348" t="n">
        <v>0</v>
      </c>
      <c r="N348" t="n">
        <v>0</v>
      </c>
      <c r="O348" t="n">
        <v>0</v>
      </c>
      <c r="P348" t="n">
        <v>0</v>
      </c>
      <c r="Q348" t="n">
        <v>0</v>
      </c>
      <c r="R348" s="2" t="inlineStr"/>
    </row>
    <row r="349" ht="15" customHeight="1">
      <c r="A349" t="inlineStr">
        <is>
          <t>A 11998-2025</t>
        </is>
      </c>
      <c r="B349" s="1" t="n">
        <v>45728</v>
      </c>
      <c r="C349" s="1" t="n">
        <v>45886</v>
      </c>
      <c r="D349" t="inlineStr">
        <is>
          <t>NORRBOTTENS LÄN</t>
        </is>
      </c>
      <c r="E349" t="inlineStr">
        <is>
          <t>ARVIDSJAUR</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50889-2024</t>
        </is>
      </c>
      <c r="B350" s="1" t="n">
        <v>45602.6681712963</v>
      </c>
      <c r="C350" s="1" t="n">
        <v>45886</v>
      </c>
      <c r="D350" t="inlineStr">
        <is>
          <t>NORRBOTTENS LÄN</t>
        </is>
      </c>
      <c r="E350" t="inlineStr">
        <is>
          <t>ARVIDSJAUR</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45886</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45886</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11030-2025</t>
        </is>
      </c>
      <c r="B353" s="1" t="n">
        <v>45723.47167824074</v>
      </c>
      <c r="C353" s="1" t="n">
        <v>45886</v>
      </c>
      <c r="D353" t="inlineStr">
        <is>
          <t>NORRBOTTENS LÄN</t>
        </is>
      </c>
      <c r="E353" t="inlineStr">
        <is>
          <t>ARVIDSJAUR</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11615-2025</t>
        </is>
      </c>
      <c r="B354" s="1" t="n">
        <v>45726</v>
      </c>
      <c r="C354" s="1" t="n">
        <v>45886</v>
      </c>
      <c r="D354" t="inlineStr">
        <is>
          <t>NORRBOTTENS LÄN</t>
        </is>
      </c>
      <c r="E354" t="inlineStr">
        <is>
          <t>ARVIDSJAUR</t>
        </is>
      </c>
      <c r="F354" t="inlineStr">
        <is>
          <t>Allmännings- och besparingsskogar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45886</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45886</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52407-2021</t>
        </is>
      </c>
      <c r="B357" s="1" t="n">
        <v>44463</v>
      </c>
      <c r="C357" s="1" t="n">
        <v>45886</v>
      </c>
      <c r="D357" t="inlineStr">
        <is>
          <t>NORRBOTTENS LÄN</t>
        </is>
      </c>
      <c r="E357" t="inlineStr">
        <is>
          <t>ARVIDSJAUR</t>
        </is>
      </c>
      <c r="G357" t="n">
        <v>10.3</v>
      </c>
      <c r="H357" t="n">
        <v>0</v>
      </c>
      <c r="I357" t="n">
        <v>0</v>
      </c>
      <c r="J357" t="n">
        <v>0</v>
      </c>
      <c r="K357" t="n">
        <v>0</v>
      </c>
      <c r="L357" t="n">
        <v>0</v>
      </c>
      <c r="M357" t="n">
        <v>0</v>
      </c>
      <c r="N357" t="n">
        <v>0</v>
      </c>
      <c r="O357" t="n">
        <v>0</v>
      </c>
      <c r="P357" t="n">
        <v>0</v>
      </c>
      <c r="Q357" t="n">
        <v>0</v>
      </c>
      <c r="R357" s="2" t="inlineStr"/>
    </row>
    <row r="358" ht="15" customHeight="1">
      <c r="A358" t="inlineStr">
        <is>
          <t>A 39439-2024</t>
        </is>
      </c>
      <c r="B358" s="1" t="n">
        <v>45551.60893518518</v>
      </c>
      <c r="C358" s="1" t="n">
        <v>45886</v>
      </c>
      <c r="D358" t="inlineStr">
        <is>
          <t>NORRBOTTENS LÄN</t>
        </is>
      </c>
      <c r="E358" t="inlineStr">
        <is>
          <t>ARVIDSJAUR</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42674-2021</t>
        </is>
      </c>
      <c r="B359" s="1" t="n">
        <v>44428</v>
      </c>
      <c r="C359" s="1" t="n">
        <v>45886</v>
      </c>
      <c r="D359" t="inlineStr">
        <is>
          <t>NORRBOTTENS LÄN</t>
        </is>
      </c>
      <c r="E359" t="inlineStr">
        <is>
          <t>ARVIDSJAUR</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42694-2021</t>
        </is>
      </c>
      <c r="B360" s="1" t="n">
        <v>44428</v>
      </c>
      <c r="C360" s="1" t="n">
        <v>45886</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11542-2025</t>
        </is>
      </c>
      <c r="B361" s="1" t="n">
        <v>45726</v>
      </c>
      <c r="C361" s="1" t="n">
        <v>45886</v>
      </c>
      <c r="D361" t="inlineStr">
        <is>
          <t>NORRBOTTENS LÄN</t>
        </is>
      </c>
      <c r="E361" t="inlineStr">
        <is>
          <t>ARVIDSJAUR</t>
        </is>
      </c>
      <c r="F361" t="inlineStr">
        <is>
          <t>Allmännings- och besparingsskogar</t>
        </is>
      </c>
      <c r="G361" t="n">
        <v>14.2</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45886</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48048-2022</t>
        </is>
      </c>
      <c r="B363" s="1" t="n">
        <v>44855</v>
      </c>
      <c r="C363" s="1" t="n">
        <v>45886</v>
      </c>
      <c r="D363" t="inlineStr">
        <is>
          <t>NORRBOTTENS LÄN</t>
        </is>
      </c>
      <c r="E363" t="inlineStr">
        <is>
          <t>ARVIDSJAUR</t>
        </is>
      </c>
      <c r="G363" t="n">
        <v>3.2</v>
      </c>
      <c r="H363" t="n">
        <v>0</v>
      </c>
      <c r="I363" t="n">
        <v>0</v>
      </c>
      <c r="J363" t="n">
        <v>0</v>
      </c>
      <c r="K363" t="n">
        <v>0</v>
      </c>
      <c r="L363" t="n">
        <v>0</v>
      </c>
      <c r="M363" t="n">
        <v>0</v>
      </c>
      <c r="N363" t="n">
        <v>0</v>
      </c>
      <c r="O363" t="n">
        <v>0</v>
      </c>
      <c r="P363" t="n">
        <v>0</v>
      </c>
      <c r="Q363" t="n">
        <v>0</v>
      </c>
      <c r="R363" s="2" t="inlineStr"/>
    </row>
    <row r="364" ht="15" customHeight="1">
      <c r="A364" t="inlineStr">
        <is>
          <t>A 25790-2024</t>
        </is>
      </c>
      <c r="B364" s="1" t="n">
        <v>45467</v>
      </c>
      <c r="C364" s="1" t="n">
        <v>45886</v>
      </c>
      <c r="D364" t="inlineStr">
        <is>
          <t>NORRBOTTENS LÄN</t>
        </is>
      </c>
      <c r="E364" t="inlineStr">
        <is>
          <t>ARVIDSJAUR</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25913-2024</t>
        </is>
      </c>
      <c r="B365" s="1" t="n">
        <v>45467</v>
      </c>
      <c r="C365" s="1" t="n">
        <v>45886</v>
      </c>
      <c r="D365" t="inlineStr">
        <is>
          <t>NORRBOTTENS LÄN</t>
        </is>
      </c>
      <c r="E365" t="inlineStr">
        <is>
          <t>ARVIDSJAUR</t>
        </is>
      </c>
      <c r="G365" t="n">
        <v>4.8</v>
      </c>
      <c r="H365" t="n">
        <v>0</v>
      </c>
      <c r="I365" t="n">
        <v>0</v>
      </c>
      <c r="J365" t="n">
        <v>0</v>
      </c>
      <c r="K365" t="n">
        <v>0</v>
      </c>
      <c r="L365" t="n">
        <v>0</v>
      </c>
      <c r="M365" t="n">
        <v>0</v>
      </c>
      <c r="N365" t="n">
        <v>0</v>
      </c>
      <c r="O365" t="n">
        <v>0</v>
      </c>
      <c r="P365" t="n">
        <v>0</v>
      </c>
      <c r="Q365" t="n">
        <v>0</v>
      </c>
      <c r="R365" s="2" t="inlineStr"/>
    </row>
    <row r="366" ht="15" customHeight="1">
      <c r="A366" t="inlineStr">
        <is>
          <t>A 59929-2020</t>
        </is>
      </c>
      <c r="B366" s="1" t="n">
        <v>44148</v>
      </c>
      <c r="C366" s="1" t="n">
        <v>45886</v>
      </c>
      <c r="D366" t="inlineStr">
        <is>
          <t>NORRBOTTENS LÄN</t>
        </is>
      </c>
      <c r="E366" t="inlineStr">
        <is>
          <t>ARVIDSJAUR</t>
        </is>
      </c>
      <c r="G366" t="n">
        <v>4.3</v>
      </c>
      <c r="H366" t="n">
        <v>0</v>
      </c>
      <c r="I366" t="n">
        <v>0</v>
      </c>
      <c r="J366" t="n">
        <v>0</v>
      </c>
      <c r="K366" t="n">
        <v>0</v>
      </c>
      <c r="L366" t="n">
        <v>0</v>
      </c>
      <c r="M366" t="n">
        <v>0</v>
      </c>
      <c r="N366" t="n">
        <v>0</v>
      </c>
      <c r="O366" t="n">
        <v>0</v>
      </c>
      <c r="P366" t="n">
        <v>0</v>
      </c>
      <c r="Q366" t="n">
        <v>0</v>
      </c>
      <c r="R366" s="2" t="inlineStr"/>
    </row>
    <row r="367" ht="15" customHeight="1">
      <c r="A367" t="inlineStr">
        <is>
          <t>A 56980-2024</t>
        </is>
      </c>
      <c r="B367" s="1" t="n">
        <v>45628</v>
      </c>
      <c r="C367" s="1" t="n">
        <v>45886</v>
      </c>
      <c r="D367" t="inlineStr">
        <is>
          <t>NORRBOTTENS LÄN</t>
        </is>
      </c>
      <c r="E367" t="inlineStr">
        <is>
          <t>ARVIDSJAUR</t>
        </is>
      </c>
      <c r="F367" t="inlineStr">
        <is>
          <t>Övriga Aktiebolag</t>
        </is>
      </c>
      <c r="G367" t="n">
        <v>5.1</v>
      </c>
      <c r="H367" t="n">
        <v>0</v>
      </c>
      <c r="I367" t="n">
        <v>0</v>
      </c>
      <c r="J367" t="n">
        <v>0</v>
      </c>
      <c r="K367" t="n">
        <v>0</v>
      </c>
      <c r="L367" t="n">
        <v>0</v>
      </c>
      <c r="M367" t="n">
        <v>0</v>
      </c>
      <c r="N367" t="n">
        <v>0</v>
      </c>
      <c r="O367" t="n">
        <v>0</v>
      </c>
      <c r="P367" t="n">
        <v>0</v>
      </c>
      <c r="Q367" t="n">
        <v>0</v>
      </c>
      <c r="R367" s="2" t="inlineStr"/>
    </row>
    <row r="368" ht="15" customHeight="1">
      <c r="A368" t="inlineStr">
        <is>
          <t>A 9621-2024</t>
        </is>
      </c>
      <c r="B368" s="1" t="n">
        <v>45361</v>
      </c>
      <c r="C368" s="1" t="n">
        <v>45886</v>
      </c>
      <c r="D368" t="inlineStr">
        <is>
          <t>NORRBOTTENS LÄN</t>
        </is>
      </c>
      <c r="E368" t="inlineStr">
        <is>
          <t>ARVIDSJAUR</t>
        </is>
      </c>
      <c r="G368" t="n">
        <v>0.4</v>
      </c>
      <c r="H368" t="n">
        <v>0</v>
      </c>
      <c r="I368" t="n">
        <v>0</v>
      </c>
      <c r="J368" t="n">
        <v>0</v>
      </c>
      <c r="K368" t="n">
        <v>0</v>
      </c>
      <c r="L368" t="n">
        <v>0</v>
      </c>
      <c r="M368" t="n">
        <v>0</v>
      </c>
      <c r="N368" t="n">
        <v>0</v>
      </c>
      <c r="O368" t="n">
        <v>0</v>
      </c>
      <c r="P368" t="n">
        <v>0</v>
      </c>
      <c r="Q368" t="n">
        <v>0</v>
      </c>
      <c r="R368" s="2" t="inlineStr"/>
    </row>
    <row r="369" ht="15" customHeight="1">
      <c r="A369" t="inlineStr">
        <is>
          <t>A 41235-2022</t>
        </is>
      </c>
      <c r="B369" s="1" t="n">
        <v>44825</v>
      </c>
      <c r="C369" s="1" t="n">
        <v>45886</v>
      </c>
      <c r="D369" t="inlineStr">
        <is>
          <t>NORRBOTTENS LÄN</t>
        </is>
      </c>
      <c r="E369" t="inlineStr">
        <is>
          <t>ARVIDSJAUR</t>
        </is>
      </c>
      <c r="G369" t="n">
        <v>0.8</v>
      </c>
      <c r="H369" t="n">
        <v>0</v>
      </c>
      <c r="I369" t="n">
        <v>0</v>
      </c>
      <c r="J369" t="n">
        <v>0</v>
      </c>
      <c r="K369" t="n">
        <v>0</v>
      </c>
      <c r="L369" t="n">
        <v>0</v>
      </c>
      <c r="M369" t="n">
        <v>0</v>
      </c>
      <c r="N369" t="n">
        <v>0</v>
      </c>
      <c r="O369" t="n">
        <v>0</v>
      </c>
      <c r="P369" t="n">
        <v>0</v>
      </c>
      <c r="Q369" t="n">
        <v>0</v>
      </c>
      <c r="R369" s="2" t="inlineStr"/>
    </row>
    <row r="370" ht="15" customHeight="1">
      <c r="A370" t="inlineStr">
        <is>
          <t>A 59325-2022</t>
        </is>
      </c>
      <c r="B370" s="1" t="n">
        <v>44904</v>
      </c>
      <c r="C370" s="1" t="n">
        <v>45886</v>
      </c>
      <c r="D370" t="inlineStr">
        <is>
          <t>NORRBOTTENS LÄN</t>
        </is>
      </c>
      <c r="E370" t="inlineStr">
        <is>
          <t>ARVIDSJAUR</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61202-2022</t>
        </is>
      </c>
      <c r="B371" s="1" t="n">
        <v>44915</v>
      </c>
      <c r="C371" s="1" t="n">
        <v>45886</v>
      </c>
      <c r="D371" t="inlineStr">
        <is>
          <t>NORRBOTTENS LÄN</t>
        </is>
      </c>
      <c r="E371" t="inlineStr">
        <is>
          <t>ARVIDSJAUR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3207-2024</t>
        </is>
      </c>
      <c r="B372" s="1" t="n">
        <v>45316</v>
      </c>
      <c r="C372" s="1" t="n">
        <v>45886</v>
      </c>
      <c r="D372" t="inlineStr">
        <is>
          <t>NORRBOTTENS LÄN</t>
        </is>
      </c>
      <c r="E372" t="inlineStr">
        <is>
          <t>ARVIDSJAUR</t>
        </is>
      </c>
      <c r="F372" t="inlineStr">
        <is>
          <t>Allmännings- och besparingsskogar</t>
        </is>
      </c>
      <c r="G372" t="n">
        <v>6.6</v>
      </c>
      <c r="H372" t="n">
        <v>0</v>
      </c>
      <c r="I372" t="n">
        <v>0</v>
      </c>
      <c r="J372" t="n">
        <v>0</v>
      </c>
      <c r="K372" t="n">
        <v>0</v>
      </c>
      <c r="L372" t="n">
        <v>0</v>
      </c>
      <c r="M372" t="n">
        <v>0</v>
      </c>
      <c r="N372" t="n">
        <v>0</v>
      </c>
      <c r="O372" t="n">
        <v>0</v>
      </c>
      <c r="P372" t="n">
        <v>0</v>
      </c>
      <c r="Q372" t="n">
        <v>0</v>
      </c>
      <c r="R372" s="2" t="inlineStr"/>
    </row>
    <row r="373">
      <c r="A373" t="inlineStr">
        <is>
          <t>A 20393-2025</t>
        </is>
      </c>
      <c r="B373" s="1" t="n">
        <v>45775.44886574074</v>
      </c>
      <c r="C373" s="1" t="n">
        <v>45886</v>
      </c>
      <c r="D373" t="inlineStr">
        <is>
          <t>NORRBOTTENS LÄN</t>
        </is>
      </c>
      <c r="E373" t="inlineStr">
        <is>
          <t>ARVIDSJAUR</t>
        </is>
      </c>
      <c r="G373" t="n">
        <v>7.6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2025-08-17T08:31:32Z</dcterms:created>
  <dcterms:modified xmlns:dcterms="http://purl.org/dc/terms/" xmlns:xsi="http://www.w3.org/2001/XMLSchema-instance" xsi:type="dcterms:W3CDTF">2025-08-17T08:31:33Z</dcterms:modified>
</cp:coreProperties>
</file>