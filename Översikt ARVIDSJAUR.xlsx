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45843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45843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45843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45843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45843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45843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45843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45843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45843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45843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45843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45843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31153-2025</t>
        </is>
      </c>
      <c r="B22" s="1" t="n">
        <v>45832</v>
      </c>
      <c r="C22" s="1" t="n">
        <v>45843</v>
      </c>
      <c r="D22" t="inlineStr">
        <is>
          <t>NORRBOTTENS LÄN</t>
        </is>
      </c>
      <c r="E22" t="inlineStr">
        <is>
          <t>ARVIDSJAUR</t>
        </is>
      </c>
      <c r="F22" t="inlineStr">
        <is>
          <t>Sveaskog</t>
        </is>
      </c>
      <c r="G22" t="n">
        <v>15.2</v>
      </c>
      <c r="H22" t="n">
        <v>2</v>
      </c>
      <c r="I22" t="n">
        <v>1</v>
      </c>
      <c r="J22" t="n">
        <v>5</v>
      </c>
      <c r="K22" t="n">
        <v>2</v>
      </c>
      <c r="L22" t="n">
        <v>0</v>
      </c>
      <c r="M22" t="n">
        <v>0</v>
      </c>
      <c r="N22" t="n">
        <v>0</v>
      </c>
      <c r="O22" t="n">
        <v>7</v>
      </c>
      <c r="P22" t="n">
        <v>2</v>
      </c>
      <c r="Q22" t="n">
        <v>10</v>
      </c>
      <c r="R22" s="2" t="inlineStr">
        <is>
          <t>Fläckporing
Gräddporing
Dvärgbägarlav
Knottrig blåslav
Mörk kolflarnlav
Nordtagging
Vitgrynig nållav
Dropptaggsvamp
Kungsfågel
Tjäder</t>
        </is>
      </c>
      <c r="S22">
        <f>HYPERLINK("https://klasma.github.io/Logging_252505/artfynd/A 31153-2025 artfynd.xlsx", "A 31153-2025")</f>
        <v/>
      </c>
      <c r="T22">
        <f>HYPERLINK("https://klasma.github.io/Logging_252505/kartor/A 31153-2025 karta.png", "A 31153-2025")</f>
        <v/>
      </c>
      <c r="U22">
        <f>HYPERLINK("https://klasma.github.io/Logging_252505/knärot/A 31153-2025 karta knärot.png", "A 31153-2025")</f>
        <v/>
      </c>
      <c r="V22">
        <f>HYPERLINK("https://klasma.github.io/Logging_252505/klagomål/A 31153-2025 FSC-klagomål.docx", "A 31153-2025")</f>
        <v/>
      </c>
      <c r="W22">
        <f>HYPERLINK("https://klasma.github.io/Logging_252505/klagomålsmail/A 31153-2025 FSC-klagomål mail.docx", "A 31153-2025")</f>
        <v/>
      </c>
      <c r="X22">
        <f>HYPERLINK("https://klasma.github.io/Logging_252505/tillsyn/A 31153-2025 tillsynsbegäran.docx", "A 31153-2025")</f>
        <v/>
      </c>
      <c r="Y22">
        <f>HYPERLINK("https://klasma.github.io/Logging_252505/tillsynsmail/A 31153-2025 tillsynsbegäran mail.docx", "A 31153-2025")</f>
        <v/>
      </c>
      <c r="Z22">
        <f>HYPERLINK("https://klasma.github.io/Logging_252505/fåglar/A 31153-2025 prioriterade fågelarter.docx", "A 31153-2025")</f>
        <v/>
      </c>
    </row>
    <row r="23" ht="15" customHeight="1">
      <c r="A23" t="inlineStr">
        <is>
          <t>A 35247-2022</t>
        </is>
      </c>
      <c r="B23" s="1" t="n">
        <v>44797</v>
      </c>
      <c r="C23" s="1" t="n">
        <v>45843</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45843</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45843</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45843</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45843</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45843</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45843</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45843</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45843</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45843</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45843</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45843</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45843</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45843</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45843</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45843</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45843</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45843</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45843</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45843</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45843</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45843</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45843</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45843</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45843</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45843</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45843</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45843</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45843</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45843</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45843</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45843</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45843</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45843</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45843</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45843</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45843</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45843</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45843</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45843</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45843</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45843</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45843</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45843</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45843</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45843</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45843</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45843</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45843</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45843</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45843</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45843</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45843</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45843</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45843</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45843</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45843</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45843</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45843</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45843</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45843</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45843</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45843</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45843</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45843</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45843</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45843</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45843</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45843</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45843</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45843</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45843</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45843</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45843</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45843</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45843</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45843</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45843</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45843</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45843</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45843</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45843</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45843</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45843</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45843</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45843</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45843</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45843</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45843</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45843</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45843</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45843</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45843</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45843</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45843</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45843</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45843</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45843</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45843</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45843</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45843</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45843</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45843</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45843</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45843</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45843</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45843</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45843</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45843</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45843</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45843</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45843</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45843</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45843</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45843</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45843</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45843</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45843</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45843</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45843</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45843</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45843</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45843</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45843</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45843</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45843</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45843</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45843</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45843</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45843</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45843</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45843</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45843</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45843</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45843</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45843</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45843</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45843</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45843</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45843</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45843</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45843</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45843</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45843</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45843</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45843</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45843</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45843</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45843</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45843</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45843</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45843</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45843</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45843</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45843</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45843</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45843</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45843</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45843</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45843</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45843</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45843</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45843</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45843</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45843</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45843</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45843</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45843</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45843</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45843</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45843</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45843</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45843</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45843</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45843</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45843</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45843</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45843</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45843</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45843</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45843</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45843</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45843</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45843</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45843</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45843</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45843</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45843</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45843</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45843</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45843</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45843</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45843</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45843</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45843</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45843</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45843</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45843</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45843</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45843</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45843</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45843</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45843</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45843</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45843</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45843</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45843</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45843</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45843</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45843</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45843</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45843</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45843</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45843</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45843</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45843</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45843</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45843</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45843</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45843</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45843</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45843</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45843</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45843</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45843</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45843</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45843</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45843</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45843</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45843</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45843</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45843</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45843</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45843</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45843</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45843</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45843</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45843</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45843</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45843</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45843</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45843</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45843</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45843</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45843</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45843</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45843</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45843</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45843</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45843</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45843</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45843</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45843</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45843</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45843</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45843</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45843</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45843</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45843</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45843</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45843</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45843</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45843</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45843</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45843</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45843</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45843</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45843</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45843</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45843</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45843</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45843</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45843</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45843</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45843</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45843</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45843</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45843</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45843</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45843</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45843</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45843</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45843</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45843</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45843</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45843</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45843</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45843</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45843</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45843</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45843</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45843</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45843</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45843</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45843</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45843</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45843</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45843</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45843</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45843</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45843</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45843</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45843</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45843</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45843</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45843</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45843</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45843</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45843</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45843</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45843</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45843</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45843</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45843</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45843</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45843</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45843</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45843</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45843</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45843</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45843</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45843</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45843</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45843</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45843</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45843</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45843</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45843</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45843</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45843</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45843</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45843</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45843</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45843</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45843</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45843</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45843</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45843</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45843</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45843</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45843</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45843</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45843</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45843</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45843</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45843</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45843</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45843</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45843</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45843</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45843</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45843</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45843</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45843</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45843</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45843</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45843</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45843</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45843</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45843</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45843</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45843</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45843</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45843</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45843</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45843</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45843</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45843</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45843</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45843</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45843</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45843</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45843</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45843</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45843</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45843</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45843</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45843</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45843</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45843</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45843</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45843</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45843</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45843</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45843</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45843</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45843</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45843</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45843</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45843</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45843</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45843</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45843</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45843</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45843</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45843</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45843</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45843</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45843</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45843</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45843</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45843</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45843</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45843</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45843</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45843</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45843</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45843</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45843</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45843</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45843</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45843</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45843</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45843</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45843</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45843</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45843</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45843</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45843</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45843</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45843</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45843</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45843</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45843</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45843</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45843</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45843</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45843</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45843</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45843</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45843</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45843</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45843</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45843</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45843</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45843</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45843</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45843</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45843</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45843</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45843</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45843</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45843</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45843</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45843</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45843</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45843</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45843</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45843</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45843</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45843</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45843</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45843</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45843</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45843</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45843</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45843</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45843</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45843</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45843</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45843</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45843</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45843</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45843</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45843</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45843</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45843</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45843</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45843</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45843</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45843</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45843</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45843</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45843</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45843</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45843</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45843</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45843</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45843</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45843</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45843</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45843</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45843</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45843</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45843</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45843</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45843</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45843</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45843</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45843</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45843</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45843</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45843</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45843</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45843</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45843</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45843</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45843</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45843</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45843</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45843</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45843</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45843</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45843</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45843</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45843</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45843</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45843</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45843</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45843</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45843</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45843</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45843</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45843</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45843</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45843</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45843</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45843</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45843</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45843</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45843</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45843</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45843</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45843</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45843</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45843</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45843</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45843</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45843</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45843</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45843</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45843</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45843</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45843</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45843</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45843</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45843</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45843</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45843</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45843</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45843</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45843</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45843</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45843</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45843</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45843</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45843</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45843</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45843</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45843</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45843</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45843</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45843</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45843</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45843</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45843</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45843</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45843</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45843</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45843</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45843</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45843</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45843</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45843</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45843</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45843</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45843</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45843</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45843</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45843</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45843</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45843</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45843</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45843</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45843</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45843</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45843</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45843</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45843</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45843</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45843</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45843</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45843</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45843</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45843</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45843</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45843</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45843</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45843</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45843</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45843</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45843</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45843</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45843</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45843</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45843</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45843</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45843</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45843</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45843</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45843</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45843</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45843</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45843</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45843</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45843</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45843</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45843</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45843</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45843</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45843</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45843</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45843</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45843</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45843</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45843</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45843</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45843</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45843</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45843</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45843</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45843</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45843</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45843</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45843</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45843</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45843</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45843</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45843</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45843</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45843</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45843</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45843</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45843</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45843</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45843</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45843</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45843</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45843</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45843</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45843</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45843</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45843</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45843</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45843</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45843</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45843</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45843</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45843</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45843</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45843</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45843</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45843</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45843</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45843</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45843</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45843</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45843</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45843</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45843</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45843</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45843</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45843</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45843</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45843</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45843</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45843</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45843</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45843</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45843</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45843</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45843</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45843</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45843</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45843</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45843</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45843</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45843</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45843</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45843</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45843</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45843</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45843</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45843</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45843</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45843</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45843</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45843</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45843</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45843</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45843</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45843</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45843</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45843</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45843</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45843</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45843</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45843</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45843</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45843</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45843</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45843</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45843</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45843</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45843</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45843</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45843</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45843</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45843</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45843</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45843</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45843</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45843</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45843</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45843</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45843</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45843</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45843</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45843</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29514-2025</t>
        </is>
      </c>
      <c r="B742" s="1" t="n">
        <v>45825</v>
      </c>
      <c r="C742" s="1" t="n">
        <v>45843</v>
      </c>
      <c r="D742" t="inlineStr">
        <is>
          <t>NORRBOTTENS LÄN</t>
        </is>
      </c>
      <c r="E742" t="inlineStr">
        <is>
          <t>ARVIDSJAUR</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29504-2025</t>
        </is>
      </c>
      <c r="B743" s="1" t="n">
        <v>45825</v>
      </c>
      <c r="C743" s="1" t="n">
        <v>45843</v>
      </c>
      <c r="D743" t="inlineStr">
        <is>
          <t>NORRBOTTENS LÄN</t>
        </is>
      </c>
      <c r="E743" t="inlineStr">
        <is>
          <t>ARVIDSJAUR</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45843</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45843</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33174-2025</t>
        </is>
      </c>
      <c r="B746" s="1" t="n">
        <v>45840</v>
      </c>
      <c r="C746" s="1" t="n">
        <v>45843</v>
      </c>
      <c r="D746" t="inlineStr">
        <is>
          <t>NORRBOTTENS LÄN</t>
        </is>
      </c>
      <c r="E746" t="inlineStr">
        <is>
          <t>ARVIDSJAUR</t>
        </is>
      </c>
      <c r="F746" t="inlineStr">
        <is>
          <t>Sveaskog</t>
        </is>
      </c>
      <c r="G746" t="n">
        <v>26.3</v>
      </c>
      <c r="H746" t="n">
        <v>0</v>
      </c>
      <c r="I746" t="n">
        <v>0</v>
      </c>
      <c r="J746" t="n">
        <v>0</v>
      </c>
      <c r="K746" t="n">
        <v>0</v>
      </c>
      <c r="L746" t="n">
        <v>0</v>
      </c>
      <c r="M746" t="n">
        <v>0</v>
      </c>
      <c r="N746" t="n">
        <v>0</v>
      </c>
      <c r="O746" t="n">
        <v>0</v>
      </c>
      <c r="P746" t="n">
        <v>0</v>
      </c>
      <c r="Q746" t="n">
        <v>0</v>
      </c>
      <c r="R746" s="2" t="inlineStr"/>
    </row>
    <row r="747" ht="15" customHeight="1">
      <c r="A747" t="inlineStr">
        <is>
          <t>A 32990-2025</t>
        </is>
      </c>
      <c r="B747" s="1" t="n">
        <v>45840</v>
      </c>
      <c r="C747" s="1" t="n">
        <v>45843</v>
      </c>
      <c r="D747" t="inlineStr">
        <is>
          <t>NORRBOTTENS LÄN</t>
        </is>
      </c>
      <c r="E747" t="inlineStr">
        <is>
          <t>ARVIDSJAUR</t>
        </is>
      </c>
      <c r="G747" t="n">
        <v>3</v>
      </c>
      <c r="H747" t="n">
        <v>0</v>
      </c>
      <c r="I747" t="n">
        <v>0</v>
      </c>
      <c r="J747" t="n">
        <v>0</v>
      </c>
      <c r="K747" t="n">
        <v>0</v>
      </c>
      <c r="L747" t="n">
        <v>0</v>
      </c>
      <c r="M747" t="n">
        <v>0</v>
      </c>
      <c r="N747" t="n">
        <v>0</v>
      </c>
      <c r="O747" t="n">
        <v>0</v>
      </c>
      <c r="P747" t="n">
        <v>0</v>
      </c>
      <c r="Q747" t="n">
        <v>0</v>
      </c>
      <c r="R747" s="2" t="inlineStr"/>
    </row>
    <row r="748" ht="15" customHeight="1">
      <c r="A748" t="inlineStr">
        <is>
          <t>A 33222-2025</t>
        </is>
      </c>
      <c r="B748" s="1" t="n">
        <v>45840</v>
      </c>
      <c r="C748" s="1" t="n">
        <v>45843</v>
      </c>
      <c r="D748" t="inlineStr">
        <is>
          <t>NORRBOTTENS LÄN</t>
        </is>
      </c>
      <c r="E748" t="inlineStr">
        <is>
          <t>ARVIDSJAUR</t>
        </is>
      </c>
      <c r="F748" t="inlineStr">
        <is>
          <t>Sveaskog</t>
        </is>
      </c>
      <c r="G748" t="n">
        <v>6.5</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45843</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2025-07-05T19:50:31Z</dcterms:created>
  <dcterms:modified xmlns:dcterms="http://purl.org/dc/terms/" xmlns:xsi="http://www.w3.org/2001/XMLSchema-instance" xsi:type="dcterms:W3CDTF">2025-07-05T19:50:31Z</dcterms:modified>
</cp:coreProperties>
</file>