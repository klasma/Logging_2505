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45732</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45732</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45732</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45732</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11630-2025</t>
        </is>
      </c>
      <c r="B34" s="1" t="n">
        <v>45726</v>
      </c>
      <c r="C34" s="1" t="n">
        <v>45732</v>
      </c>
      <c r="D34" t="inlineStr">
        <is>
          <t>NORRBOTTENS LÄN</t>
        </is>
      </c>
      <c r="E34" t="inlineStr">
        <is>
          <t>ARVIDSJAUR</t>
        </is>
      </c>
      <c r="F34" t="inlineStr">
        <is>
          <t>Allmännings- och besparingsskogar</t>
        </is>
      </c>
      <c r="G34" t="n">
        <v>7.7</v>
      </c>
      <c r="H34" t="n">
        <v>0</v>
      </c>
      <c r="I34" t="n">
        <v>1</v>
      </c>
      <c r="J34" t="n">
        <v>2</v>
      </c>
      <c r="K34" t="n">
        <v>1</v>
      </c>
      <c r="L34" t="n">
        <v>0</v>
      </c>
      <c r="M34" t="n">
        <v>0</v>
      </c>
      <c r="N34" t="n">
        <v>0</v>
      </c>
      <c r="O34" t="n">
        <v>3</v>
      </c>
      <c r="P34" t="n">
        <v>1</v>
      </c>
      <c r="Q34" t="n">
        <v>4</v>
      </c>
      <c r="R34" s="2" t="inlineStr">
        <is>
          <t>Smalfotad taggsvamp
Blanksvart spiklav
Svart taggsvamp
Dropptaggsvamp</t>
        </is>
      </c>
      <c r="S34">
        <f>HYPERLINK("https://klasma.github.io/Logging_2505/artfynd/A 11630-2025 artfynd.xlsx", "A 11630-2025")</f>
        <v/>
      </c>
      <c r="T34">
        <f>HYPERLINK("https://klasma.github.io/Logging_2505/kartor/A 11630-2025 karta.png", "A 11630-2025")</f>
        <v/>
      </c>
      <c r="V34">
        <f>HYPERLINK("https://klasma.github.io/Logging_2505/klagomål/A 11630-2025 FSC-klagomål.docx", "A 11630-2025")</f>
        <v/>
      </c>
      <c r="W34">
        <f>HYPERLINK("https://klasma.github.io/Logging_2505/klagomålsmail/A 11630-2025 FSC-klagomål mail.docx", "A 11630-2025")</f>
        <v/>
      </c>
      <c r="X34">
        <f>HYPERLINK("https://klasma.github.io/Logging_2505/tillsyn/A 11630-2025 tillsynsbegäran.docx", "A 11630-2025")</f>
        <v/>
      </c>
      <c r="Y34">
        <f>HYPERLINK("https://klasma.github.io/Logging_2505/tillsynsmail/A 11630-2025 tillsynsbegäran mail.docx", "A 11630-2025")</f>
        <v/>
      </c>
    </row>
    <row r="35" ht="15" customHeight="1">
      <c r="A35" t="inlineStr">
        <is>
          <t>A 33453-2022</t>
        </is>
      </c>
      <c r="B35" s="1" t="n">
        <v>44788</v>
      </c>
      <c r="C35" s="1" t="n">
        <v>45732</v>
      </c>
      <c r="D35" t="inlineStr">
        <is>
          <t>NORRBOTTENS LÄN</t>
        </is>
      </c>
      <c r="E35" t="inlineStr">
        <is>
          <t>ARVIDSJAUR</t>
        </is>
      </c>
      <c r="F35" t="inlineStr">
        <is>
          <t>Allmännings- och besparingsskogar</t>
        </is>
      </c>
      <c r="G35" t="n">
        <v>18</v>
      </c>
      <c r="H35" t="n">
        <v>0</v>
      </c>
      <c r="I35" t="n">
        <v>0</v>
      </c>
      <c r="J35" t="n">
        <v>2</v>
      </c>
      <c r="K35" t="n">
        <v>1</v>
      </c>
      <c r="L35" t="n">
        <v>0</v>
      </c>
      <c r="M35" t="n">
        <v>0</v>
      </c>
      <c r="N35" t="n">
        <v>0</v>
      </c>
      <c r="O35" t="n">
        <v>3</v>
      </c>
      <c r="P35" t="n">
        <v>1</v>
      </c>
      <c r="Q35" t="n">
        <v>3</v>
      </c>
      <c r="R35" s="2" t="inlineStr">
        <is>
          <t>Fläckporing
Gränsticka
Nordtagging</t>
        </is>
      </c>
      <c r="S35">
        <f>HYPERLINK("https://klasma.github.io/Logging_2505/artfynd/A 33453-2022 artfynd.xlsx", "A 33453-2022")</f>
        <v/>
      </c>
      <c r="T35">
        <f>HYPERLINK("https://klasma.github.io/Logging_2505/kartor/A 33453-2022 karta.png", "A 33453-2022")</f>
        <v/>
      </c>
      <c r="V35">
        <f>HYPERLINK("https://klasma.github.io/Logging_2505/klagomål/A 33453-2022 FSC-klagomål.docx", "A 33453-2022")</f>
        <v/>
      </c>
      <c r="W35">
        <f>HYPERLINK("https://klasma.github.io/Logging_2505/klagomålsmail/A 33453-2022 FSC-klagomål mail.docx", "A 33453-2022")</f>
        <v/>
      </c>
      <c r="X35">
        <f>HYPERLINK("https://klasma.github.io/Logging_2505/tillsyn/A 33453-2022 tillsynsbegäran.docx", "A 33453-2022")</f>
        <v/>
      </c>
      <c r="Y35">
        <f>HYPERLINK("https://klasma.github.io/Logging_2505/tillsynsmail/A 33453-2022 tillsynsbegäran mail.docx", "A 33453-2022")</f>
        <v/>
      </c>
    </row>
    <row r="36" ht="15" customHeight="1">
      <c r="A36" t="inlineStr">
        <is>
          <t>A 33873-2022</t>
        </is>
      </c>
      <c r="B36" s="1" t="n">
        <v>44790</v>
      </c>
      <c r="C36" s="1" t="n">
        <v>45732</v>
      </c>
      <c r="D36" t="inlineStr">
        <is>
          <t>NORRBOTTENS LÄN</t>
        </is>
      </c>
      <c r="E36" t="inlineStr">
        <is>
          <t>ARVIDSJAUR</t>
        </is>
      </c>
      <c r="F36" t="inlineStr">
        <is>
          <t>Sveaskog</t>
        </is>
      </c>
      <c r="G36" t="n">
        <v>15.8</v>
      </c>
      <c r="H36" t="n">
        <v>1</v>
      </c>
      <c r="I36" t="n">
        <v>1</v>
      </c>
      <c r="J36" t="n">
        <v>1</v>
      </c>
      <c r="K36" t="n">
        <v>1</v>
      </c>
      <c r="L36" t="n">
        <v>0</v>
      </c>
      <c r="M36" t="n">
        <v>0</v>
      </c>
      <c r="N36" t="n">
        <v>0</v>
      </c>
      <c r="O36" t="n">
        <v>2</v>
      </c>
      <c r="P36" t="n">
        <v>1</v>
      </c>
      <c r="Q36" t="n">
        <v>3</v>
      </c>
      <c r="R36" s="2" t="inlineStr">
        <is>
          <t>Smalfotad taggsvamp
Tretåig hackspett
Dropptaggsvamp</t>
        </is>
      </c>
      <c r="S36">
        <f>HYPERLINK("https://klasma.github.io/Logging_2505/artfynd/A 33873-2022 artfynd.xlsx", "A 33873-2022")</f>
        <v/>
      </c>
      <c r="T36">
        <f>HYPERLINK("https://klasma.github.io/Logging_2505/kartor/A 33873-2022 karta.png", "A 33873-2022")</f>
        <v/>
      </c>
      <c r="V36">
        <f>HYPERLINK("https://klasma.github.io/Logging_2505/klagomål/A 33873-2022 FSC-klagomål.docx", "A 33873-2022")</f>
        <v/>
      </c>
      <c r="W36">
        <f>HYPERLINK("https://klasma.github.io/Logging_2505/klagomålsmail/A 33873-2022 FSC-klagomål mail.docx", "A 33873-2022")</f>
        <v/>
      </c>
      <c r="X36">
        <f>HYPERLINK("https://klasma.github.io/Logging_2505/tillsyn/A 33873-2022 tillsynsbegäran.docx", "A 33873-2022")</f>
        <v/>
      </c>
      <c r="Y36">
        <f>HYPERLINK("https://klasma.github.io/Logging_2505/tillsynsmail/A 33873-2022 tillsynsbegäran mail.docx", "A 33873-2022")</f>
        <v/>
      </c>
      <c r="Z36">
        <f>HYPERLINK("https://klasma.github.io/Logging_2505/fåglar/A 33873-2022 prioriterade fågelarter.docx", "A 33873-2022")</f>
        <v/>
      </c>
    </row>
    <row r="37" ht="15" customHeight="1">
      <c r="A37" t="inlineStr">
        <is>
          <t>A 37113-2022</t>
        </is>
      </c>
      <c r="B37" s="1" t="n">
        <v>44806</v>
      </c>
      <c r="C37" s="1" t="n">
        <v>45732</v>
      </c>
      <c r="D37" t="inlineStr">
        <is>
          <t>NORRBOTTENS LÄN</t>
        </is>
      </c>
      <c r="E37" t="inlineStr">
        <is>
          <t>ARVIDSJAUR</t>
        </is>
      </c>
      <c r="F37" t="inlineStr">
        <is>
          <t>Sveaskog</t>
        </is>
      </c>
      <c r="G37" t="n">
        <v>6.6</v>
      </c>
      <c r="H37" t="n">
        <v>0</v>
      </c>
      <c r="I37" t="n">
        <v>1</v>
      </c>
      <c r="J37" t="n">
        <v>1</v>
      </c>
      <c r="K37" t="n">
        <v>1</v>
      </c>
      <c r="L37" t="n">
        <v>0</v>
      </c>
      <c r="M37" t="n">
        <v>0</v>
      </c>
      <c r="N37" t="n">
        <v>0</v>
      </c>
      <c r="O37" t="n">
        <v>2</v>
      </c>
      <c r="P37" t="n">
        <v>1</v>
      </c>
      <c r="Q37" t="n">
        <v>3</v>
      </c>
      <c r="R37" s="2" t="inlineStr">
        <is>
          <t>Gräddporing
Svart taggsvamp
Dropptaggsvamp</t>
        </is>
      </c>
      <c r="S37">
        <f>HYPERLINK("https://klasma.github.io/Logging_2505/artfynd/A 37113-2022 artfynd.xlsx", "A 37113-2022")</f>
        <v/>
      </c>
      <c r="T37">
        <f>HYPERLINK("https://klasma.github.io/Logging_2505/kartor/A 37113-2022 karta.png", "A 37113-2022")</f>
        <v/>
      </c>
      <c r="V37">
        <f>HYPERLINK("https://klasma.github.io/Logging_2505/klagomål/A 37113-2022 FSC-klagomål.docx", "A 37113-2022")</f>
        <v/>
      </c>
      <c r="W37">
        <f>HYPERLINK("https://klasma.github.io/Logging_2505/klagomålsmail/A 37113-2022 FSC-klagomål mail.docx", "A 37113-2022")</f>
        <v/>
      </c>
      <c r="X37">
        <f>HYPERLINK("https://klasma.github.io/Logging_2505/tillsyn/A 37113-2022 tillsynsbegäran.docx", "A 37113-2022")</f>
        <v/>
      </c>
      <c r="Y37">
        <f>HYPERLINK("https://klasma.github.io/Logging_2505/tillsynsmail/A 37113-2022 tillsynsbegäran mail.docx", "A 37113-2022")</f>
        <v/>
      </c>
    </row>
    <row r="38" ht="15" customHeight="1">
      <c r="A38" t="inlineStr">
        <is>
          <t>A 61137-2022</t>
        </is>
      </c>
      <c r="B38" s="1" t="n">
        <v>44915</v>
      </c>
      <c r="C38" s="1" t="n">
        <v>45732</v>
      </c>
      <c r="D38" t="inlineStr">
        <is>
          <t>NORRBOTTENS LÄN</t>
        </is>
      </c>
      <c r="E38" t="inlineStr">
        <is>
          <t>ARVIDSJAUR</t>
        </is>
      </c>
      <c r="F38" t="inlineStr">
        <is>
          <t>Sveaskog</t>
        </is>
      </c>
      <c r="G38" t="n">
        <v>10.5</v>
      </c>
      <c r="H38" t="n">
        <v>1</v>
      </c>
      <c r="I38" t="n">
        <v>1</v>
      </c>
      <c r="J38" t="n">
        <v>1</v>
      </c>
      <c r="K38" t="n">
        <v>0</v>
      </c>
      <c r="L38" t="n">
        <v>0</v>
      </c>
      <c r="M38" t="n">
        <v>0</v>
      </c>
      <c r="N38" t="n">
        <v>0</v>
      </c>
      <c r="O38" t="n">
        <v>1</v>
      </c>
      <c r="P38" t="n">
        <v>0</v>
      </c>
      <c r="Q38" t="n">
        <v>3</v>
      </c>
      <c r="R38" s="2" t="inlineStr">
        <is>
          <t>Sandsyra
Ögonpyrola
Revlummer</t>
        </is>
      </c>
      <c r="S38">
        <f>HYPERLINK("https://klasma.github.io/Logging_2505/artfynd/A 61137-2022 artfynd.xlsx", "A 61137-2022")</f>
        <v/>
      </c>
      <c r="T38">
        <f>HYPERLINK("https://klasma.github.io/Logging_2505/kartor/A 61137-2022 karta.png", "A 61137-2022")</f>
        <v/>
      </c>
      <c r="V38">
        <f>HYPERLINK("https://klasma.github.io/Logging_2505/klagomål/A 61137-2022 FSC-klagomål.docx", "A 61137-2022")</f>
        <v/>
      </c>
      <c r="W38">
        <f>HYPERLINK("https://klasma.github.io/Logging_2505/klagomålsmail/A 61137-2022 FSC-klagomål mail.docx", "A 61137-2022")</f>
        <v/>
      </c>
      <c r="X38">
        <f>HYPERLINK("https://klasma.github.io/Logging_2505/tillsyn/A 61137-2022 tillsynsbegäran.docx", "A 61137-2022")</f>
        <v/>
      </c>
      <c r="Y38">
        <f>HYPERLINK("https://klasma.github.io/Logging_2505/tillsynsmail/A 61137-2022 tillsynsbegäran mail.docx", "A 61137-2022")</f>
        <v/>
      </c>
    </row>
    <row r="39" ht="15" customHeight="1">
      <c r="A39" t="inlineStr">
        <is>
          <t>A 36451-2024</t>
        </is>
      </c>
      <c r="B39" s="1" t="n">
        <v>45537</v>
      </c>
      <c r="C39" s="1" t="n">
        <v>45732</v>
      </c>
      <c r="D39" t="inlineStr">
        <is>
          <t>NORRBOTTENS LÄN</t>
        </is>
      </c>
      <c r="E39" t="inlineStr">
        <is>
          <t>ARVIDSJAUR</t>
        </is>
      </c>
      <c r="F39" t="inlineStr">
        <is>
          <t>Sveaskog</t>
        </is>
      </c>
      <c r="G39" t="n">
        <v>19.2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HYPERLINK("https://klasma.github.io/Logging_2505/artfynd/A 36451-2024 artfynd.xlsx", "A 36451-2024")</f>
        <v/>
      </c>
      <c r="T39">
        <f>HYPERLINK("https://klasma.github.io/Logging_2505/kartor/A 36451-2024 karta.png", "A 36451-2024")</f>
        <v/>
      </c>
      <c r="V39">
        <f>HYPERLINK("https://klasma.github.io/Logging_2505/klagomål/A 36451-2024 FSC-klagomål.docx", "A 36451-2024")</f>
        <v/>
      </c>
      <c r="W39">
        <f>HYPERLINK("https://klasma.github.io/Logging_2505/klagomålsmail/A 36451-2024 FSC-klagomål mail.docx", "A 36451-2024")</f>
        <v/>
      </c>
      <c r="X39">
        <f>HYPERLINK("https://klasma.github.io/Logging_2505/tillsyn/A 36451-2024 tillsynsbegäran.docx", "A 36451-2024")</f>
        <v/>
      </c>
      <c r="Y39">
        <f>HYPERLINK("https://klasma.github.io/Logging_2505/tillsynsmail/A 36451-2024 tillsynsbegäran mail.docx", "A 36451-2024")</f>
        <v/>
      </c>
    </row>
    <row r="40" ht="15" customHeight="1">
      <c r="A40" t="inlineStr">
        <is>
          <t>A 11564-2025</t>
        </is>
      </c>
      <c r="B40" s="1" t="n">
        <v>45726</v>
      </c>
      <c r="C40" s="1" t="n">
        <v>45732</v>
      </c>
      <c r="D40" t="inlineStr">
        <is>
          <t>NORRBOTTENS LÄN</t>
        </is>
      </c>
      <c r="E40" t="inlineStr">
        <is>
          <t>ARVIDSJAUR</t>
        </is>
      </c>
      <c r="F40" t="inlineStr">
        <is>
          <t>Allmännings- och besparingsskogar</t>
        </is>
      </c>
      <c r="G40" t="n">
        <v>38.8</v>
      </c>
      <c r="H40" t="n">
        <v>3</v>
      </c>
      <c r="I40" t="n">
        <v>2</v>
      </c>
      <c r="J40" t="n">
        <v>0</v>
      </c>
      <c r="K40" t="n">
        <v>0</v>
      </c>
      <c r="L40" t="n">
        <v>0</v>
      </c>
      <c r="M40" t="n">
        <v>0</v>
      </c>
      <c r="N40" t="n">
        <v>0</v>
      </c>
      <c r="O40" t="n">
        <v>0</v>
      </c>
      <c r="P40" t="n">
        <v>0</v>
      </c>
      <c r="Q40" t="n">
        <v>3</v>
      </c>
      <c r="R40" s="2" t="inlineStr">
        <is>
          <t>Korallrot
Spindelblomster
Mattlummer</t>
        </is>
      </c>
      <c r="S40">
        <f>HYPERLINK("https://klasma.github.io/Logging_2505/artfynd/A 11564-2025 artfynd.xlsx", "A 11564-2025")</f>
        <v/>
      </c>
      <c r="T40">
        <f>HYPERLINK("https://klasma.github.io/Logging_2505/kartor/A 11564-2025 karta.png", "A 11564-2025")</f>
        <v/>
      </c>
      <c r="V40">
        <f>HYPERLINK("https://klasma.github.io/Logging_2505/klagomål/A 11564-2025 FSC-klagomål.docx", "A 11564-2025")</f>
        <v/>
      </c>
      <c r="W40">
        <f>HYPERLINK("https://klasma.github.io/Logging_2505/klagomålsmail/A 11564-2025 FSC-klagomål mail.docx", "A 11564-2025")</f>
        <v/>
      </c>
      <c r="X40">
        <f>HYPERLINK("https://klasma.github.io/Logging_2505/tillsyn/A 11564-2025 tillsynsbegäran.docx", "A 11564-2025")</f>
        <v/>
      </c>
      <c r="Y40">
        <f>HYPERLINK("https://klasma.github.io/Logging_2505/tillsynsmail/A 11564-2025 tillsynsbegäran mail.docx", "A 11564-2025")</f>
        <v/>
      </c>
    </row>
    <row r="41" ht="15" customHeight="1">
      <c r="A41" t="inlineStr">
        <is>
          <t>A 43753-2019</t>
        </is>
      </c>
      <c r="B41" s="1" t="n">
        <v>43707</v>
      </c>
      <c r="C41" s="1" t="n">
        <v>45732</v>
      </c>
      <c r="D41" t="inlineStr">
        <is>
          <t>NORRBOTTENS LÄN</t>
        </is>
      </c>
      <c r="E41" t="inlineStr">
        <is>
          <t>ARVIDSJAUR</t>
        </is>
      </c>
      <c r="F41" t="inlineStr">
        <is>
          <t>Sveaskog</t>
        </is>
      </c>
      <c r="G41" t="n">
        <v>4.8</v>
      </c>
      <c r="H41" t="n">
        <v>0</v>
      </c>
      <c r="I41" t="n">
        <v>2</v>
      </c>
      <c r="J41" t="n">
        <v>0</v>
      </c>
      <c r="K41" t="n">
        <v>0</v>
      </c>
      <c r="L41" t="n">
        <v>0</v>
      </c>
      <c r="M41" t="n">
        <v>0</v>
      </c>
      <c r="N41" t="n">
        <v>0</v>
      </c>
      <c r="O41" t="n">
        <v>0</v>
      </c>
      <c r="P41" t="n">
        <v>0</v>
      </c>
      <c r="Q41" t="n">
        <v>2</v>
      </c>
      <c r="R41" s="2" t="inlineStr">
        <is>
          <t>Dropptaggsvamp
Skarp dropptaggsvamp</t>
        </is>
      </c>
      <c r="S41">
        <f>HYPERLINK("https://klasma.github.io/Logging_2505/artfynd/A 43753-2019 artfynd.xlsx", "A 43753-2019")</f>
        <v/>
      </c>
      <c r="T41">
        <f>HYPERLINK("https://klasma.github.io/Logging_2505/kartor/A 43753-2019 karta.png", "A 43753-2019")</f>
        <v/>
      </c>
      <c r="V41">
        <f>HYPERLINK("https://klasma.github.io/Logging_2505/klagomål/A 43753-2019 FSC-klagomål.docx", "A 43753-2019")</f>
        <v/>
      </c>
      <c r="W41">
        <f>HYPERLINK("https://klasma.github.io/Logging_2505/klagomålsmail/A 43753-2019 FSC-klagomål mail.docx", "A 43753-2019")</f>
        <v/>
      </c>
      <c r="X41">
        <f>HYPERLINK("https://klasma.github.io/Logging_2505/tillsyn/A 43753-2019 tillsynsbegäran.docx", "A 43753-2019")</f>
        <v/>
      </c>
      <c r="Y41">
        <f>HYPERLINK("https://klasma.github.io/Logging_2505/tillsynsmail/A 43753-2019 tillsynsbegäran mail.docx", "A 43753-2019")</f>
        <v/>
      </c>
    </row>
    <row r="42" ht="15" customHeight="1">
      <c r="A42" t="inlineStr">
        <is>
          <t>A 29494-2021</t>
        </is>
      </c>
      <c r="B42" s="1" t="n">
        <v>44361</v>
      </c>
      <c r="C42" s="1" t="n">
        <v>45732</v>
      </c>
      <c r="D42" t="inlineStr">
        <is>
          <t>NORRBOTTENS LÄN</t>
        </is>
      </c>
      <c r="E42" t="inlineStr">
        <is>
          <t>ARVIDSJAUR</t>
        </is>
      </c>
      <c r="F42" t="inlineStr">
        <is>
          <t>Sveaskog</t>
        </is>
      </c>
      <c r="G42" t="n">
        <v>22.1</v>
      </c>
      <c r="H42" t="n">
        <v>0</v>
      </c>
      <c r="I42" t="n">
        <v>1</v>
      </c>
      <c r="J42" t="n">
        <v>1</v>
      </c>
      <c r="K42" t="n">
        <v>0</v>
      </c>
      <c r="L42" t="n">
        <v>0</v>
      </c>
      <c r="M42" t="n">
        <v>0</v>
      </c>
      <c r="N42" t="n">
        <v>0</v>
      </c>
      <c r="O42" t="n">
        <v>1</v>
      </c>
      <c r="P42" t="n">
        <v>0</v>
      </c>
      <c r="Q42" t="n">
        <v>2</v>
      </c>
      <c r="R42" s="2" t="inlineStr">
        <is>
          <t>Violmussling
Stuplav</t>
        </is>
      </c>
      <c r="S42">
        <f>HYPERLINK("https://klasma.github.io/Logging_2505/artfynd/A 29494-2021 artfynd.xlsx", "A 29494-2021")</f>
        <v/>
      </c>
      <c r="T42">
        <f>HYPERLINK("https://klasma.github.io/Logging_2505/kartor/A 29494-2021 karta.png", "A 29494-2021")</f>
        <v/>
      </c>
      <c r="V42">
        <f>HYPERLINK("https://klasma.github.io/Logging_2505/klagomål/A 29494-2021 FSC-klagomål.docx", "A 29494-2021")</f>
        <v/>
      </c>
      <c r="W42">
        <f>HYPERLINK("https://klasma.github.io/Logging_2505/klagomålsmail/A 29494-2021 FSC-klagomål mail.docx", "A 29494-2021")</f>
        <v/>
      </c>
      <c r="X42">
        <f>HYPERLINK("https://klasma.github.io/Logging_2505/tillsyn/A 29494-2021 tillsynsbegäran.docx", "A 29494-2021")</f>
        <v/>
      </c>
      <c r="Y42">
        <f>HYPERLINK("https://klasma.github.io/Logging_2505/tillsynsmail/A 29494-2021 tillsynsbegäran mail.docx", "A 29494-2021")</f>
        <v/>
      </c>
    </row>
    <row r="43" ht="15" customHeight="1">
      <c r="A43" t="inlineStr">
        <is>
          <t>A 39825-2022</t>
        </is>
      </c>
      <c r="B43" s="1" t="n">
        <v>44819</v>
      </c>
      <c r="C43" s="1" t="n">
        <v>45732</v>
      </c>
      <c r="D43" t="inlineStr">
        <is>
          <t>NORRBOTTENS LÄN</t>
        </is>
      </c>
      <c r="E43" t="inlineStr">
        <is>
          <t>ARVIDSJAUR</t>
        </is>
      </c>
      <c r="F43" t="inlineStr">
        <is>
          <t>Sveaskog</t>
        </is>
      </c>
      <c r="G43" t="n">
        <v>2.5</v>
      </c>
      <c r="H43" t="n">
        <v>0</v>
      </c>
      <c r="I43" t="n">
        <v>0</v>
      </c>
      <c r="J43" t="n">
        <v>2</v>
      </c>
      <c r="K43" t="n">
        <v>0</v>
      </c>
      <c r="L43" t="n">
        <v>0</v>
      </c>
      <c r="M43" t="n">
        <v>0</v>
      </c>
      <c r="N43" t="n">
        <v>0</v>
      </c>
      <c r="O43" t="n">
        <v>2</v>
      </c>
      <c r="P43" t="n">
        <v>0</v>
      </c>
      <c r="Q43" t="n">
        <v>2</v>
      </c>
      <c r="R43" s="2" t="inlineStr">
        <is>
          <t>Orange taggsvamp
Skrovlig taggsvamp</t>
        </is>
      </c>
      <c r="S43">
        <f>HYPERLINK("https://klasma.github.io/Logging_2505/artfynd/A 39825-2022 artfynd.xlsx", "A 39825-2022")</f>
        <v/>
      </c>
      <c r="T43">
        <f>HYPERLINK("https://klasma.github.io/Logging_2505/kartor/A 39825-2022 karta.png", "A 39825-2022")</f>
        <v/>
      </c>
      <c r="V43">
        <f>HYPERLINK("https://klasma.github.io/Logging_2505/klagomål/A 39825-2022 FSC-klagomål.docx", "A 39825-2022")</f>
        <v/>
      </c>
      <c r="W43">
        <f>HYPERLINK("https://klasma.github.io/Logging_2505/klagomålsmail/A 39825-2022 FSC-klagomål mail.docx", "A 39825-2022")</f>
        <v/>
      </c>
      <c r="X43">
        <f>HYPERLINK("https://klasma.github.io/Logging_2505/tillsyn/A 39825-2022 tillsynsbegäran.docx", "A 39825-2022")</f>
        <v/>
      </c>
      <c r="Y43">
        <f>HYPERLINK("https://klasma.github.io/Logging_2505/tillsynsmail/A 39825-2022 tillsynsbegäran mail.docx", "A 39825-2022")</f>
        <v/>
      </c>
    </row>
    <row r="44" ht="15" customHeight="1">
      <c r="A44" t="inlineStr">
        <is>
          <t>A 51133-2022</t>
        </is>
      </c>
      <c r="B44" s="1" t="n">
        <v>44868</v>
      </c>
      <c r="C44" s="1" t="n">
        <v>45732</v>
      </c>
      <c r="D44" t="inlineStr">
        <is>
          <t>NORRBOTTENS LÄN</t>
        </is>
      </c>
      <c r="E44" t="inlineStr">
        <is>
          <t>ARVIDSJAUR</t>
        </is>
      </c>
      <c r="F44" t="inlineStr">
        <is>
          <t>Sveaskog</t>
        </is>
      </c>
      <c r="G44" t="n">
        <v>4.4</v>
      </c>
      <c r="H44" t="n">
        <v>1</v>
      </c>
      <c r="I44" t="n">
        <v>0</v>
      </c>
      <c r="J44" t="n">
        <v>2</v>
      </c>
      <c r="K44" t="n">
        <v>0</v>
      </c>
      <c r="L44" t="n">
        <v>0</v>
      </c>
      <c r="M44" t="n">
        <v>0</v>
      </c>
      <c r="N44" t="n">
        <v>0</v>
      </c>
      <c r="O44" t="n">
        <v>2</v>
      </c>
      <c r="P44" t="n">
        <v>0</v>
      </c>
      <c r="Q44" t="n">
        <v>2</v>
      </c>
      <c r="R44" s="2" t="inlineStr">
        <is>
          <t>Granticka
Talltita</t>
        </is>
      </c>
      <c r="S44">
        <f>HYPERLINK("https://klasma.github.io/Logging_2505/artfynd/A 51133-2022 artfynd.xlsx", "A 51133-2022")</f>
        <v/>
      </c>
      <c r="T44">
        <f>HYPERLINK("https://klasma.github.io/Logging_2505/kartor/A 51133-2022 karta.png", "A 51133-2022")</f>
        <v/>
      </c>
      <c r="V44">
        <f>HYPERLINK("https://klasma.github.io/Logging_2505/klagomål/A 51133-2022 FSC-klagomål.docx", "A 51133-2022")</f>
        <v/>
      </c>
      <c r="W44">
        <f>HYPERLINK("https://klasma.github.io/Logging_2505/klagomålsmail/A 51133-2022 FSC-klagomål mail.docx", "A 51133-2022")</f>
        <v/>
      </c>
      <c r="X44">
        <f>HYPERLINK("https://klasma.github.io/Logging_2505/tillsyn/A 51133-2022 tillsynsbegäran.docx", "A 51133-2022")</f>
        <v/>
      </c>
      <c r="Y44">
        <f>HYPERLINK("https://klasma.github.io/Logging_2505/tillsynsmail/A 51133-2022 tillsynsbegäran mail.docx", "A 51133-2022")</f>
        <v/>
      </c>
      <c r="Z44">
        <f>HYPERLINK("https://klasma.github.io/Logging_2505/fåglar/A 51133-2022 prioriterade fågelarter.docx", "A 51133-2022")</f>
        <v/>
      </c>
    </row>
    <row r="45" ht="15" customHeight="1">
      <c r="A45" t="inlineStr">
        <is>
          <t>A 47807-2023</t>
        </is>
      </c>
      <c r="B45" s="1" t="n">
        <v>45204</v>
      </c>
      <c r="C45" s="1" t="n">
        <v>45732</v>
      </c>
      <c r="D45" t="inlineStr">
        <is>
          <t>NORRBOTTENS LÄN</t>
        </is>
      </c>
      <c r="E45" t="inlineStr">
        <is>
          <t>ARVIDSJAUR</t>
        </is>
      </c>
      <c r="F45" t="inlineStr">
        <is>
          <t>Sveaskog</t>
        </is>
      </c>
      <c r="G45" t="n">
        <v>15.3</v>
      </c>
      <c r="H45" t="n">
        <v>2</v>
      </c>
      <c r="I45" t="n">
        <v>0</v>
      </c>
      <c r="J45" t="n">
        <v>2</v>
      </c>
      <c r="K45" t="n">
        <v>0</v>
      </c>
      <c r="L45" t="n">
        <v>0</v>
      </c>
      <c r="M45" t="n">
        <v>0</v>
      </c>
      <c r="N45" t="n">
        <v>0</v>
      </c>
      <c r="O45" t="n">
        <v>2</v>
      </c>
      <c r="P45" t="n">
        <v>0</v>
      </c>
      <c r="Q45" t="n">
        <v>2</v>
      </c>
      <c r="R45" s="2" t="inlineStr">
        <is>
          <t>Järpe
Talltita</t>
        </is>
      </c>
      <c r="S45">
        <f>HYPERLINK("https://klasma.github.io/Logging_2505/artfynd/A 47807-2023 artfynd.xlsx", "A 47807-2023")</f>
        <v/>
      </c>
      <c r="T45">
        <f>HYPERLINK("https://klasma.github.io/Logging_2505/kartor/A 47807-2023 karta.png", "A 47807-2023")</f>
        <v/>
      </c>
      <c r="V45">
        <f>HYPERLINK("https://klasma.github.io/Logging_2505/klagomål/A 47807-2023 FSC-klagomål.docx", "A 47807-2023")</f>
        <v/>
      </c>
      <c r="W45">
        <f>HYPERLINK("https://klasma.github.io/Logging_2505/klagomålsmail/A 47807-2023 FSC-klagomål mail.docx", "A 47807-2023")</f>
        <v/>
      </c>
      <c r="X45">
        <f>HYPERLINK("https://klasma.github.io/Logging_2505/tillsyn/A 47807-2023 tillsynsbegäran.docx", "A 47807-2023")</f>
        <v/>
      </c>
      <c r="Y45">
        <f>HYPERLINK("https://klasma.github.io/Logging_2505/tillsynsmail/A 47807-2023 tillsynsbegäran mail.docx", "A 47807-2023")</f>
        <v/>
      </c>
      <c r="Z45">
        <f>HYPERLINK("https://klasma.github.io/Logging_2505/fåglar/A 47807-2023 prioriterade fågelarter.docx", "A 47807-2023")</f>
        <v/>
      </c>
    </row>
    <row r="46" ht="15" customHeight="1">
      <c r="A46" t="inlineStr">
        <is>
          <t>A 29680-2024</t>
        </is>
      </c>
      <c r="B46" s="1" t="n">
        <v>45485</v>
      </c>
      <c r="C46" s="1" t="n">
        <v>45732</v>
      </c>
      <c r="D46" t="inlineStr">
        <is>
          <t>NORRBOTTENS LÄN</t>
        </is>
      </c>
      <c r="E46" t="inlineStr">
        <is>
          <t>ARVIDSJAUR</t>
        </is>
      </c>
      <c r="F46" t="inlineStr">
        <is>
          <t>SCA</t>
        </is>
      </c>
      <c r="G46" t="n">
        <v>14.3</v>
      </c>
      <c r="H46" t="n">
        <v>2</v>
      </c>
      <c r="I46" t="n">
        <v>0</v>
      </c>
      <c r="J46" t="n">
        <v>0</v>
      </c>
      <c r="K46" t="n">
        <v>0</v>
      </c>
      <c r="L46" t="n">
        <v>0</v>
      </c>
      <c r="M46" t="n">
        <v>0</v>
      </c>
      <c r="N46" t="n">
        <v>0</v>
      </c>
      <c r="O46" t="n">
        <v>0</v>
      </c>
      <c r="P46" t="n">
        <v>0</v>
      </c>
      <c r="Q46" t="n">
        <v>2</v>
      </c>
      <c r="R46" s="2" t="inlineStr">
        <is>
          <t>Fläcknycklar
Mattlummer</t>
        </is>
      </c>
      <c r="S46">
        <f>HYPERLINK("https://klasma.github.io/Logging_2505/artfynd/A 29680-2024 artfynd.xlsx", "A 29680-2024")</f>
        <v/>
      </c>
      <c r="T46">
        <f>HYPERLINK("https://klasma.github.io/Logging_2505/kartor/A 29680-2024 karta.png", "A 29680-2024")</f>
        <v/>
      </c>
      <c r="V46">
        <f>HYPERLINK("https://klasma.github.io/Logging_2505/klagomål/A 29680-2024 FSC-klagomål.docx", "A 29680-2024")</f>
        <v/>
      </c>
      <c r="W46">
        <f>HYPERLINK("https://klasma.github.io/Logging_2505/klagomålsmail/A 29680-2024 FSC-klagomål mail.docx", "A 29680-2024")</f>
        <v/>
      </c>
      <c r="X46">
        <f>HYPERLINK("https://klasma.github.io/Logging_2505/tillsyn/A 29680-2024 tillsynsbegäran.docx", "A 29680-2024")</f>
        <v/>
      </c>
      <c r="Y46">
        <f>HYPERLINK("https://klasma.github.io/Logging_2505/tillsynsmail/A 29680-2024 tillsynsbegäran mail.docx", "A 29680-2024")</f>
        <v/>
      </c>
    </row>
    <row r="47" ht="15" customHeight="1">
      <c r="A47" t="inlineStr">
        <is>
          <t>A 42664-2024</t>
        </is>
      </c>
      <c r="B47" s="1" t="n">
        <v>45566</v>
      </c>
      <c r="C47" s="1" t="n">
        <v>45732</v>
      </c>
      <c r="D47" t="inlineStr">
        <is>
          <t>NORRBOTTENS LÄN</t>
        </is>
      </c>
      <c r="E47" t="inlineStr">
        <is>
          <t>ARVIDSJAUR</t>
        </is>
      </c>
      <c r="F47" t="inlineStr">
        <is>
          <t>Sveaskog</t>
        </is>
      </c>
      <c r="G47" t="n">
        <v>11.6</v>
      </c>
      <c r="H47" t="n">
        <v>0</v>
      </c>
      <c r="I47" t="n">
        <v>1</v>
      </c>
      <c r="J47" t="n">
        <v>1</v>
      </c>
      <c r="K47" t="n">
        <v>0</v>
      </c>
      <c r="L47" t="n">
        <v>0</v>
      </c>
      <c r="M47" t="n">
        <v>0</v>
      </c>
      <c r="N47" t="n">
        <v>0</v>
      </c>
      <c r="O47" t="n">
        <v>1</v>
      </c>
      <c r="P47" t="n">
        <v>0</v>
      </c>
      <c r="Q47" t="n">
        <v>2</v>
      </c>
      <c r="R47" s="2" t="inlineStr">
        <is>
          <t>Talltaggsvamp
Dropptaggsvamp</t>
        </is>
      </c>
      <c r="S47">
        <f>HYPERLINK("https://klasma.github.io/Logging_2505/artfynd/A 42664-2024 artfynd.xlsx", "A 42664-2024")</f>
        <v/>
      </c>
      <c r="T47">
        <f>HYPERLINK("https://klasma.github.io/Logging_2505/kartor/A 42664-2024 karta.png", "A 42664-2024")</f>
        <v/>
      </c>
      <c r="V47">
        <f>HYPERLINK("https://klasma.github.io/Logging_2505/klagomål/A 42664-2024 FSC-klagomål.docx", "A 42664-2024")</f>
        <v/>
      </c>
      <c r="W47">
        <f>HYPERLINK("https://klasma.github.io/Logging_2505/klagomålsmail/A 42664-2024 FSC-klagomål mail.docx", "A 42664-2024")</f>
        <v/>
      </c>
      <c r="X47">
        <f>HYPERLINK("https://klasma.github.io/Logging_2505/tillsyn/A 42664-2024 tillsynsbegäran.docx", "A 42664-2024")</f>
        <v/>
      </c>
      <c r="Y47">
        <f>HYPERLINK("https://klasma.github.io/Logging_2505/tillsynsmail/A 42664-2024 tillsynsbegäran mail.docx", "A 42664-2024")</f>
        <v/>
      </c>
    </row>
    <row r="48" ht="15" customHeight="1">
      <c r="A48" t="inlineStr">
        <is>
          <t>A 11634-2025</t>
        </is>
      </c>
      <c r="B48" s="1" t="n">
        <v>45726</v>
      </c>
      <c r="C48" s="1" t="n">
        <v>45732</v>
      </c>
      <c r="D48" t="inlineStr">
        <is>
          <t>NORRBOTTENS LÄN</t>
        </is>
      </c>
      <c r="E48" t="inlineStr">
        <is>
          <t>ARVIDSJAUR</t>
        </is>
      </c>
      <c r="F48" t="inlineStr">
        <is>
          <t>Allmännings- och besparingsskogar</t>
        </is>
      </c>
      <c r="G48" t="n">
        <v>13.8</v>
      </c>
      <c r="H48" t="n">
        <v>0</v>
      </c>
      <c r="I48" t="n">
        <v>1</v>
      </c>
      <c r="J48" t="n">
        <v>1</v>
      </c>
      <c r="K48" t="n">
        <v>0</v>
      </c>
      <c r="L48" t="n">
        <v>0</v>
      </c>
      <c r="M48" t="n">
        <v>0</v>
      </c>
      <c r="N48" t="n">
        <v>0</v>
      </c>
      <c r="O48" t="n">
        <v>1</v>
      </c>
      <c r="P48" t="n">
        <v>0</v>
      </c>
      <c r="Q48" t="n">
        <v>2</v>
      </c>
      <c r="R48" s="2" t="inlineStr">
        <is>
          <t>Lunglav
Skinnlav</t>
        </is>
      </c>
      <c r="S48">
        <f>HYPERLINK("https://klasma.github.io/Logging_2505/artfynd/A 11634-2025 artfynd.xlsx", "A 11634-2025")</f>
        <v/>
      </c>
      <c r="T48">
        <f>HYPERLINK("https://klasma.github.io/Logging_2505/kartor/A 11634-2025 karta.png", "A 11634-2025")</f>
        <v/>
      </c>
      <c r="V48">
        <f>HYPERLINK("https://klasma.github.io/Logging_2505/klagomål/A 11634-2025 FSC-klagomål.docx", "A 11634-2025")</f>
        <v/>
      </c>
      <c r="W48">
        <f>HYPERLINK("https://klasma.github.io/Logging_2505/klagomålsmail/A 11634-2025 FSC-klagomål mail.docx", "A 11634-2025")</f>
        <v/>
      </c>
      <c r="X48">
        <f>HYPERLINK("https://klasma.github.io/Logging_2505/tillsyn/A 11634-2025 tillsynsbegäran.docx", "A 11634-2025")</f>
        <v/>
      </c>
      <c r="Y48">
        <f>HYPERLINK("https://klasma.github.io/Logging_2505/tillsynsmail/A 11634-2025 tillsynsbegäran mail.docx", "A 11634-2025")</f>
        <v/>
      </c>
    </row>
    <row r="49" ht="15" customHeight="1">
      <c r="A49" t="inlineStr">
        <is>
          <t>A 18136-2019</t>
        </is>
      </c>
      <c r="B49" s="1" t="n">
        <v>43556</v>
      </c>
      <c r="C49" s="1" t="n">
        <v>45732</v>
      </c>
      <c r="D49" t="inlineStr">
        <is>
          <t>NORRBOTTENS LÄN</t>
        </is>
      </c>
      <c r="E49" t="inlineStr">
        <is>
          <t>ARVIDSJAUR</t>
        </is>
      </c>
      <c r="G49" t="n">
        <v>4.8</v>
      </c>
      <c r="H49" t="n">
        <v>1</v>
      </c>
      <c r="I49" t="n">
        <v>0</v>
      </c>
      <c r="J49" t="n">
        <v>0</v>
      </c>
      <c r="K49" t="n">
        <v>0</v>
      </c>
      <c r="L49" t="n">
        <v>0</v>
      </c>
      <c r="M49" t="n">
        <v>1</v>
      </c>
      <c r="N49" t="n">
        <v>0</v>
      </c>
      <c r="O49" t="n">
        <v>1</v>
      </c>
      <c r="P49" t="n">
        <v>1</v>
      </c>
      <c r="Q49" t="n">
        <v>1</v>
      </c>
      <c r="R49" s="2" t="inlineStr">
        <is>
          <t>Ortolansparv</t>
        </is>
      </c>
      <c r="S49">
        <f>HYPERLINK("https://klasma.github.io/Logging_2505/artfynd/A 18136-2019 artfynd.xlsx", "A 18136-2019")</f>
        <v/>
      </c>
      <c r="T49">
        <f>HYPERLINK("https://klasma.github.io/Logging_2505/kartor/A 18136-2019 karta.png", "A 18136-2019")</f>
        <v/>
      </c>
      <c r="V49">
        <f>HYPERLINK("https://klasma.github.io/Logging_2505/klagomål/A 18136-2019 FSC-klagomål.docx", "A 18136-2019")</f>
        <v/>
      </c>
      <c r="W49">
        <f>HYPERLINK("https://klasma.github.io/Logging_2505/klagomålsmail/A 18136-2019 FSC-klagomål mail.docx", "A 18136-2019")</f>
        <v/>
      </c>
      <c r="X49">
        <f>HYPERLINK("https://klasma.github.io/Logging_2505/tillsyn/A 18136-2019 tillsynsbegäran.docx", "A 18136-2019")</f>
        <v/>
      </c>
      <c r="Y49">
        <f>HYPERLINK("https://klasma.github.io/Logging_2505/tillsynsmail/A 18136-2019 tillsynsbegäran mail.docx", "A 18136-2019")</f>
        <v/>
      </c>
      <c r="Z49">
        <f>HYPERLINK("https://klasma.github.io/Logging_2505/fåglar/A 18136-2019 prioriterade fågelarter.docx", "A 18136-2019")</f>
        <v/>
      </c>
    </row>
    <row r="50" ht="15" customHeight="1">
      <c r="A50" t="inlineStr">
        <is>
          <t>A 30414-2019</t>
        </is>
      </c>
      <c r="B50" s="1" t="n">
        <v>43635</v>
      </c>
      <c r="C50" s="1" t="n">
        <v>45732</v>
      </c>
      <c r="D50" t="inlineStr">
        <is>
          <t>NORRBOTTENS LÄN</t>
        </is>
      </c>
      <c r="E50" t="inlineStr">
        <is>
          <t>ARVIDSJAUR</t>
        </is>
      </c>
      <c r="F50" t="inlineStr">
        <is>
          <t>Sveaskog</t>
        </is>
      </c>
      <c r="G50" t="n">
        <v>4.3</v>
      </c>
      <c r="H50" t="n">
        <v>0</v>
      </c>
      <c r="I50" t="n">
        <v>0</v>
      </c>
      <c r="J50" t="n">
        <v>1</v>
      </c>
      <c r="K50" t="n">
        <v>0</v>
      </c>
      <c r="L50" t="n">
        <v>0</v>
      </c>
      <c r="M50" t="n">
        <v>0</v>
      </c>
      <c r="N50" t="n">
        <v>0</v>
      </c>
      <c r="O50" t="n">
        <v>1</v>
      </c>
      <c r="P50" t="n">
        <v>0</v>
      </c>
      <c r="Q50" t="n">
        <v>1</v>
      </c>
      <c r="R50" s="2" t="inlineStr">
        <is>
          <t>Motaggsvamp</t>
        </is>
      </c>
      <c r="S50">
        <f>HYPERLINK("https://klasma.github.io/Logging_2505/artfynd/A 30414-2019 artfynd.xlsx", "A 30414-2019")</f>
        <v/>
      </c>
      <c r="T50">
        <f>HYPERLINK("https://klasma.github.io/Logging_2505/kartor/A 30414-2019 karta.png", "A 30414-2019")</f>
        <v/>
      </c>
      <c r="V50">
        <f>HYPERLINK("https://klasma.github.io/Logging_2505/klagomål/A 30414-2019 FSC-klagomål.docx", "A 30414-2019")</f>
        <v/>
      </c>
      <c r="W50">
        <f>HYPERLINK("https://klasma.github.io/Logging_2505/klagomålsmail/A 30414-2019 FSC-klagomål mail.docx", "A 30414-2019")</f>
        <v/>
      </c>
      <c r="X50">
        <f>HYPERLINK("https://klasma.github.io/Logging_2505/tillsyn/A 30414-2019 tillsynsbegäran.docx", "A 30414-2019")</f>
        <v/>
      </c>
      <c r="Y50">
        <f>HYPERLINK("https://klasma.github.io/Logging_2505/tillsynsmail/A 30414-2019 tillsynsbegäran mail.docx", "A 30414-2019")</f>
        <v/>
      </c>
    </row>
    <row r="51" ht="15" customHeight="1">
      <c r="A51" t="inlineStr">
        <is>
          <t>A 31611-2019</t>
        </is>
      </c>
      <c r="B51" s="1" t="n">
        <v>43642</v>
      </c>
      <c r="C51" s="1" t="n">
        <v>45732</v>
      </c>
      <c r="D51" t="inlineStr">
        <is>
          <t>NORRBOTTENS LÄN</t>
        </is>
      </c>
      <c r="E51" t="inlineStr">
        <is>
          <t>ARVIDSJAUR</t>
        </is>
      </c>
      <c r="F51" t="inlineStr">
        <is>
          <t>Sveaskog</t>
        </is>
      </c>
      <c r="G51" t="n">
        <v>21.5</v>
      </c>
      <c r="H51" t="n">
        <v>0</v>
      </c>
      <c r="I51" t="n">
        <v>0</v>
      </c>
      <c r="J51" t="n">
        <v>1</v>
      </c>
      <c r="K51" t="n">
        <v>0</v>
      </c>
      <c r="L51" t="n">
        <v>0</v>
      </c>
      <c r="M51" t="n">
        <v>0</v>
      </c>
      <c r="N51" t="n">
        <v>0</v>
      </c>
      <c r="O51" t="n">
        <v>1</v>
      </c>
      <c r="P51" t="n">
        <v>0</v>
      </c>
      <c r="Q51" t="n">
        <v>1</v>
      </c>
      <c r="R51" s="2" t="inlineStr">
        <is>
          <t>Vaddporing</t>
        </is>
      </c>
      <c r="S51">
        <f>HYPERLINK("https://klasma.github.io/Logging_2505/artfynd/A 31611-2019 artfynd.xlsx", "A 31611-2019")</f>
        <v/>
      </c>
      <c r="T51">
        <f>HYPERLINK("https://klasma.github.io/Logging_2505/kartor/A 31611-2019 karta.png", "A 31611-2019")</f>
        <v/>
      </c>
      <c r="V51">
        <f>HYPERLINK("https://klasma.github.io/Logging_2505/klagomål/A 31611-2019 FSC-klagomål.docx", "A 31611-2019")</f>
        <v/>
      </c>
      <c r="W51">
        <f>HYPERLINK("https://klasma.github.io/Logging_2505/klagomålsmail/A 31611-2019 FSC-klagomål mail.docx", "A 31611-2019")</f>
        <v/>
      </c>
      <c r="X51">
        <f>HYPERLINK("https://klasma.github.io/Logging_2505/tillsyn/A 31611-2019 tillsynsbegäran.docx", "A 31611-2019")</f>
        <v/>
      </c>
      <c r="Y51">
        <f>HYPERLINK("https://klasma.github.io/Logging_2505/tillsynsmail/A 31611-2019 tillsynsbegäran mail.docx", "A 31611-2019")</f>
        <v/>
      </c>
    </row>
    <row r="52" ht="15" customHeight="1">
      <c r="A52" t="inlineStr">
        <is>
          <t>A 32173-2019</t>
        </is>
      </c>
      <c r="B52" s="1" t="n">
        <v>43643</v>
      </c>
      <c r="C52" s="1" t="n">
        <v>45732</v>
      </c>
      <c r="D52" t="inlineStr">
        <is>
          <t>NORRBOTTENS LÄN</t>
        </is>
      </c>
      <c r="E52" t="inlineStr">
        <is>
          <t>ARVIDSJAUR</t>
        </is>
      </c>
      <c r="F52" t="inlineStr">
        <is>
          <t>Sveaskog</t>
        </is>
      </c>
      <c r="G52" t="n">
        <v>6.1</v>
      </c>
      <c r="H52" t="n">
        <v>0</v>
      </c>
      <c r="I52" t="n">
        <v>0</v>
      </c>
      <c r="J52" t="n">
        <v>1</v>
      </c>
      <c r="K52" t="n">
        <v>0</v>
      </c>
      <c r="L52" t="n">
        <v>0</v>
      </c>
      <c r="M52" t="n">
        <v>0</v>
      </c>
      <c r="N52" t="n">
        <v>0</v>
      </c>
      <c r="O52" t="n">
        <v>1</v>
      </c>
      <c r="P52" t="n">
        <v>0</v>
      </c>
      <c r="Q52" t="n">
        <v>1</v>
      </c>
      <c r="R52" s="2" t="inlineStr">
        <is>
          <t>Motaggsvamp</t>
        </is>
      </c>
      <c r="S52">
        <f>HYPERLINK("https://klasma.github.io/Logging_2505/artfynd/A 32173-2019 artfynd.xlsx", "A 32173-2019")</f>
        <v/>
      </c>
      <c r="T52">
        <f>HYPERLINK("https://klasma.github.io/Logging_2505/kartor/A 32173-2019 karta.png", "A 32173-2019")</f>
        <v/>
      </c>
      <c r="V52">
        <f>HYPERLINK("https://klasma.github.io/Logging_2505/klagomål/A 32173-2019 FSC-klagomål.docx", "A 32173-2019")</f>
        <v/>
      </c>
      <c r="W52">
        <f>HYPERLINK("https://klasma.github.io/Logging_2505/klagomålsmail/A 32173-2019 FSC-klagomål mail.docx", "A 32173-2019")</f>
        <v/>
      </c>
      <c r="X52">
        <f>HYPERLINK("https://klasma.github.io/Logging_2505/tillsyn/A 32173-2019 tillsynsbegäran.docx", "A 32173-2019")</f>
        <v/>
      </c>
      <c r="Y52">
        <f>HYPERLINK("https://klasma.github.io/Logging_2505/tillsynsmail/A 32173-2019 tillsynsbegäran mail.docx", "A 32173-2019")</f>
        <v/>
      </c>
    </row>
    <row r="53" ht="15" customHeight="1">
      <c r="A53" t="inlineStr">
        <is>
          <t>A 57926-2021</t>
        </is>
      </c>
      <c r="B53" s="1" t="n">
        <v>44487</v>
      </c>
      <c r="C53" s="1" t="n">
        <v>45732</v>
      </c>
      <c r="D53" t="inlineStr">
        <is>
          <t>NORRBOTTENS LÄN</t>
        </is>
      </c>
      <c r="E53" t="inlineStr">
        <is>
          <t>ARVIDSJAUR</t>
        </is>
      </c>
      <c r="F53" t="inlineStr">
        <is>
          <t>Sveaskog</t>
        </is>
      </c>
      <c r="G53" t="n">
        <v>28.6</v>
      </c>
      <c r="H53" t="n">
        <v>0</v>
      </c>
      <c r="I53" t="n">
        <v>0</v>
      </c>
      <c r="J53" t="n">
        <v>1</v>
      </c>
      <c r="K53" t="n">
        <v>0</v>
      </c>
      <c r="L53" t="n">
        <v>0</v>
      </c>
      <c r="M53" t="n">
        <v>0</v>
      </c>
      <c r="N53" t="n">
        <v>0</v>
      </c>
      <c r="O53" t="n">
        <v>1</v>
      </c>
      <c r="P53" t="n">
        <v>0</v>
      </c>
      <c r="Q53" t="n">
        <v>1</v>
      </c>
      <c r="R53" s="2" t="inlineStr">
        <is>
          <t>Tallticka</t>
        </is>
      </c>
      <c r="S53">
        <f>HYPERLINK("https://klasma.github.io/Logging_2505/artfynd/A 57926-2021 artfynd.xlsx", "A 57926-2021")</f>
        <v/>
      </c>
      <c r="T53">
        <f>HYPERLINK("https://klasma.github.io/Logging_2505/kartor/A 57926-2021 karta.png", "A 57926-2021")</f>
        <v/>
      </c>
      <c r="V53">
        <f>HYPERLINK("https://klasma.github.io/Logging_2505/klagomål/A 57926-2021 FSC-klagomål.docx", "A 57926-2021")</f>
        <v/>
      </c>
      <c r="W53">
        <f>HYPERLINK("https://klasma.github.io/Logging_2505/klagomålsmail/A 57926-2021 FSC-klagomål mail.docx", "A 57926-2021")</f>
        <v/>
      </c>
      <c r="X53">
        <f>HYPERLINK("https://klasma.github.io/Logging_2505/tillsyn/A 57926-2021 tillsynsbegäran.docx", "A 57926-2021")</f>
        <v/>
      </c>
      <c r="Y53">
        <f>HYPERLINK("https://klasma.github.io/Logging_2505/tillsynsmail/A 57926-2021 tillsynsbegäran mail.docx", "A 57926-2021")</f>
        <v/>
      </c>
    </row>
    <row r="54" ht="15" customHeight="1">
      <c r="A54" t="inlineStr">
        <is>
          <t>A 57994-2021</t>
        </is>
      </c>
      <c r="B54" s="1" t="n">
        <v>44487</v>
      </c>
      <c r="C54" s="1" t="n">
        <v>45732</v>
      </c>
      <c r="D54" t="inlineStr">
        <is>
          <t>NORRBOTTENS LÄN</t>
        </is>
      </c>
      <c r="E54" t="inlineStr">
        <is>
          <t>ARVIDSJAUR</t>
        </is>
      </c>
      <c r="F54" t="inlineStr">
        <is>
          <t>Sveaskog</t>
        </is>
      </c>
      <c r="G54" t="n">
        <v>12.9</v>
      </c>
      <c r="H54" t="n">
        <v>1</v>
      </c>
      <c r="I54" t="n">
        <v>0</v>
      </c>
      <c r="J54" t="n">
        <v>1</v>
      </c>
      <c r="K54" t="n">
        <v>0</v>
      </c>
      <c r="L54" t="n">
        <v>0</v>
      </c>
      <c r="M54" t="n">
        <v>0</v>
      </c>
      <c r="N54" t="n">
        <v>0</v>
      </c>
      <c r="O54" t="n">
        <v>1</v>
      </c>
      <c r="P54" t="n">
        <v>0</v>
      </c>
      <c r="Q54" t="n">
        <v>1</v>
      </c>
      <c r="R54" s="2" t="inlineStr">
        <is>
          <t>Kungsörn</t>
        </is>
      </c>
      <c r="S54">
        <f>HYPERLINK("https://klasma.github.io/Logging_2505/artfynd/A 57994-2021 artfynd.xlsx", "A 57994-2021")</f>
        <v/>
      </c>
      <c r="T54">
        <f>HYPERLINK("https://klasma.github.io/Logging_2505/kartor/A 57994-2021 karta.png", "A 57994-2021")</f>
        <v/>
      </c>
      <c r="V54">
        <f>HYPERLINK("https://klasma.github.io/Logging_2505/klagomål/A 57994-2021 FSC-klagomål.docx", "A 57994-2021")</f>
        <v/>
      </c>
      <c r="W54">
        <f>HYPERLINK("https://klasma.github.io/Logging_2505/klagomålsmail/A 57994-2021 FSC-klagomål mail.docx", "A 57994-2021")</f>
        <v/>
      </c>
      <c r="X54">
        <f>HYPERLINK("https://klasma.github.io/Logging_2505/tillsyn/A 57994-2021 tillsynsbegäran.docx", "A 57994-2021")</f>
        <v/>
      </c>
      <c r="Y54">
        <f>HYPERLINK("https://klasma.github.io/Logging_2505/tillsynsmail/A 57994-2021 tillsynsbegäran mail.docx", "A 57994-2021")</f>
        <v/>
      </c>
      <c r="Z54">
        <f>HYPERLINK("https://klasma.github.io/Logging_2505/fåglar/A 57994-2021 prioriterade fågelarter.docx", "A 57994-2021")</f>
        <v/>
      </c>
    </row>
    <row r="55" ht="15" customHeight="1">
      <c r="A55" t="inlineStr">
        <is>
          <t>A 42556-2022</t>
        </is>
      </c>
      <c r="B55" s="1" t="n">
        <v>44831</v>
      </c>
      <c r="C55" s="1" t="n">
        <v>45732</v>
      </c>
      <c r="D55" t="inlineStr">
        <is>
          <t>NORRBOTTENS LÄN</t>
        </is>
      </c>
      <c r="E55" t="inlineStr">
        <is>
          <t>ARVIDSJAUR</t>
        </is>
      </c>
      <c r="F55" t="inlineStr">
        <is>
          <t>Sveaskog</t>
        </is>
      </c>
      <c r="G55" t="n">
        <v>14.6</v>
      </c>
      <c r="H55" t="n">
        <v>0</v>
      </c>
      <c r="I55" t="n">
        <v>0</v>
      </c>
      <c r="J55" t="n">
        <v>1</v>
      </c>
      <c r="K55" t="n">
        <v>0</v>
      </c>
      <c r="L55" t="n">
        <v>0</v>
      </c>
      <c r="M55" t="n">
        <v>0</v>
      </c>
      <c r="N55" t="n">
        <v>0</v>
      </c>
      <c r="O55" t="n">
        <v>1</v>
      </c>
      <c r="P55" t="n">
        <v>0</v>
      </c>
      <c r="Q55" t="n">
        <v>1</v>
      </c>
      <c r="R55" s="2" t="inlineStr">
        <is>
          <t>Motaggsvamp</t>
        </is>
      </c>
      <c r="S55">
        <f>HYPERLINK("https://klasma.github.io/Logging_2505/artfynd/A 42556-2022 artfynd.xlsx", "A 42556-2022")</f>
        <v/>
      </c>
      <c r="T55">
        <f>HYPERLINK("https://klasma.github.io/Logging_2505/kartor/A 42556-2022 karta.png", "A 42556-2022")</f>
        <v/>
      </c>
      <c r="V55">
        <f>HYPERLINK("https://klasma.github.io/Logging_2505/klagomål/A 42556-2022 FSC-klagomål.docx", "A 42556-2022")</f>
        <v/>
      </c>
      <c r="W55">
        <f>HYPERLINK("https://klasma.github.io/Logging_2505/klagomålsmail/A 42556-2022 FSC-klagomål mail.docx", "A 42556-2022")</f>
        <v/>
      </c>
      <c r="X55">
        <f>HYPERLINK("https://klasma.github.io/Logging_2505/tillsyn/A 42556-2022 tillsynsbegäran.docx", "A 42556-2022")</f>
        <v/>
      </c>
      <c r="Y55">
        <f>HYPERLINK("https://klasma.github.io/Logging_2505/tillsynsmail/A 42556-2022 tillsynsbegäran mail.docx", "A 42556-2022")</f>
        <v/>
      </c>
    </row>
    <row r="56" ht="15" customHeight="1">
      <c r="A56" t="inlineStr">
        <is>
          <t>A 47954-2022</t>
        </is>
      </c>
      <c r="B56" s="1" t="n">
        <v>44855</v>
      </c>
      <c r="C56" s="1" t="n">
        <v>45732</v>
      </c>
      <c r="D56" t="inlineStr">
        <is>
          <t>NORRBOTTENS LÄN</t>
        </is>
      </c>
      <c r="E56" t="inlineStr">
        <is>
          <t>ARVIDSJAUR</t>
        </is>
      </c>
      <c r="F56" t="inlineStr">
        <is>
          <t>Sveaskog</t>
        </is>
      </c>
      <c r="G56" t="n">
        <v>3.3</v>
      </c>
      <c r="H56" t="n">
        <v>1</v>
      </c>
      <c r="I56" t="n">
        <v>0</v>
      </c>
      <c r="J56" t="n">
        <v>1</v>
      </c>
      <c r="K56" t="n">
        <v>0</v>
      </c>
      <c r="L56" t="n">
        <v>0</v>
      </c>
      <c r="M56" t="n">
        <v>0</v>
      </c>
      <c r="N56" t="n">
        <v>0</v>
      </c>
      <c r="O56" t="n">
        <v>1</v>
      </c>
      <c r="P56" t="n">
        <v>0</v>
      </c>
      <c r="Q56" t="n">
        <v>1</v>
      </c>
      <c r="R56" s="2" t="inlineStr">
        <is>
          <t>Spillkråka</t>
        </is>
      </c>
      <c r="S56">
        <f>HYPERLINK("https://klasma.github.io/Logging_2505/artfynd/A 47954-2022 artfynd.xlsx", "A 47954-2022")</f>
        <v/>
      </c>
      <c r="T56">
        <f>HYPERLINK("https://klasma.github.io/Logging_2505/kartor/A 47954-2022 karta.png", "A 47954-2022")</f>
        <v/>
      </c>
      <c r="V56">
        <f>HYPERLINK("https://klasma.github.io/Logging_2505/klagomål/A 47954-2022 FSC-klagomål.docx", "A 47954-2022")</f>
        <v/>
      </c>
      <c r="W56">
        <f>HYPERLINK("https://klasma.github.io/Logging_2505/klagomålsmail/A 47954-2022 FSC-klagomål mail.docx", "A 47954-2022")</f>
        <v/>
      </c>
      <c r="X56">
        <f>HYPERLINK("https://klasma.github.io/Logging_2505/tillsyn/A 47954-2022 tillsynsbegäran.docx", "A 47954-2022")</f>
        <v/>
      </c>
      <c r="Y56">
        <f>HYPERLINK("https://klasma.github.io/Logging_2505/tillsynsmail/A 47954-2022 tillsynsbegäran mail.docx", "A 47954-2022")</f>
        <v/>
      </c>
      <c r="Z56">
        <f>HYPERLINK("https://klasma.github.io/Logging_2505/fåglar/A 47954-2022 prioriterade fågelarter.docx", "A 47954-2022")</f>
        <v/>
      </c>
    </row>
    <row r="57" ht="15" customHeight="1">
      <c r="A57" t="inlineStr">
        <is>
          <t>A 2397-2023</t>
        </is>
      </c>
      <c r="B57" s="1" t="n">
        <v>44942</v>
      </c>
      <c r="C57" s="1" t="n">
        <v>45732</v>
      </c>
      <c r="D57" t="inlineStr">
        <is>
          <t>NORRBOTTENS LÄN</t>
        </is>
      </c>
      <c r="E57" t="inlineStr">
        <is>
          <t>ARVIDSJAUR</t>
        </is>
      </c>
      <c r="G57" t="n">
        <v>9.5</v>
      </c>
      <c r="H57" t="n">
        <v>0</v>
      </c>
      <c r="I57" t="n">
        <v>1</v>
      </c>
      <c r="J57" t="n">
        <v>0</v>
      </c>
      <c r="K57" t="n">
        <v>0</v>
      </c>
      <c r="L57" t="n">
        <v>0</v>
      </c>
      <c r="M57" t="n">
        <v>0</v>
      </c>
      <c r="N57" t="n">
        <v>0</v>
      </c>
      <c r="O57" t="n">
        <v>0</v>
      </c>
      <c r="P57" t="n">
        <v>0</v>
      </c>
      <c r="Q57" t="n">
        <v>1</v>
      </c>
      <c r="R57" s="2" t="inlineStr">
        <is>
          <t>Stuplav</t>
        </is>
      </c>
      <c r="S57">
        <f>HYPERLINK("https://klasma.github.io/Logging_2505/artfynd/A 2397-2023 artfynd.xlsx", "A 2397-2023")</f>
        <v/>
      </c>
      <c r="T57">
        <f>HYPERLINK("https://klasma.github.io/Logging_2505/kartor/A 2397-2023 karta.png", "A 2397-2023")</f>
        <v/>
      </c>
      <c r="V57">
        <f>HYPERLINK("https://klasma.github.io/Logging_2505/klagomål/A 2397-2023 FSC-klagomål.docx", "A 2397-2023")</f>
        <v/>
      </c>
      <c r="W57">
        <f>HYPERLINK("https://klasma.github.io/Logging_2505/klagomålsmail/A 2397-2023 FSC-klagomål mail.docx", "A 2397-2023")</f>
        <v/>
      </c>
      <c r="X57">
        <f>HYPERLINK("https://klasma.github.io/Logging_2505/tillsyn/A 2397-2023 tillsynsbegäran.docx", "A 2397-2023")</f>
        <v/>
      </c>
      <c r="Y57">
        <f>HYPERLINK("https://klasma.github.io/Logging_2505/tillsynsmail/A 2397-2023 tillsynsbegäran mail.docx", "A 2397-2023")</f>
        <v/>
      </c>
    </row>
    <row r="58" ht="15" customHeight="1">
      <c r="A58" t="inlineStr">
        <is>
          <t>A 29314-2023</t>
        </is>
      </c>
      <c r="B58" s="1" t="n">
        <v>45105</v>
      </c>
      <c r="C58" s="1" t="n">
        <v>45732</v>
      </c>
      <c r="D58" t="inlineStr">
        <is>
          <t>NORRBOTTENS LÄN</t>
        </is>
      </c>
      <c r="E58" t="inlineStr">
        <is>
          <t>ARVIDSJAUR</t>
        </is>
      </c>
      <c r="G58" t="n">
        <v>1.7</v>
      </c>
      <c r="H58" t="n">
        <v>1</v>
      </c>
      <c r="I58" t="n">
        <v>0</v>
      </c>
      <c r="J58" t="n">
        <v>0</v>
      </c>
      <c r="K58" t="n">
        <v>0</v>
      </c>
      <c r="L58" t="n">
        <v>0</v>
      </c>
      <c r="M58" t="n">
        <v>0</v>
      </c>
      <c r="N58" t="n">
        <v>0</v>
      </c>
      <c r="O58" t="n">
        <v>0</v>
      </c>
      <c r="P58" t="n">
        <v>0</v>
      </c>
      <c r="Q58" t="n">
        <v>1</v>
      </c>
      <c r="R58" s="2" t="inlineStr">
        <is>
          <t>Lavskrika</t>
        </is>
      </c>
      <c r="S58">
        <f>HYPERLINK("https://klasma.github.io/Logging_2505/artfynd/A 29314-2023 artfynd.xlsx", "A 29314-2023")</f>
        <v/>
      </c>
      <c r="T58">
        <f>HYPERLINK("https://klasma.github.io/Logging_2505/kartor/A 29314-2023 karta.png", "A 29314-2023")</f>
        <v/>
      </c>
      <c r="V58">
        <f>HYPERLINK("https://klasma.github.io/Logging_2505/klagomål/A 29314-2023 FSC-klagomål.docx", "A 29314-2023")</f>
        <v/>
      </c>
      <c r="W58">
        <f>HYPERLINK("https://klasma.github.io/Logging_2505/klagomålsmail/A 29314-2023 FSC-klagomål mail.docx", "A 29314-2023")</f>
        <v/>
      </c>
      <c r="X58">
        <f>HYPERLINK("https://klasma.github.io/Logging_2505/tillsyn/A 29314-2023 tillsynsbegäran.docx", "A 29314-2023")</f>
        <v/>
      </c>
      <c r="Y58">
        <f>HYPERLINK("https://klasma.github.io/Logging_2505/tillsynsmail/A 29314-2023 tillsynsbegäran mail.docx", "A 29314-2023")</f>
        <v/>
      </c>
      <c r="Z58">
        <f>HYPERLINK("https://klasma.github.io/Logging_2505/fåglar/A 29314-2023 prioriterade fågelarter.docx", "A 29314-2023")</f>
        <v/>
      </c>
    </row>
    <row r="59" ht="15" customHeight="1">
      <c r="A59" t="inlineStr">
        <is>
          <t>A 38166-2023</t>
        </is>
      </c>
      <c r="B59" s="1" t="n">
        <v>45161</v>
      </c>
      <c r="C59" s="1" t="n">
        <v>45732</v>
      </c>
      <c r="D59" t="inlineStr">
        <is>
          <t>NORRBOTTENS LÄN</t>
        </is>
      </c>
      <c r="E59" t="inlineStr">
        <is>
          <t>ARVIDSJAUR</t>
        </is>
      </c>
      <c r="F59" t="inlineStr">
        <is>
          <t>Sveaskog</t>
        </is>
      </c>
      <c r="G59" t="n">
        <v>8.1</v>
      </c>
      <c r="H59" t="n">
        <v>0</v>
      </c>
      <c r="I59" t="n">
        <v>0</v>
      </c>
      <c r="J59" t="n">
        <v>1</v>
      </c>
      <c r="K59" t="n">
        <v>0</v>
      </c>
      <c r="L59" t="n">
        <v>0</v>
      </c>
      <c r="M59" t="n">
        <v>0</v>
      </c>
      <c r="N59" t="n">
        <v>0</v>
      </c>
      <c r="O59" t="n">
        <v>1</v>
      </c>
      <c r="P59" t="n">
        <v>0</v>
      </c>
      <c r="Q59" t="n">
        <v>1</v>
      </c>
      <c r="R59" s="2" t="inlineStr">
        <is>
          <t>Violmussling</t>
        </is>
      </c>
      <c r="S59">
        <f>HYPERLINK("https://klasma.github.io/Logging_2505/artfynd/A 38166-2023 artfynd.xlsx", "A 38166-2023")</f>
        <v/>
      </c>
      <c r="T59">
        <f>HYPERLINK("https://klasma.github.io/Logging_2505/kartor/A 38166-2023 karta.png", "A 38166-2023")</f>
        <v/>
      </c>
      <c r="V59">
        <f>HYPERLINK("https://klasma.github.io/Logging_2505/klagomål/A 38166-2023 FSC-klagomål.docx", "A 38166-2023")</f>
        <v/>
      </c>
      <c r="W59">
        <f>HYPERLINK("https://klasma.github.io/Logging_2505/klagomålsmail/A 38166-2023 FSC-klagomål mail.docx", "A 38166-2023")</f>
        <v/>
      </c>
      <c r="X59">
        <f>HYPERLINK("https://klasma.github.io/Logging_2505/tillsyn/A 38166-2023 tillsynsbegäran.docx", "A 38166-2023")</f>
        <v/>
      </c>
      <c r="Y59">
        <f>HYPERLINK("https://klasma.github.io/Logging_2505/tillsynsmail/A 38166-2023 tillsynsbegäran mail.docx", "A 38166-2023")</f>
        <v/>
      </c>
    </row>
    <row r="60" ht="15" customHeight="1">
      <c r="A60" t="inlineStr">
        <is>
          <t>A 38755-2023</t>
        </is>
      </c>
      <c r="B60" s="1" t="n">
        <v>45163</v>
      </c>
      <c r="C60" s="1" t="n">
        <v>45732</v>
      </c>
      <c r="D60" t="inlineStr">
        <is>
          <t>NORRBOTTENS LÄN</t>
        </is>
      </c>
      <c r="E60" t="inlineStr">
        <is>
          <t>ARVIDSJAUR</t>
        </is>
      </c>
      <c r="F60" t="inlineStr">
        <is>
          <t>Sveaskog</t>
        </is>
      </c>
      <c r="G60" t="n">
        <v>9.6</v>
      </c>
      <c r="H60" t="n">
        <v>1</v>
      </c>
      <c r="I60" t="n">
        <v>0</v>
      </c>
      <c r="J60" t="n">
        <v>1</v>
      </c>
      <c r="K60" t="n">
        <v>0</v>
      </c>
      <c r="L60" t="n">
        <v>0</v>
      </c>
      <c r="M60" t="n">
        <v>0</v>
      </c>
      <c r="N60" t="n">
        <v>0</v>
      </c>
      <c r="O60" t="n">
        <v>1</v>
      </c>
      <c r="P60" t="n">
        <v>0</v>
      </c>
      <c r="Q60" t="n">
        <v>1</v>
      </c>
      <c r="R60" s="2" t="inlineStr">
        <is>
          <t>Höstlåsbräken</t>
        </is>
      </c>
      <c r="S60">
        <f>HYPERLINK("https://klasma.github.io/Logging_2505/artfynd/A 38755-2023 artfynd.xlsx", "A 38755-2023")</f>
        <v/>
      </c>
      <c r="T60">
        <f>HYPERLINK("https://klasma.github.io/Logging_2505/kartor/A 38755-2023 karta.png", "A 38755-2023")</f>
        <v/>
      </c>
      <c r="V60">
        <f>HYPERLINK("https://klasma.github.io/Logging_2505/klagomål/A 38755-2023 FSC-klagomål.docx", "A 38755-2023")</f>
        <v/>
      </c>
      <c r="W60">
        <f>HYPERLINK("https://klasma.github.io/Logging_2505/klagomålsmail/A 38755-2023 FSC-klagomål mail.docx", "A 38755-2023")</f>
        <v/>
      </c>
      <c r="X60">
        <f>HYPERLINK("https://klasma.github.io/Logging_2505/tillsyn/A 38755-2023 tillsynsbegäran.docx", "A 38755-2023")</f>
        <v/>
      </c>
      <c r="Y60">
        <f>HYPERLINK("https://klasma.github.io/Logging_2505/tillsynsmail/A 38755-2023 tillsynsbegäran mail.docx", "A 38755-2023")</f>
        <v/>
      </c>
    </row>
    <row r="61" ht="15" customHeight="1">
      <c r="A61" t="inlineStr">
        <is>
          <t>A 32599-2024</t>
        </is>
      </c>
      <c r="B61" s="1" t="n">
        <v>45513</v>
      </c>
      <c r="C61" s="1" t="n">
        <v>45732</v>
      </c>
      <c r="D61" t="inlineStr">
        <is>
          <t>NORRBOTTENS LÄN</t>
        </is>
      </c>
      <c r="E61" t="inlineStr">
        <is>
          <t>ARVIDSJAUR</t>
        </is>
      </c>
      <c r="F61" t="inlineStr">
        <is>
          <t>Sveaskog</t>
        </is>
      </c>
      <c r="G61" t="n">
        <v>12.2</v>
      </c>
      <c r="H61" t="n">
        <v>0</v>
      </c>
      <c r="I61" t="n">
        <v>0</v>
      </c>
      <c r="J61" t="n">
        <v>1</v>
      </c>
      <c r="K61" t="n">
        <v>0</v>
      </c>
      <c r="L61" t="n">
        <v>0</v>
      </c>
      <c r="M61" t="n">
        <v>0</v>
      </c>
      <c r="N61" t="n">
        <v>0</v>
      </c>
      <c r="O61" t="n">
        <v>1</v>
      </c>
      <c r="P61" t="n">
        <v>0</v>
      </c>
      <c r="Q61" t="n">
        <v>1</v>
      </c>
      <c r="R61" s="2" t="inlineStr">
        <is>
          <t>Lunglav</t>
        </is>
      </c>
      <c r="S61">
        <f>HYPERLINK("https://klasma.github.io/Logging_2505/artfynd/A 32599-2024 artfynd.xlsx", "A 32599-2024")</f>
        <v/>
      </c>
      <c r="T61">
        <f>HYPERLINK("https://klasma.github.io/Logging_2505/kartor/A 32599-2024 karta.png", "A 32599-2024")</f>
        <v/>
      </c>
      <c r="V61">
        <f>HYPERLINK("https://klasma.github.io/Logging_2505/klagomål/A 32599-2024 FSC-klagomål.docx", "A 32599-2024")</f>
        <v/>
      </c>
      <c r="W61">
        <f>HYPERLINK("https://klasma.github.io/Logging_2505/klagomålsmail/A 32599-2024 FSC-klagomål mail.docx", "A 32599-2024")</f>
        <v/>
      </c>
      <c r="X61">
        <f>HYPERLINK("https://klasma.github.io/Logging_2505/tillsyn/A 32599-2024 tillsynsbegäran.docx", "A 32599-2024")</f>
        <v/>
      </c>
      <c r="Y61">
        <f>HYPERLINK("https://klasma.github.io/Logging_2505/tillsynsmail/A 32599-2024 tillsynsbegäran mail.docx", "A 32599-2024")</f>
        <v/>
      </c>
    </row>
    <row r="62" ht="15" customHeight="1">
      <c r="A62" t="inlineStr">
        <is>
          <t>A 45386-2024</t>
        </is>
      </c>
      <c r="B62" s="1" t="n">
        <v>45576</v>
      </c>
      <c r="C62" s="1" t="n">
        <v>45732</v>
      </c>
      <c r="D62" t="inlineStr">
        <is>
          <t>NORRBOTTENS LÄN</t>
        </is>
      </c>
      <c r="E62" t="inlineStr">
        <is>
          <t>ARVIDSJAUR</t>
        </is>
      </c>
      <c r="F62" t="inlineStr">
        <is>
          <t>Sveaskog</t>
        </is>
      </c>
      <c r="G62" t="n">
        <v>11.9</v>
      </c>
      <c r="H62" t="n">
        <v>0</v>
      </c>
      <c r="I62" t="n">
        <v>1</v>
      </c>
      <c r="J62" t="n">
        <v>0</v>
      </c>
      <c r="K62" t="n">
        <v>0</v>
      </c>
      <c r="L62" t="n">
        <v>0</v>
      </c>
      <c r="M62" t="n">
        <v>0</v>
      </c>
      <c r="N62" t="n">
        <v>0</v>
      </c>
      <c r="O62" t="n">
        <v>0</v>
      </c>
      <c r="P62" t="n">
        <v>0</v>
      </c>
      <c r="Q62" t="n">
        <v>1</v>
      </c>
      <c r="R62" s="2" t="inlineStr">
        <is>
          <t>Dropptaggsvamp</t>
        </is>
      </c>
      <c r="S62">
        <f>HYPERLINK("https://klasma.github.io/Logging_2505/artfynd/A 45386-2024 artfynd.xlsx", "A 45386-2024")</f>
        <v/>
      </c>
      <c r="T62">
        <f>HYPERLINK("https://klasma.github.io/Logging_2505/kartor/A 45386-2024 karta.png", "A 45386-2024")</f>
        <v/>
      </c>
      <c r="V62">
        <f>HYPERLINK("https://klasma.github.io/Logging_2505/klagomål/A 45386-2024 FSC-klagomål.docx", "A 45386-2024")</f>
        <v/>
      </c>
      <c r="W62">
        <f>HYPERLINK("https://klasma.github.io/Logging_2505/klagomålsmail/A 45386-2024 FSC-klagomål mail.docx", "A 45386-2024")</f>
        <v/>
      </c>
      <c r="X62">
        <f>HYPERLINK("https://klasma.github.io/Logging_2505/tillsyn/A 45386-2024 tillsynsbegäran.docx", "A 45386-2024")</f>
        <v/>
      </c>
      <c r="Y62">
        <f>HYPERLINK("https://klasma.github.io/Logging_2505/tillsynsmail/A 45386-2024 tillsynsbegäran mail.docx", "A 45386-2024")</f>
        <v/>
      </c>
    </row>
    <row r="63" ht="15" customHeight="1">
      <c r="A63" t="inlineStr">
        <is>
          <t>A 48368-2024</t>
        </is>
      </c>
      <c r="B63" s="1" t="n">
        <v>45590</v>
      </c>
      <c r="C63" s="1" t="n">
        <v>45732</v>
      </c>
      <c r="D63" t="inlineStr">
        <is>
          <t>NORRBOTTENS LÄN</t>
        </is>
      </c>
      <c r="E63" t="inlineStr">
        <is>
          <t>ARVIDSJAUR</t>
        </is>
      </c>
      <c r="F63" t="inlineStr">
        <is>
          <t>Sveaskog</t>
        </is>
      </c>
      <c r="G63" t="n">
        <v>7.2</v>
      </c>
      <c r="H63" t="n">
        <v>0</v>
      </c>
      <c r="I63" t="n">
        <v>0</v>
      </c>
      <c r="J63" t="n">
        <v>1</v>
      </c>
      <c r="K63" t="n">
        <v>0</v>
      </c>
      <c r="L63" t="n">
        <v>0</v>
      </c>
      <c r="M63" t="n">
        <v>0</v>
      </c>
      <c r="N63" t="n">
        <v>0</v>
      </c>
      <c r="O63" t="n">
        <v>1</v>
      </c>
      <c r="P63" t="n">
        <v>0</v>
      </c>
      <c r="Q63" t="n">
        <v>1</v>
      </c>
      <c r="R63" s="2" t="inlineStr">
        <is>
          <t>Orange taggsvamp</t>
        </is>
      </c>
      <c r="S63">
        <f>HYPERLINK("https://klasma.github.io/Logging_2505/artfynd/A 48368-2024 artfynd.xlsx", "A 48368-2024")</f>
        <v/>
      </c>
      <c r="T63">
        <f>HYPERLINK("https://klasma.github.io/Logging_2505/kartor/A 48368-2024 karta.png", "A 48368-2024")</f>
        <v/>
      </c>
      <c r="V63">
        <f>HYPERLINK("https://klasma.github.io/Logging_2505/klagomål/A 48368-2024 FSC-klagomål.docx", "A 48368-2024")</f>
        <v/>
      </c>
      <c r="W63">
        <f>HYPERLINK("https://klasma.github.io/Logging_2505/klagomålsmail/A 48368-2024 FSC-klagomål mail.docx", "A 48368-2024")</f>
        <v/>
      </c>
      <c r="X63">
        <f>HYPERLINK("https://klasma.github.io/Logging_2505/tillsyn/A 48368-2024 tillsynsbegäran.docx", "A 48368-2024")</f>
        <v/>
      </c>
      <c r="Y63">
        <f>HYPERLINK("https://klasma.github.io/Logging_2505/tillsynsmail/A 48368-2024 tillsynsbegäran mail.docx", "A 48368-2024")</f>
        <v/>
      </c>
    </row>
    <row r="64" ht="15" customHeight="1">
      <c r="A64" t="inlineStr">
        <is>
          <t>A 53651-2024</t>
        </is>
      </c>
      <c r="B64" s="1" t="n">
        <v>45615</v>
      </c>
      <c r="C64" s="1" t="n">
        <v>45732</v>
      </c>
      <c r="D64" t="inlineStr">
        <is>
          <t>NORRBOTTENS LÄN</t>
        </is>
      </c>
      <c r="E64" t="inlineStr">
        <is>
          <t>ARVIDSJAUR</t>
        </is>
      </c>
      <c r="F64" t="inlineStr">
        <is>
          <t>Sveaskog</t>
        </is>
      </c>
      <c r="G64" t="n">
        <v>2.7</v>
      </c>
      <c r="H64" t="n">
        <v>0</v>
      </c>
      <c r="I64" t="n">
        <v>1</v>
      </c>
      <c r="J64" t="n">
        <v>0</v>
      </c>
      <c r="K64" t="n">
        <v>0</v>
      </c>
      <c r="L64" t="n">
        <v>0</v>
      </c>
      <c r="M64" t="n">
        <v>0</v>
      </c>
      <c r="N64" t="n">
        <v>0</v>
      </c>
      <c r="O64" t="n">
        <v>0</v>
      </c>
      <c r="P64" t="n">
        <v>0</v>
      </c>
      <c r="Q64" t="n">
        <v>1</v>
      </c>
      <c r="R64" s="2" t="inlineStr">
        <is>
          <t>Dropptaggsvamp</t>
        </is>
      </c>
      <c r="S64">
        <f>HYPERLINK("https://klasma.github.io/Logging_2505/artfynd/A 53651-2024 artfynd.xlsx", "A 53651-2024")</f>
        <v/>
      </c>
      <c r="T64">
        <f>HYPERLINK("https://klasma.github.io/Logging_2505/kartor/A 53651-2024 karta.png", "A 53651-2024")</f>
        <v/>
      </c>
      <c r="V64">
        <f>HYPERLINK("https://klasma.github.io/Logging_2505/klagomål/A 53651-2024 FSC-klagomål.docx", "A 53651-2024")</f>
        <v/>
      </c>
      <c r="W64">
        <f>HYPERLINK("https://klasma.github.io/Logging_2505/klagomålsmail/A 53651-2024 FSC-klagomål mail.docx", "A 53651-2024")</f>
        <v/>
      </c>
      <c r="X64">
        <f>HYPERLINK("https://klasma.github.io/Logging_2505/tillsyn/A 53651-2024 tillsynsbegäran.docx", "A 53651-2024")</f>
        <v/>
      </c>
      <c r="Y64">
        <f>HYPERLINK("https://klasma.github.io/Logging_2505/tillsynsmail/A 53651-2024 tillsynsbegäran mail.docx", "A 53651-2024")</f>
        <v/>
      </c>
    </row>
    <row r="65" ht="15" customHeight="1">
      <c r="A65" t="inlineStr">
        <is>
          <t>A 54539-2024</t>
        </is>
      </c>
      <c r="B65" s="1" t="n">
        <v>45617</v>
      </c>
      <c r="C65" s="1" t="n">
        <v>45732</v>
      </c>
      <c r="D65" t="inlineStr">
        <is>
          <t>NORRBOTTENS LÄN</t>
        </is>
      </c>
      <c r="E65" t="inlineStr">
        <is>
          <t>ARVIDSJAUR</t>
        </is>
      </c>
      <c r="F65" t="inlineStr">
        <is>
          <t>Sveaskog</t>
        </is>
      </c>
      <c r="G65" t="n">
        <v>22.1</v>
      </c>
      <c r="H65" t="n">
        <v>0</v>
      </c>
      <c r="I65" t="n">
        <v>0</v>
      </c>
      <c r="J65" t="n">
        <v>1</v>
      </c>
      <c r="K65" t="n">
        <v>0</v>
      </c>
      <c r="L65" t="n">
        <v>0</v>
      </c>
      <c r="M65" t="n">
        <v>0</v>
      </c>
      <c r="N65" t="n">
        <v>0</v>
      </c>
      <c r="O65" t="n">
        <v>1</v>
      </c>
      <c r="P65" t="n">
        <v>0</v>
      </c>
      <c r="Q65" t="n">
        <v>1</v>
      </c>
      <c r="R65" s="2" t="inlineStr">
        <is>
          <t>Vaddporing</t>
        </is>
      </c>
      <c r="S65">
        <f>HYPERLINK("https://klasma.github.io/Logging_2505/artfynd/A 54539-2024 artfynd.xlsx", "A 54539-2024")</f>
        <v/>
      </c>
      <c r="T65">
        <f>HYPERLINK("https://klasma.github.io/Logging_2505/kartor/A 54539-2024 karta.png", "A 54539-2024")</f>
        <v/>
      </c>
      <c r="V65">
        <f>HYPERLINK("https://klasma.github.io/Logging_2505/klagomål/A 54539-2024 FSC-klagomål.docx", "A 54539-2024")</f>
        <v/>
      </c>
      <c r="W65">
        <f>HYPERLINK("https://klasma.github.io/Logging_2505/klagomålsmail/A 54539-2024 FSC-klagomål mail.docx", "A 54539-2024")</f>
        <v/>
      </c>
      <c r="X65">
        <f>HYPERLINK("https://klasma.github.io/Logging_2505/tillsyn/A 54539-2024 tillsynsbegäran.docx", "A 54539-2024")</f>
        <v/>
      </c>
      <c r="Y65">
        <f>HYPERLINK("https://klasma.github.io/Logging_2505/tillsynsmail/A 54539-2024 tillsynsbegäran mail.docx", "A 54539-2024")</f>
        <v/>
      </c>
    </row>
    <row r="66" ht="15" customHeight="1">
      <c r="A66" t="inlineStr">
        <is>
          <t>A 57043-2024</t>
        </is>
      </c>
      <c r="B66" s="1" t="n">
        <v>45629</v>
      </c>
      <c r="C66" s="1" t="n">
        <v>45732</v>
      </c>
      <c r="D66" t="inlineStr">
        <is>
          <t>NORRBOTTENS LÄN</t>
        </is>
      </c>
      <c r="E66" t="inlineStr">
        <is>
          <t>ARVIDSJAUR</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HYPERLINK("https://klasma.github.io/Logging_2505/artfynd/A 57043-2024 artfynd.xlsx", "A 57043-2024")</f>
        <v/>
      </c>
      <c r="T66">
        <f>HYPERLINK("https://klasma.github.io/Logging_2505/kartor/A 57043-2024 karta.png", "A 57043-2024")</f>
        <v/>
      </c>
      <c r="V66">
        <f>HYPERLINK("https://klasma.github.io/Logging_2505/klagomål/A 57043-2024 FSC-klagomål.docx", "A 57043-2024")</f>
        <v/>
      </c>
      <c r="W66">
        <f>HYPERLINK("https://klasma.github.io/Logging_2505/klagomålsmail/A 57043-2024 FSC-klagomål mail.docx", "A 57043-2024")</f>
        <v/>
      </c>
      <c r="X66">
        <f>HYPERLINK("https://klasma.github.io/Logging_2505/tillsyn/A 57043-2024 tillsynsbegäran.docx", "A 57043-2024")</f>
        <v/>
      </c>
      <c r="Y66">
        <f>HYPERLINK("https://klasma.github.io/Logging_2505/tillsynsmail/A 57043-2024 tillsynsbegäran mail.docx", "A 57043-2024")</f>
        <v/>
      </c>
    </row>
    <row r="67" ht="15" customHeight="1">
      <c r="A67" t="inlineStr">
        <is>
          <t>A 20581-2019</t>
        </is>
      </c>
      <c r="B67" s="1" t="n">
        <v>43572</v>
      </c>
      <c r="C67" s="1" t="n">
        <v>45732</v>
      </c>
      <c r="D67" t="inlineStr">
        <is>
          <t>NORRBOTTENS LÄN</t>
        </is>
      </c>
      <c r="E67" t="inlineStr">
        <is>
          <t>ARVIDSJAUR</t>
        </is>
      </c>
      <c r="G67" t="n">
        <v>1</v>
      </c>
      <c r="H67" t="n">
        <v>0</v>
      </c>
      <c r="I67" t="n">
        <v>0</v>
      </c>
      <c r="J67" t="n">
        <v>0</v>
      </c>
      <c r="K67" t="n">
        <v>0</v>
      </c>
      <c r="L67" t="n">
        <v>0</v>
      </c>
      <c r="M67" t="n">
        <v>0</v>
      </c>
      <c r="N67" t="n">
        <v>0</v>
      </c>
      <c r="O67" t="n">
        <v>0</v>
      </c>
      <c r="P67" t="n">
        <v>0</v>
      </c>
      <c r="Q67" t="n">
        <v>0</v>
      </c>
      <c r="R67" s="2" t="inlineStr"/>
    </row>
    <row r="68" ht="15" customHeight="1">
      <c r="A68" t="inlineStr">
        <is>
          <t>A 24255-2019</t>
        </is>
      </c>
      <c r="B68" s="1" t="n">
        <v>43597</v>
      </c>
      <c r="C68" s="1" t="n">
        <v>45732</v>
      </c>
      <c r="D68" t="inlineStr">
        <is>
          <t>NORRBOTTENS LÄN</t>
        </is>
      </c>
      <c r="E68" t="inlineStr">
        <is>
          <t>ARVIDSJAUR</t>
        </is>
      </c>
      <c r="G68" t="n">
        <v>2.8</v>
      </c>
      <c r="H68" t="n">
        <v>0</v>
      </c>
      <c r="I68" t="n">
        <v>0</v>
      </c>
      <c r="J68" t="n">
        <v>0</v>
      </c>
      <c r="K68" t="n">
        <v>0</v>
      </c>
      <c r="L68" t="n">
        <v>0</v>
      </c>
      <c r="M68" t="n">
        <v>0</v>
      </c>
      <c r="N68" t="n">
        <v>0</v>
      </c>
      <c r="O68" t="n">
        <v>0</v>
      </c>
      <c r="P68" t="n">
        <v>0</v>
      </c>
      <c r="Q68" t="n">
        <v>0</v>
      </c>
      <c r="R68" s="2" t="inlineStr"/>
    </row>
    <row r="69" ht="15" customHeight="1">
      <c r="A69" t="inlineStr">
        <is>
          <t>A 25217-2019</t>
        </is>
      </c>
      <c r="B69" s="1" t="n">
        <v>43601</v>
      </c>
      <c r="C69" s="1" t="n">
        <v>45732</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24920-2019</t>
        </is>
      </c>
      <c r="B70" s="1" t="n">
        <v>43602</v>
      </c>
      <c r="C70" s="1" t="n">
        <v>45732</v>
      </c>
      <c r="D70" t="inlineStr">
        <is>
          <t>NORRBOTTENS LÄN</t>
        </is>
      </c>
      <c r="E70" t="inlineStr">
        <is>
          <t>ARVIDSJAUR</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24865-2019</t>
        </is>
      </c>
      <c r="B71" s="1" t="n">
        <v>43602</v>
      </c>
      <c r="C71" s="1" t="n">
        <v>45732</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24999-2019</t>
        </is>
      </c>
      <c r="B72" s="1" t="n">
        <v>43602</v>
      </c>
      <c r="C72" s="1" t="n">
        <v>45732</v>
      </c>
      <c r="D72" t="inlineStr">
        <is>
          <t>NORRBOTTENS LÄN</t>
        </is>
      </c>
      <c r="E72" t="inlineStr">
        <is>
          <t>ARVIDSJAUR</t>
        </is>
      </c>
      <c r="F72" t="inlineStr">
        <is>
          <t>Sveaskog</t>
        </is>
      </c>
      <c r="G72" t="n">
        <v>68.09999999999999</v>
      </c>
      <c r="H72" t="n">
        <v>0</v>
      </c>
      <c r="I72" t="n">
        <v>0</v>
      </c>
      <c r="J72" t="n">
        <v>0</v>
      </c>
      <c r="K72" t="n">
        <v>0</v>
      </c>
      <c r="L72" t="n">
        <v>0</v>
      </c>
      <c r="M72" t="n">
        <v>0</v>
      </c>
      <c r="N72" t="n">
        <v>0</v>
      </c>
      <c r="O72" t="n">
        <v>0</v>
      </c>
      <c r="P72" t="n">
        <v>0</v>
      </c>
      <c r="Q72" t="n">
        <v>0</v>
      </c>
      <c r="R72" s="2" t="inlineStr"/>
    </row>
    <row r="73" ht="15" customHeight="1">
      <c r="A73" t="inlineStr">
        <is>
          <t>A 24945-2019</t>
        </is>
      </c>
      <c r="B73" s="1" t="n">
        <v>43602</v>
      </c>
      <c r="C73" s="1" t="n">
        <v>45732</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24870-2019</t>
        </is>
      </c>
      <c r="B74" s="1" t="n">
        <v>43602</v>
      </c>
      <c r="C74" s="1" t="n">
        <v>45732</v>
      </c>
      <c r="D74" t="inlineStr">
        <is>
          <t>NORRBOTTENS LÄN</t>
        </is>
      </c>
      <c r="E74" t="inlineStr">
        <is>
          <t>ARVIDSJAUR</t>
        </is>
      </c>
      <c r="F74" t="inlineStr">
        <is>
          <t>Sveaskog</t>
        </is>
      </c>
      <c r="G74" t="n">
        <v>85.2</v>
      </c>
      <c r="H74" t="n">
        <v>0</v>
      </c>
      <c r="I74" t="n">
        <v>0</v>
      </c>
      <c r="J74" t="n">
        <v>0</v>
      </c>
      <c r="K74" t="n">
        <v>0</v>
      </c>
      <c r="L74" t="n">
        <v>0</v>
      </c>
      <c r="M74" t="n">
        <v>0</v>
      </c>
      <c r="N74" t="n">
        <v>0</v>
      </c>
      <c r="O74" t="n">
        <v>0</v>
      </c>
      <c r="P74" t="n">
        <v>0</v>
      </c>
      <c r="Q74" t="n">
        <v>0</v>
      </c>
      <c r="R74" s="2" t="inlineStr"/>
    </row>
    <row r="75" ht="15" customHeight="1">
      <c r="A75" t="inlineStr">
        <is>
          <t>A 25253-2019</t>
        </is>
      </c>
      <c r="B75" s="1" t="n">
        <v>43605</v>
      </c>
      <c r="C75" s="1" t="n">
        <v>45732</v>
      </c>
      <c r="D75" t="inlineStr">
        <is>
          <t>NORRBOTTENS LÄN</t>
        </is>
      </c>
      <c r="E75" t="inlineStr">
        <is>
          <t>ARVIDSJAUR</t>
        </is>
      </c>
      <c r="F75" t="inlineStr">
        <is>
          <t>Sveaskog</t>
        </is>
      </c>
      <c r="G75" t="n">
        <v>43.2</v>
      </c>
      <c r="H75" t="n">
        <v>0</v>
      </c>
      <c r="I75" t="n">
        <v>0</v>
      </c>
      <c r="J75" t="n">
        <v>0</v>
      </c>
      <c r="K75" t="n">
        <v>0</v>
      </c>
      <c r="L75" t="n">
        <v>0</v>
      </c>
      <c r="M75" t="n">
        <v>0</v>
      </c>
      <c r="N75" t="n">
        <v>0</v>
      </c>
      <c r="O75" t="n">
        <v>0</v>
      </c>
      <c r="P75" t="n">
        <v>0</v>
      </c>
      <c r="Q75" t="n">
        <v>0</v>
      </c>
      <c r="R75" s="2" t="inlineStr"/>
    </row>
    <row r="76" ht="15" customHeight="1">
      <c r="A76" t="inlineStr">
        <is>
          <t>A 25274-2019</t>
        </is>
      </c>
      <c r="B76" s="1" t="n">
        <v>43605</v>
      </c>
      <c r="C76" s="1" t="n">
        <v>45732</v>
      </c>
      <c r="D76" t="inlineStr">
        <is>
          <t>NORRBOTTENS LÄN</t>
        </is>
      </c>
      <c r="E76" t="inlineStr">
        <is>
          <t>ARVIDSJAUR</t>
        </is>
      </c>
      <c r="F76" t="inlineStr">
        <is>
          <t>Sveaskog</t>
        </is>
      </c>
      <c r="G76" t="n">
        <v>35.4</v>
      </c>
      <c r="H76" t="n">
        <v>0</v>
      </c>
      <c r="I76" t="n">
        <v>0</v>
      </c>
      <c r="J76" t="n">
        <v>0</v>
      </c>
      <c r="K76" t="n">
        <v>0</v>
      </c>
      <c r="L76" t="n">
        <v>0</v>
      </c>
      <c r="M76" t="n">
        <v>0</v>
      </c>
      <c r="N76" t="n">
        <v>0</v>
      </c>
      <c r="O76" t="n">
        <v>0</v>
      </c>
      <c r="P76" t="n">
        <v>0</v>
      </c>
      <c r="Q76" t="n">
        <v>0</v>
      </c>
      <c r="R76" s="2" t="inlineStr"/>
    </row>
    <row r="77" ht="15" customHeight="1">
      <c r="A77" t="inlineStr">
        <is>
          <t>A 25437-2019</t>
        </is>
      </c>
      <c r="B77" s="1" t="n">
        <v>43605</v>
      </c>
      <c r="C77" s="1" t="n">
        <v>45732</v>
      </c>
      <c r="D77" t="inlineStr">
        <is>
          <t>NORRBOTTENS LÄN</t>
        </is>
      </c>
      <c r="E77" t="inlineStr">
        <is>
          <t>ARVIDSJAUR</t>
        </is>
      </c>
      <c r="G77" t="n">
        <v>3.7</v>
      </c>
      <c r="H77" t="n">
        <v>0</v>
      </c>
      <c r="I77" t="n">
        <v>0</v>
      </c>
      <c r="J77" t="n">
        <v>0</v>
      </c>
      <c r="K77" t="n">
        <v>0</v>
      </c>
      <c r="L77" t="n">
        <v>0</v>
      </c>
      <c r="M77" t="n">
        <v>0</v>
      </c>
      <c r="N77" t="n">
        <v>0</v>
      </c>
      <c r="O77" t="n">
        <v>0</v>
      </c>
      <c r="P77" t="n">
        <v>0</v>
      </c>
      <c r="Q77" t="n">
        <v>0</v>
      </c>
      <c r="R77" s="2" t="inlineStr"/>
    </row>
    <row r="78" ht="15" customHeight="1">
      <c r="A78" t="inlineStr">
        <is>
          <t>A 27000-2019</t>
        </is>
      </c>
      <c r="B78" s="1" t="n">
        <v>43614</v>
      </c>
      <c r="C78" s="1" t="n">
        <v>45732</v>
      </c>
      <c r="D78" t="inlineStr">
        <is>
          <t>NORRBOTTENS LÄN</t>
        </is>
      </c>
      <c r="E78" t="inlineStr">
        <is>
          <t>ARVIDSJAUR</t>
        </is>
      </c>
      <c r="F78" t="inlineStr">
        <is>
          <t>Sveaskog</t>
        </is>
      </c>
      <c r="G78" t="n">
        <v>57.7</v>
      </c>
      <c r="H78" t="n">
        <v>0</v>
      </c>
      <c r="I78" t="n">
        <v>0</v>
      </c>
      <c r="J78" t="n">
        <v>0</v>
      </c>
      <c r="K78" t="n">
        <v>0</v>
      </c>
      <c r="L78" t="n">
        <v>0</v>
      </c>
      <c r="M78" t="n">
        <v>0</v>
      </c>
      <c r="N78" t="n">
        <v>0</v>
      </c>
      <c r="O78" t="n">
        <v>0</v>
      </c>
      <c r="P78" t="n">
        <v>0</v>
      </c>
      <c r="Q78" t="n">
        <v>0</v>
      </c>
      <c r="R78" s="2" t="inlineStr"/>
    </row>
    <row r="79" ht="15" customHeight="1">
      <c r="A79" t="inlineStr">
        <is>
          <t>A 27361-2019</t>
        </is>
      </c>
      <c r="B79" s="1" t="n">
        <v>43616</v>
      </c>
      <c r="C79" s="1" t="n">
        <v>45732</v>
      </c>
      <c r="D79" t="inlineStr">
        <is>
          <t>NORRBOTTENS LÄN</t>
        </is>
      </c>
      <c r="E79" t="inlineStr">
        <is>
          <t>ARVIDSJAUR</t>
        </is>
      </c>
      <c r="G79" t="n">
        <v>2.2</v>
      </c>
      <c r="H79" t="n">
        <v>0</v>
      </c>
      <c r="I79" t="n">
        <v>0</v>
      </c>
      <c r="J79" t="n">
        <v>0</v>
      </c>
      <c r="K79" t="n">
        <v>0</v>
      </c>
      <c r="L79" t="n">
        <v>0</v>
      </c>
      <c r="M79" t="n">
        <v>0</v>
      </c>
      <c r="N79" t="n">
        <v>0</v>
      </c>
      <c r="O79" t="n">
        <v>0</v>
      </c>
      <c r="P79" t="n">
        <v>0</v>
      </c>
      <c r="Q79" t="n">
        <v>0</v>
      </c>
      <c r="R79" s="2" t="inlineStr"/>
    </row>
    <row r="80" ht="15" customHeight="1">
      <c r="A80" t="inlineStr">
        <is>
          <t>A 30410-2019</t>
        </is>
      </c>
      <c r="B80" s="1" t="n">
        <v>43635</v>
      </c>
      <c r="C80" s="1" t="n">
        <v>45732</v>
      </c>
      <c r="D80" t="inlineStr">
        <is>
          <t>NORRBOTTENS LÄN</t>
        </is>
      </c>
      <c r="E80" t="inlineStr">
        <is>
          <t>ARVIDSJAUR</t>
        </is>
      </c>
      <c r="F80" t="inlineStr">
        <is>
          <t>Sveaskog</t>
        </is>
      </c>
      <c r="G80" t="n">
        <v>7.5</v>
      </c>
      <c r="H80" t="n">
        <v>0</v>
      </c>
      <c r="I80" t="n">
        <v>0</v>
      </c>
      <c r="J80" t="n">
        <v>0</v>
      </c>
      <c r="K80" t="n">
        <v>0</v>
      </c>
      <c r="L80" t="n">
        <v>0</v>
      </c>
      <c r="M80" t="n">
        <v>0</v>
      </c>
      <c r="N80" t="n">
        <v>0</v>
      </c>
      <c r="O80" t="n">
        <v>0</v>
      </c>
      <c r="P80" t="n">
        <v>0</v>
      </c>
      <c r="Q80" t="n">
        <v>0</v>
      </c>
      <c r="R80" s="2" t="inlineStr"/>
    </row>
    <row r="81" ht="15" customHeight="1">
      <c r="A81" t="inlineStr">
        <is>
          <t>A 32003-2019</t>
        </is>
      </c>
      <c r="B81" s="1" t="n">
        <v>43642</v>
      </c>
      <c r="C81" s="1" t="n">
        <v>45732</v>
      </c>
      <c r="D81" t="inlineStr">
        <is>
          <t>NORRBOTTENS LÄN</t>
        </is>
      </c>
      <c r="E81" t="inlineStr">
        <is>
          <t>ARVIDSJAUR</t>
        </is>
      </c>
      <c r="G81" t="n">
        <v>7</v>
      </c>
      <c r="H81" t="n">
        <v>0</v>
      </c>
      <c r="I81" t="n">
        <v>0</v>
      </c>
      <c r="J81" t="n">
        <v>0</v>
      </c>
      <c r="K81" t="n">
        <v>0</v>
      </c>
      <c r="L81" t="n">
        <v>0</v>
      </c>
      <c r="M81" t="n">
        <v>0</v>
      </c>
      <c r="N81" t="n">
        <v>0</v>
      </c>
      <c r="O81" t="n">
        <v>0</v>
      </c>
      <c r="P81" t="n">
        <v>0</v>
      </c>
      <c r="Q81" t="n">
        <v>0</v>
      </c>
      <c r="R81" s="2" t="inlineStr"/>
    </row>
    <row r="82" ht="15" customHeight="1">
      <c r="A82" t="inlineStr">
        <is>
          <t>A 33038-2019</t>
        </is>
      </c>
      <c r="B82" s="1" t="n">
        <v>43649</v>
      </c>
      <c r="C82" s="1" t="n">
        <v>45732</v>
      </c>
      <c r="D82" t="inlineStr">
        <is>
          <t>NORRBOTTENS LÄN</t>
        </is>
      </c>
      <c r="E82" t="inlineStr">
        <is>
          <t>ARVIDSJAUR</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34222-2019</t>
        </is>
      </c>
      <c r="B83" s="1" t="n">
        <v>43655</v>
      </c>
      <c r="C83" s="1" t="n">
        <v>45732</v>
      </c>
      <c r="D83" t="inlineStr">
        <is>
          <t>NORRBOTTENS LÄN</t>
        </is>
      </c>
      <c r="E83" t="inlineStr">
        <is>
          <t>ARVIDSJAUR</t>
        </is>
      </c>
      <c r="F83" t="inlineStr">
        <is>
          <t>Sveaskog</t>
        </is>
      </c>
      <c r="G83" t="n">
        <v>5.5</v>
      </c>
      <c r="H83" t="n">
        <v>0</v>
      </c>
      <c r="I83" t="n">
        <v>0</v>
      </c>
      <c r="J83" t="n">
        <v>0</v>
      </c>
      <c r="K83" t="n">
        <v>0</v>
      </c>
      <c r="L83" t="n">
        <v>0</v>
      </c>
      <c r="M83" t="n">
        <v>0</v>
      </c>
      <c r="N83" t="n">
        <v>0</v>
      </c>
      <c r="O83" t="n">
        <v>0</v>
      </c>
      <c r="P83" t="n">
        <v>0</v>
      </c>
      <c r="Q83" t="n">
        <v>0</v>
      </c>
      <c r="R83" s="2" t="inlineStr"/>
    </row>
    <row r="84" ht="15" customHeight="1">
      <c r="A84" t="inlineStr">
        <is>
          <t>A 37523-2019</t>
        </is>
      </c>
      <c r="B84" s="1" t="n">
        <v>43663</v>
      </c>
      <c r="C84" s="1" t="n">
        <v>45732</v>
      </c>
      <c r="D84" t="inlineStr">
        <is>
          <t>NORRBOTTENS LÄN</t>
        </is>
      </c>
      <c r="E84" t="inlineStr">
        <is>
          <t>ARVIDSJAUR</t>
        </is>
      </c>
      <c r="G84" t="n">
        <v>2.5</v>
      </c>
      <c r="H84" t="n">
        <v>0</v>
      </c>
      <c r="I84" t="n">
        <v>0</v>
      </c>
      <c r="J84" t="n">
        <v>0</v>
      </c>
      <c r="K84" t="n">
        <v>0</v>
      </c>
      <c r="L84" t="n">
        <v>0</v>
      </c>
      <c r="M84" t="n">
        <v>0</v>
      </c>
      <c r="N84" t="n">
        <v>0</v>
      </c>
      <c r="O84" t="n">
        <v>0</v>
      </c>
      <c r="P84" t="n">
        <v>0</v>
      </c>
      <c r="Q84" t="n">
        <v>0</v>
      </c>
      <c r="R84" s="2" t="inlineStr"/>
    </row>
    <row r="85" ht="15" customHeight="1">
      <c r="A85" t="inlineStr">
        <is>
          <t>A 36404-2019</t>
        </is>
      </c>
      <c r="B85" s="1" t="n">
        <v>43663</v>
      </c>
      <c r="C85" s="1" t="n">
        <v>45732</v>
      </c>
      <c r="D85" t="inlineStr">
        <is>
          <t>NORRBOTTENS LÄN</t>
        </is>
      </c>
      <c r="E85" t="inlineStr">
        <is>
          <t>ARVIDSJAUR</t>
        </is>
      </c>
      <c r="G85" t="n">
        <v>7.2</v>
      </c>
      <c r="H85" t="n">
        <v>0</v>
      </c>
      <c r="I85" t="n">
        <v>0</v>
      </c>
      <c r="J85" t="n">
        <v>0</v>
      </c>
      <c r="K85" t="n">
        <v>0</v>
      </c>
      <c r="L85" t="n">
        <v>0</v>
      </c>
      <c r="M85" t="n">
        <v>0</v>
      </c>
      <c r="N85" t="n">
        <v>0</v>
      </c>
      <c r="O85" t="n">
        <v>0</v>
      </c>
      <c r="P85" t="n">
        <v>0</v>
      </c>
      <c r="Q85" t="n">
        <v>0</v>
      </c>
      <c r="R85" s="2" t="inlineStr"/>
    </row>
    <row r="86" ht="15" customHeight="1">
      <c r="A86" t="inlineStr">
        <is>
          <t>A 36526-2019</t>
        </is>
      </c>
      <c r="B86" s="1" t="n">
        <v>43668</v>
      </c>
      <c r="C86" s="1" t="n">
        <v>45732</v>
      </c>
      <c r="D86" t="inlineStr">
        <is>
          <t>NORRBOTTENS LÄN</t>
        </is>
      </c>
      <c r="E86" t="inlineStr">
        <is>
          <t>ARVIDSJAUR</t>
        </is>
      </c>
      <c r="F86" t="inlineStr">
        <is>
          <t>Allmännings- och besparingsskogar</t>
        </is>
      </c>
      <c r="G86" t="n">
        <v>4.2</v>
      </c>
      <c r="H86" t="n">
        <v>0</v>
      </c>
      <c r="I86" t="n">
        <v>0</v>
      </c>
      <c r="J86" t="n">
        <v>0</v>
      </c>
      <c r="K86" t="n">
        <v>0</v>
      </c>
      <c r="L86" t="n">
        <v>0</v>
      </c>
      <c r="M86" t="n">
        <v>0</v>
      </c>
      <c r="N86" t="n">
        <v>0</v>
      </c>
      <c r="O86" t="n">
        <v>0</v>
      </c>
      <c r="P86" t="n">
        <v>0</v>
      </c>
      <c r="Q86" t="n">
        <v>0</v>
      </c>
      <c r="R86" s="2" t="inlineStr"/>
    </row>
    <row r="87" ht="15" customHeight="1">
      <c r="A87" t="inlineStr">
        <is>
          <t>A 38020-2019</t>
        </is>
      </c>
      <c r="B87" s="1" t="n">
        <v>43683</v>
      </c>
      <c r="C87" s="1" t="n">
        <v>45732</v>
      </c>
      <c r="D87" t="inlineStr">
        <is>
          <t>NORRBOTTENS LÄN</t>
        </is>
      </c>
      <c r="E87" t="inlineStr">
        <is>
          <t>ARVIDSJAUR</t>
        </is>
      </c>
      <c r="G87" t="n">
        <v>3</v>
      </c>
      <c r="H87" t="n">
        <v>0</v>
      </c>
      <c r="I87" t="n">
        <v>0</v>
      </c>
      <c r="J87" t="n">
        <v>0</v>
      </c>
      <c r="K87" t="n">
        <v>0</v>
      </c>
      <c r="L87" t="n">
        <v>0</v>
      </c>
      <c r="M87" t="n">
        <v>0</v>
      </c>
      <c r="N87" t="n">
        <v>0</v>
      </c>
      <c r="O87" t="n">
        <v>0</v>
      </c>
      <c r="P87" t="n">
        <v>0</v>
      </c>
      <c r="Q87" t="n">
        <v>0</v>
      </c>
      <c r="R87" s="2" t="inlineStr"/>
    </row>
    <row r="88" ht="15" customHeight="1">
      <c r="A88" t="inlineStr">
        <is>
          <t>A 38638-2019</t>
        </is>
      </c>
      <c r="B88" s="1" t="n">
        <v>43686</v>
      </c>
      <c r="C88" s="1" t="n">
        <v>45732</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40693-2019</t>
        </is>
      </c>
      <c r="B89" s="1" t="n">
        <v>43697</v>
      </c>
      <c r="C89" s="1" t="n">
        <v>45732</v>
      </c>
      <c r="D89" t="inlineStr">
        <is>
          <t>NORRBOTTENS LÄN</t>
        </is>
      </c>
      <c r="E89" t="inlineStr">
        <is>
          <t>ARVIDSJAUR</t>
        </is>
      </c>
      <c r="G89" t="n">
        <v>5</v>
      </c>
      <c r="H89" t="n">
        <v>0</v>
      </c>
      <c r="I89" t="n">
        <v>0</v>
      </c>
      <c r="J89" t="n">
        <v>0</v>
      </c>
      <c r="K89" t="n">
        <v>0</v>
      </c>
      <c r="L89" t="n">
        <v>0</v>
      </c>
      <c r="M89" t="n">
        <v>0</v>
      </c>
      <c r="N89" t="n">
        <v>0</v>
      </c>
      <c r="O89" t="n">
        <v>0</v>
      </c>
      <c r="P89" t="n">
        <v>0</v>
      </c>
      <c r="Q89" t="n">
        <v>0</v>
      </c>
      <c r="R89" s="2" t="inlineStr"/>
    </row>
    <row r="90" ht="15" customHeight="1">
      <c r="A90" t="inlineStr">
        <is>
          <t>A 44560-2019</t>
        </is>
      </c>
      <c r="B90" s="1" t="n">
        <v>43706</v>
      </c>
      <c r="C90" s="1" t="n">
        <v>45732</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44572-2019</t>
        </is>
      </c>
      <c r="B91" s="1" t="n">
        <v>43706</v>
      </c>
      <c r="C91" s="1" t="n">
        <v>45732</v>
      </c>
      <c r="D91" t="inlineStr">
        <is>
          <t>NORRBOTTENS LÄN</t>
        </is>
      </c>
      <c r="E91" t="inlineStr">
        <is>
          <t>ARVIDSJAUR</t>
        </is>
      </c>
      <c r="G91" t="n">
        <v>10.4</v>
      </c>
      <c r="H91" t="n">
        <v>0</v>
      </c>
      <c r="I91" t="n">
        <v>0</v>
      </c>
      <c r="J91" t="n">
        <v>0</v>
      </c>
      <c r="K91" t="n">
        <v>0</v>
      </c>
      <c r="L91" t="n">
        <v>0</v>
      </c>
      <c r="M91" t="n">
        <v>0</v>
      </c>
      <c r="N91" t="n">
        <v>0</v>
      </c>
      <c r="O91" t="n">
        <v>0</v>
      </c>
      <c r="P91" t="n">
        <v>0</v>
      </c>
      <c r="Q91" t="n">
        <v>0</v>
      </c>
      <c r="R91" s="2" t="inlineStr"/>
    </row>
    <row r="92" ht="15" customHeight="1">
      <c r="A92" t="inlineStr">
        <is>
          <t>A 44565-2019</t>
        </is>
      </c>
      <c r="B92" s="1" t="n">
        <v>43706</v>
      </c>
      <c r="C92" s="1" t="n">
        <v>45732</v>
      </c>
      <c r="D92" t="inlineStr">
        <is>
          <t>NORRBOTTENS LÄN</t>
        </is>
      </c>
      <c r="E92" t="inlineStr">
        <is>
          <t>ARVIDSJAUR</t>
        </is>
      </c>
      <c r="G92" t="n">
        <v>6.8</v>
      </c>
      <c r="H92" t="n">
        <v>0</v>
      </c>
      <c r="I92" t="n">
        <v>0</v>
      </c>
      <c r="J92" t="n">
        <v>0</v>
      </c>
      <c r="K92" t="n">
        <v>0</v>
      </c>
      <c r="L92" t="n">
        <v>0</v>
      </c>
      <c r="M92" t="n">
        <v>0</v>
      </c>
      <c r="N92" t="n">
        <v>0</v>
      </c>
      <c r="O92" t="n">
        <v>0</v>
      </c>
      <c r="P92" t="n">
        <v>0</v>
      </c>
      <c r="Q92" t="n">
        <v>0</v>
      </c>
      <c r="R92" s="2" t="inlineStr"/>
    </row>
    <row r="93" ht="15" customHeight="1">
      <c r="A93" t="inlineStr">
        <is>
          <t>A 43756-2019</t>
        </is>
      </c>
      <c r="B93" s="1" t="n">
        <v>43707</v>
      </c>
      <c r="C93" s="1" t="n">
        <v>45732</v>
      </c>
      <c r="D93" t="inlineStr">
        <is>
          <t>NORRBOTTENS LÄN</t>
        </is>
      </c>
      <c r="E93" t="inlineStr">
        <is>
          <t>ARVIDSJAUR</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46068-2019</t>
        </is>
      </c>
      <c r="B94" s="1" t="n">
        <v>43713</v>
      </c>
      <c r="C94" s="1" t="n">
        <v>45732</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46075-2019</t>
        </is>
      </c>
      <c r="B95" s="1" t="n">
        <v>43713</v>
      </c>
      <c r="C95" s="1" t="n">
        <v>45732</v>
      </c>
      <c r="D95" t="inlineStr">
        <is>
          <t>NORRBOTTENS LÄN</t>
        </is>
      </c>
      <c r="E95" t="inlineStr">
        <is>
          <t>ARVIDSJAUR</t>
        </is>
      </c>
      <c r="G95" t="n">
        <v>12.5</v>
      </c>
      <c r="H95" t="n">
        <v>0</v>
      </c>
      <c r="I95" t="n">
        <v>0</v>
      </c>
      <c r="J95" t="n">
        <v>0</v>
      </c>
      <c r="K95" t="n">
        <v>0</v>
      </c>
      <c r="L95" t="n">
        <v>0</v>
      </c>
      <c r="M95" t="n">
        <v>0</v>
      </c>
      <c r="N95" t="n">
        <v>0</v>
      </c>
      <c r="O95" t="n">
        <v>0</v>
      </c>
      <c r="P95" t="n">
        <v>0</v>
      </c>
      <c r="Q95" t="n">
        <v>0</v>
      </c>
      <c r="R95" s="2" t="inlineStr"/>
    </row>
    <row r="96" ht="15" customHeight="1">
      <c r="A96" t="inlineStr">
        <is>
          <t>A 46293-2019</t>
        </is>
      </c>
      <c r="B96" s="1" t="n">
        <v>43717</v>
      </c>
      <c r="C96" s="1" t="n">
        <v>45732</v>
      </c>
      <c r="D96" t="inlineStr">
        <is>
          <t>NORRBOTTENS LÄN</t>
        </is>
      </c>
      <c r="E96" t="inlineStr">
        <is>
          <t>ARVIDSJAUR</t>
        </is>
      </c>
      <c r="F96" t="inlineStr">
        <is>
          <t>Allmännings- och besparingsskogar</t>
        </is>
      </c>
      <c r="G96" t="n">
        <v>0.8</v>
      </c>
      <c r="H96" t="n">
        <v>0</v>
      </c>
      <c r="I96" t="n">
        <v>0</v>
      </c>
      <c r="J96" t="n">
        <v>0</v>
      </c>
      <c r="K96" t="n">
        <v>0</v>
      </c>
      <c r="L96" t="n">
        <v>0</v>
      </c>
      <c r="M96" t="n">
        <v>0</v>
      </c>
      <c r="N96" t="n">
        <v>0</v>
      </c>
      <c r="O96" t="n">
        <v>0</v>
      </c>
      <c r="P96" t="n">
        <v>0</v>
      </c>
      <c r="Q96" t="n">
        <v>0</v>
      </c>
      <c r="R96" s="2" t="inlineStr"/>
    </row>
    <row r="97" ht="15" customHeight="1">
      <c r="A97" t="inlineStr">
        <is>
          <t>A 46125-2019</t>
        </is>
      </c>
      <c r="B97" s="1" t="n">
        <v>43718</v>
      </c>
      <c r="C97" s="1" t="n">
        <v>45732</v>
      </c>
      <c r="D97" t="inlineStr">
        <is>
          <t>NORRBOTTENS LÄN</t>
        </is>
      </c>
      <c r="E97" t="inlineStr">
        <is>
          <t>ARVIDSJAUR</t>
        </is>
      </c>
      <c r="G97" t="n">
        <v>1.3</v>
      </c>
      <c r="H97" t="n">
        <v>0</v>
      </c>
      <c r="I97" t="n">
        <v>0</v>
      </c>
      <c r="J97" t="n">
        <v>0</v>
      </c>
      <c r="K97" t="n">
        <v>0</v>
      </c>
      <c r="L97" t="n">
        <v>0</v>
      </c>
      <c r="M97" t="n">
        <v>0</v>
      </c>
      <c r="N97" t="n">
        <v>0</v>
      </c>
      <c r="O97" t="n">
        <v>0</v>
      </c>
      <c r="P97" t="n">
        <v>0</v>
      </c>
      <c r="Q97" t="n">
        <v>0</v>
      </c>
      <c r="R97" s="2" t="inlineStr"/>
    </row>
    <row r="98" ht="15" customHeight="1">
      <c r="A98" t="inlineStr">
        <is>
          <t>A 46155-2019</t>
        </is>
      </c>
      <c r="B98" s="1" t="n">
        <v>43718</v>
      </c>
      <c r="C98" s="1" t="n">
        <v>45732</v>
      </c>
      <c r="D98" t="inlineStr">
        <is>
          <t>NORRBOTTENS LÄN</t>
        </is>
      </c>
      <c r="E98" t="inlineStr">
        <is>
          <t>ARVIDSJAUR</t>
        </is>
      </c>
      <c r="G98" t="n">
        <v>0.4</v>
      </c>
      <c r="H98" t="n">
        <v>0</v>
      </c>
      <c r="I98" t="n">
        <v>0</v>
      </c>
      <c r="J98" t="n">
        <v>0</v>
      </c>
      <c r="K98" t="n">
        <v>0</v>
      </c>
      <c r="L98" t="n">
        <v>0</v>
      </c>
      <c r="M98" t="n">
        <v>0</v>
      </c>
      <c r="N98" t="n">
        <v>0</v>
      </c>
      <c r="O98" t="n">
        <v>0</v>
      </c>
      <c r="P98" t="n">
        <v>0</v>
      </c>
      <c r="Q98" t="n">
        <v>0</v>
      </c>
      <c r="R98" s="2" t="inlineStr"/>
    </row>
    <row r="99" ht="15" customHeight="1">
      <c r="A99" t="inlineStr">
        <is>
          <t>A 48708-2019</t>
        </is>
      </c>
      <c r="B99" s="1" t="n">
        <v>43728</v>
      </c>
      <c r="C99" s="1" t="n">
        <v>45732</v>
      </c>
      <c r="D99" t="inlineStr">
        <is>
          <t>NORRBOTTENS LÄN</t>
        </is>
      </c>
      <c r="E99" t="inlineStr">
        <is>
          <t>ARVIDSJAUR</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48706-2019</t>
        </is>
      </c>
      <c r="B100" s="1" t="n">
        <v>43728</v>
      </c>
      <c r="C100" s="1" t="n">
        <v>45732</v>
      </c>
      <c r="D100" t="inlineStr">
        <is>
          <t>NORRBOTTENS LÄN</t>
        </is>
      </c>
      <c r="E100" t="inlineStr">
        <is>
          <t>ARVIDSJAUR</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49551-2019</t>
        </is>
      </c>
      <c r="B101" s="1" t="n">
        <v>43732</v>
      </c>
      <c r="C101" s="1" t="n">
        <v>45732</v>
      </c>
      <c r="D101" t="inlineStr">
        <is>
          <t>NORRBOTTENS LÄN</t>
        </is>
      </c>
      <c r="E101" t="inlineStr">
        <is>
          <t>ARVIDSJAUR</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51815-2019</t>
        </is>
      </c>
      <c r="B102" s="1" t="n">
        <v>43734</v>
      </c>
      <c r="C102" s="1" t="n">
        <v>45732</v>
      </c>
      <c r="D102" t="inlineStr">
        <is>
          <t>NORRBOTTENS LÄN</t>
        </is>
      </c>
      <c r="E102" t="inlineStr">
        <is>
          <t>ARVIDSJAUR</t>
        </is>
      </c>
      <c r="G102" t="n">
        <v>5.5</v>
      </c>
      <c r="H102" t="n">
        <v>0</v>
      </c>
      <c r="I102" t="n">
        <v>0</v>
      </c>
      <c r="J102" t="n">
        <v>0</v>
      </c>
      <c r="K102" t="n">
        <v>0</v>
      </c>
      <c r="L102" t="n">
        <v>0</v>
      </c>
      <c r="M102" t="n">
        <v>0</v>
      </c>
      <c r="N102" t="n">
        <v>0</v>
      </c>
      <c r="O102" t="n">
        <v>0</v>
      </c>
      <c r="P102" t="n">
        <v>0</v>
      </c>
      <c r="Q102" t="n">
        <v>0</v>
      </c>
      <c r="R102" s="2" t="inlineStr"/>
    </row>
    <row r="103" ht="15" customHeight="1">
      <c r="A103" t="inlineStr">
        <is>
          <t>A 52081-2019</t>
        </is>
      </c>
      <c r="B103" s="1" t="n">
        <v>43735</v>
      </c>
      <c r="C103" s="1" t="n">
        <v>45732</v>
      </c>
      <c r="D103" t="inlineStr">
        <is>
          <t>NORRBOTTENS LÄN</t>
        </is>
      </c>
      <c r="E103" t="inlineStr">
        <is>
          <t>ARVIDSJAUR</t>
        </is>
      </c>
      <c r="G103" t="n">
        <v>0.2</v>
      </c>
      <c r="H103" t="n">
        <v>0</v>
      </c>
      <c r="I103" t="n">
        <v>0</v>
      </c>
      <c r="J103" t="n">
        <v>0</v>
      </c>
      <c r="K103" t="n">
        <v>0</v>
      </c>
      <c r="L103" t="n">
        <v>0</v>
      </c>
      <c r="M103" t="n">
        <v>0</v>
      </c>
      <c r="N103" t="n">
        <v>0</v>
      </c>
      <c r="O103" t="n">
        <v>0</v>
      </c>
      <c r="P103" t="n">
        <v>0</v>
      </c>
      <c r="Q103" t="n">
        <v>0</v>
      </c>
      <c r="R103" s="2" t="inlineStr"/>
    </row>
    <row r="104" ht="15" customHeight="1">
      <c r="A104" t="inlineStr">
        <is>
          <t>A 50788-2019</t>
        </is>
      </c>
      <c r="B104" s="1" t="n">
        <v>43738</v>
      </c>
      <c r="C104" s="1" t="n">
        <v>45732</v>
      </c>
      <c r="D104" t="inlineStr">
        <is>
          <t>NORRBOTTENS LÄN</t>
        </is>
      </c>
      <c r="E104" t="inlineStr">
        <is>
          <t>ARVIDSJAUR</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53994-2019</t>
        </is>
      </c>
      <c r="B105" s="1" t="n">
        <v>43742</v>
      </c>
      <c r="C105" s="1" t="n">
        <v>45732</v>
      </c>
      <c r="D105" t="inlineStr">
        <is>
          <t>NORRBOTTENS LÄN</t>
        </is>
      </c>
      <c r="E105" t="inlineStr">
        <is>
          <t>ARVIDSJAUR</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54828-2019</t>
        </is>
      </c>
      <c r="B106" s="1" t="n">
        <v>43749</v>
      </c>
      <c r="C106" s="1" t="n">
        <v>45732</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54852-2019</t>
        </is>
      </c>
      <c r="B107" s="1" t="n">
        <v>43749</v>
      </c>
      <c r="C107" s="1" t="n">
        <v>45732</v>
      </c>
      <c r="D107" t="inlineStr">
        <is>
          <t>NORRBOTTENS LÄN</t>
        </is>
      </c>
      <c r="E107" t="inlineStr">
        <is>
          <t>ARVIDSJAUR</t>
        </is>
      </c>
      <c r="G107" t="n">
        <v>2.4</v>
      </c>
      <c r="H107" t="n">
        <v>0</v>
      </c>
      <c r="I107" t="n">
        <v>0</v>
      </c>
      <c r="J107" t="n">
        <v>0</v>
      </c>
      <c r="K107" t="n">
        <v>0</v>
      </c>
      <c r="L107" t="n">
        <v>0</v>
      </c>
      <c r="M107" t="n">
        <v>0</v>
      </c>
      <c r="N107" t="n">
        <v>0</v>
      </c>
      <c r="O107" t="n">
        <v>0</v>
      </c>
      <c r="P107" t="n">
        <v>0</v>
      </c>
      <c r="Q107" t="n">
        <v>0</v>
      </c>
      <c r="R107" s="2" t="inlineStr"/>
    </row>
    <row r="108" ht="15" customHeight="1">
      <c r="A108" t="inlineStr">
        <is>
          <t>A 55784-2019</t>
        </is>
      </c>
      <c r="B108" s="1" t="n">
        <v>43759</v>
      </c>
      <c r="C108" s="1" t="n">
        <v>45732</v>
      </c>
      <c r="D108" t="inlineStr">
        <is>
          <t>NORRBOTTENS LÄN</t>
        </is>
      </c>
      <c r="E108" t="inlineStr">
        <is>
          <t>ARVIDSJAUR</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58054-2019</t>
        </is>
      </c>
      <c r="B109" s="1" t="n">
        <v>43763</v>
      </c>
      <c r="C109" s="1" t="n">
        <v>45732</v>
      </c>
      <c r="D109" t="inlineStr">
        <is>
          <t>NORRBOTTENS LÄN</t>
        </is>
      </c>
      <c r="E109" t="inlineStr">
        <is>
          <t>ARVIDSJAUR</t>
        </is>
      </c>
      <c r="G109" t="n">
        <v>4.5</v>
      </c>
      <c r="H109" t="n">
        <v>0</v>
      </c>
      <c r="I109" t="n">
        <v>0</v>
      </c>
      <c r="J109" t="n">
        <v>0</v>
      </c>
      <c r="K109" t="n">
        <v>0</v>
      </c>
      <c r="L109" t="n">
        <v>0</v>
      </c>
      <c r="M109" t="n">
        <v>0</v>
      </c>
      <c r="N109" t="n">
        <v>0</v>
      </c>
      <c r="O109" t="n">
        <v>0</v>
      </c>
      <c r="P109" t="n">
        <v>0</v>
      </c>
      <c r="Q109" t="n">
        <v>0</v>
      </c>
      <c r="R109" s="2" t="inlineStr"/>
    </row>
    <row r="110" ht="15" customHeight="1">
      <c r="A110" t="inlineStr">
        <is>
          <t>A 58713-2019</t>
        </is>
      </c>
      <c r="B110" s="1" t="n">
        <v>43773</v>
      </c>
      <c r="C110" s="1" t="n">
        <v>45732</v>
      </c>
      <c r="D110" t="inlineStr">
        <is>
          <t>NORRBOTTENS LÄN</t>
        </is>
      </c>
      <c r="E110" t="inlineStr">
        <is>
          <t>ARVIDSJAUR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58949-2019</t>
        </is>
      </c>
      <c r="B111" s="1" t="n">
        <v>43774</v>
      </c>
      <c r="C111" s="1" t="n">
        <v>45732</v>
      </c>
      <c r="D111" t="inlineStr">
        <is>
          <t>NORRBOTTENS LÄN</t>
        </is>
      </c>
      <c r="E111" t="inlineStr">
        <is>
          <t>ARVIDSJAUR</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59019-2019</t>
        </is>
      </c>
      <c r="B112" s="1" t="n">
        <v>43774</v>
      </c>
      <c r="C112" s="1" t="n">
        <v>45732</v>
      </c>
      <c r="D112" t="inlineStr">
        <is>
          <t>NORRBOTTENS LÄN</t>
        </is>
      </c>
      <c r="E112" t="inlineStr">
        <is>
          <t>ARVIDSJAUR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62629-2019</t>
        </is>
      </c>
      <c r="B113" s="1" t="n">
        <v>43789</v>
      </c>
      <c r="C113" s="1" t="n">
        <v>45732</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938-2020</t>
        </is>
      </c>
      <c r="B114" s="1" t="n">
        <v>43818</v>
      </c>
      <c r="C114" s="1" t="n">
        <v>45732</v>
      </c>
      <c r="D114" t="inlineStr">
        <is>
          <t>NORRBOTTENS LÄN</t>
        </is>
      </c>
      <c r="E114" t="inlineStr">
        <is>
          <t>ARVIDSJAUR</t>
        </is>
      </c>
      <c r="G114" t="n">
        <v>0.6</v>
      </c>
      <c r="H114" t="n">
        <v>0</v>
      </c>
      <c r="I114" t="n">
        <v>0</v>
      </c>
      <c r="J114" t="n">
        <v>0</v>
      </c>
      <c r="K114" t="n">
        <v>0</v>
      </c>
      <c r="L114" t="n">
        <v>0</v>
      </c>
      <c r="M114" t="n">
        <v>0</v>
      </c>
      <c r="N114" t="n">
        <v>0</v>
      </c>
      <c r="O114" t="n">
        <v>0</v>
      </c>
      <c r="P114" t="n">
        <v>0</v>
      </c>
      <c r="Q114" t="n">
        <v>0</v>
      </c>
      <c r="R114" s="2" t="inlineStr"/>
    </row>
    <row r="115" ht="15" customHeight="1">
      <c r="A115" t="inlineStr">
        <is>
          <t>A 934-2020</t>
        </is>
      </c>
      <c r="B115" s="1" t="n">
        <v>43818</v>
      </c>
      <c r="C115" s="1" t="n">
        <v>45732</v>
      </c>
      <c r="D115" t="inlineStr">
        <is>
          <t>NORRBOTTENS LÄN</t>
        </is>
      </c>
      <c r="E115" t="inlineStr">
        <is>
          <t>ARVIDSJAUR</t>
        </is>
      </c>
      <c r="G115" t="n">
        <v>3.2</v>
      </c>
      <c r="H115" t="n">
        <v>0</v>
      </c>
      <c r="I115" t="n">
        <v>0</v>
      </c>
      <c r="J115" t="n">
        <v>0</v>
      </c>
      <c r="K115" t="n">
        <v>0</v>
      </c>
      <c r="L115" t="n">
        <v>0</v>
      </c>
      <c r="M115" t="n">
        <v>0</v>
      </c>
      <c r="N115" t="n">
        <v>0</v>
      </c>
      <c r="O115" t="n">
        <v>0</v>
      </c>
      <c r="P115" t="n">
        <v>0</v>
      </c>
      <c r="Q115" t="n">
        <v>0</v>
      </c>
      <c r="R115" s="2" t="inlineStr"/>
    </row>
    <row r="116" ht="15" customHeight="1">
      <c r="A116" t="inlineStr">
        <is>
          <t>A 1621-2020</t>
        </is>
      </c>
      <c r="B116" s="1" t="n">
        <v>43844</v>
      </c>
      <c r="C116" s="1" t="n">
        <v>45732</v>
      </c>
      <c r="D116" t="inlineStr">
        <is>
          <t>NORRBOTTENS LÄN</t>
        </is>
      </c>
      <c r="E116" t="inlineStr">
        <is>
          <t>ARVIDSJAUR</t>
        </is>
      </c>
      <c r="G116" t="n">
        <v>7.3</v>
      </c>
      <c r="H116" t="n">
        <v>0</v>
      </c>
      <c r="I116" t="n">
        <v>0</v>
      </c>
      <c r="J116" t="n">
        <v>0</v>
      </c>
      <c r="K116" t="n">
        <v>0</v>
      </c>
      <c r="L116" t="n">
        <v>0</v>
      </c>
      <c r="M116" t="n">
        <v>0</v>
      </c>
      <c r="N116" t="n">
        <v>0</v>
      </c>
      <c r="O116" t="n">
        <v>0</v>
      </c>
      <c r="P116" t="n">
        <v>0</v>
      </c>
      <c r="Q116" t="n">
        <v>0</v>
      </c>
      <c r="R116" s="2" t="inlineStr"/>
    </row>
    <row r="117" ht="15" customHeight="1">
      <c r="A117" t="inlineStr">
        <is>
          <t>A 3902-2020</t>
        </is>
      </c>
      <c r="B117" s="1" t="n">
        <v>43846</v>
      </c>
      <c r="C117" s="1" t="n">
        <v>45732</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4433-2020</t>
        </is>
      </c>
      <c r="B118" s="1" t="n">
        <v>43850</v>
      </c>
      <c r="C118" s="1" t="n">
        <v>45732</v>
      </c>
      <c r="D118" t="inlineStr">
        <is>
          <t>NORRBOTTENS LÄN</t>
        </is>
      </c>
      <c r="E118" t="inlineStr">
        <is>
          <t>ARVIDSJAUR</t>
        </is>
      </c>
      <c r="G118" t="n">
        <v>3.5</v>
      </c>
      <c r="H118" t="n">
        <v>0</v>
      </c>
      <c r="I118" t="n">
        <v>0</v>
      </c>
      <c r="J118" t="n">
        <v>0</v>
      </c>
      <c r="K118" t="n">
        <v>0</v>
      </c>
      <c r="L118" t="n">
        <v>0</v>
      </c>
      <c r="M118" t="n">
        <v>0</v>
      </c>
      <c r="N118" t="n">
        <v>0</v>
      </c>
      <c r="O118" t="n">
        <v>0</v>
      </c>
      <c r="P118" t="n">
        <v>0</v>
      </c>
      <c r="Q118" t="n">
        <v>0</v>
      </c>
      <c r="R118" s="2" t="inlineStr"/>
    </row>
    <row r="119" ht="15" customHeight="1">
      <c r="A119" t="inlineStr">
        <is>
          <t>A 4568-2020</t>
        </is>
      </c>
      <c r="B119" s="1" t="n">
        <v>43850</v>
      </c>
      <c r="C119" s="1" t="n">
        <v>45732</v>
      </c>
      <c r="D119" t="inlineStr">
        <is>
          <t>NORRBOTTENS LÄN</t>
        </is>
      </c>
      <c r="E119" t="inlineStr">
        <is>
          <t>ARVIDSJAUR</t>
        </is>
      </c>
      <c r="G119" t="n">
        <v>10.2</v>
      </c>
      <c r="H119" t="n">
        <v>0</v>
      </c>
      <c r="I119" t="n">
        <v>0</v>
      </c>
      <c r="J119" t="n">
        <v>0</v>
      </c>
      <c r="K119" t="n">
        <v>0</v>
      </c>
      <c r="L119" t="n">
        <v>0</v>
      </c>
      <c r="M119" t="n">
        <v>0</v>
      </c>
      <c r="N119" t="n">
        <v>0</v>
      </c>
      <c r="O119" t="n">
        <v>0</v>
      </c>
      <c r="P119" t="n">
        <v>0</v>
      </c>
      <c r="Q119" t="n">
        <v>0</v>
      </c>
      <c r="R119" s="2" t="inlineStr"/>
    </row>
    <row r="120" ht="15" customHeight="1">
      <c r="A120" t="inlineStr">
        <is>
          <t>A 9376-2020</t>
        </is>
      </c>
      <c r="B120" s="1" t="n">
        <v>43880</v>
      </c>
      <c r="C120" s="1" t="n">
        <v>45732</v>
      </c>
      <c r="D120" t="inlineStr">
        <is>
          <t>NORRBOTTENS LÄN</t>
        </is>
      </c>
      <c r="E120" t="inlineStr">
        <is>
          <t>ARVIDSJAUR</t>
        </is>
      </c>
      <c r="G120" t="n">
        <v>2</v>
      </c>
      <c r="H120" t="n">
        <v>0</v>
      </c>
      <c r="I120" t="n">
        <v>0</v>
      </c>
      <c r="J120" t="n">
        <v>0</v>
      </c>
      <c r="K120" t="n">
        <v>0</v>
      </c>
      <c r="L120" t="n">
        <v>0</v>
      </c>
      <c r="M120" t="n">
        <v>0</v>
      </c>
      <c r="N120" t="n">
        <v>0</v>
      </c>
      <c r="O120" t="n">
        <v>0</v>
      </c>
      <c r="P120" t="n">
        <v>0</v>
      </c>
      <c r="Q120" t="n">
        <v>0</v>
      </c>
      <c r="R120" s="2" t="inlineStr"/>
    </row>
    <row r="121" ht="15" customHeight="1">
      <c r="A121" t="inlineStr">
        <is>
          <t>A 9596-2020</t>
        </is>
      </c>
      <c r="B121" s="1" t="n">
        <v>43880</v>
      </c>
      <c r="C121" s="1" t="n">
        <v>45732</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9871-2020</t>
        </is>
      </c>
      <c r="B122" s="1" t="n">
        <v>43881</v>
      </c>
      <c r="C122" s="1" t="n">
        <v>45732</v>
      </c>
      <c r="D122" t="inlineStr">
        <is>
          <t>NORRBOTTENS LÄN</t>
        </is>
      </c>
      <c r="E122" t="inlineStr">
        <is>
          <t>ARVIDSJAUR</t>
        </is>
      </c>
      <c r="F122" t="inlineStr">
        <is>
          <t>Allmännings- och besparingsskogar</t>
        </is>
      </c>
      <c r="G122" t="n">
        <v>0.9</v>
      </c>
      <c r="H122" t="n">
        <v>0</v>
      </c>
      <c r="I122" t="n">
        <v>0</v>
      </c>
      <c r="J122" t="n">
        <v>0</v>
      </c>
      <c r="K122" t="n">
        <v>0</v>
      </c>
      <c r="L122" t="n">
        <v>0</v>
      </c>
      <c r="M122" t="n">
        <v>0</v>
      </c>
      <c r="N122" t="n">
        <v>0</v>
      </c>
      <c r="O122" t="n">
        <v>0</v>
      </c>
      <c r="P122" t="n">
        <v>0</v>
      </c>
      <c r="Q122" t="n">
        <v>0</v>
      </c>
      <c r="R122" s="2" t="inlineStr"/>
    </row>
    <row r="123" ht="15" customHeight="1">
      <c r="A123" t="inlineStr">
        <is>
          <t>A 13390-2020</t>
        </is>
      </c>
      <c r="B123" s="1" t="n">
        <v>43894</v>
      </c>
      <c r="C123" s="1" t="n">
        <v>45732</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14208-2020</t>
        </is>
      </c>
      <c r="B124" s="1" t="n">
        <v>43900</v>
      </c>
      <c r="C124" s="1" t="n">
        <v>45732</v>
      </c>
      <c r="D124" t="inlineStr">
        <is>
          <t>NORRBOTTENS LÄN</t>
        </is>
      </c>
      <c r="E124" t="inlineStr">
        <is>
          <t>ARVIDSJAUR</t>
        </is>
      </c>
      <c r="G124" t="n">
        <v>4.8</v>
      </c>
      <c r="H124" t="n">
        <v>0</v>
      </c>
      <c r="I124" t="n">
        <v>0</v>
      </c>
      <c r="J124" t="n">
        <v>0</v>
      </c>
      <c r="K124" t="n">
        <v>0</v>
      </c>
      <c r="L124" t="n">
        <v>0</v>
      </c>
      <c r="M124" t="n">
        <v>0</v>
      </c>
      <c r="N124" t="n">
        <v>0</v>
      </c>
      <c r="O124" t="n">
        <v>0</v>
      </c>
      <c r="P124" t="n">
        <v>0</v>
      </c>
      <c r="Q124" t="n">
        <v>0</v>
      </c>
      <c r="R124" s="2" t="inlineStr"/>
    </row>
    <row r="125" ht="15" customHeight="1">
      <c r="A125" t="inlineStr">
        <is>
          <t>A 14141-2020</t>
        </is>
      </c>
      <c r="B125" s="1" t="n">
        <v>43900</v>
      </c>
      <c r="C125" s="1" t="n">
        <v>45732</v>
      </c>
      <c r="D125" t="inlineStr">
        <is>
          <t>NORRBOTTENS LÄN</t>
        </is>
      </c>
      <c r="E125" t="inlineStr">
        <is>
          <t>ARVIDSJAUR</t>
        </is>
      </c>
      <c r="G125" t="n">
        <v>3.3</v>
      </c>
      <c r="H125" t="n">
        <v>0</v>
      </c>
      <c r="I125" t="n">
        <v>0</v>
      </c>
      <c r="J125" t="n">
        <v>0</v>
      </c>
      <c r="K125" t="n">
        <v>0</v>
      </c>
      <c r="L125" t="n">
        <v>0</v>
      </c>
      <c r="M125" t="n">
        <v>0</v>
      </c>
      <c r="N125" t="n">
        <v>0</v>
      </c>
      <c r="O125" t="n">
        <v>0</v>
      </c>
      <c r="P125" t="n">
        <v>0</v>
      </c>
      <c r="Q125" t="n">
        <v>0</v>
      </c>
      <c r="R125" s="2" t="inlineStr"/>
    </row>
    <row r="126" ht="15" customHeight="1">
      <c r="A126" t="inlineStr">
        <is>
          <t>A 20301-2020</t>
        </is>
      </c>
      <c r="B126" s="1" t="n">
        <v>43944</v>
      </c>
      <c r="C126" s="1" t="n">
        <v>45732</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22933-2020</t>
        </is>
      </c>
      <c r="B127" s="1" t="n">
        <v>43964</v>
      </c>
      <c r="C127" s="1" t="n">
        <v>45732</v>
      </c>
      <c r="D127" t="inlineStr">
        <is>
          <t>NORRBOTTENS LÄN</t>
        </is>
      </c>
      <c r="E127" t="inlineStr">
        <is>
          <t>ARVIDSJAUR</t>
        </is>
      </c>
      <c r="F127" t="inlineStr">
        <is>
          <t>Allmännings- och besparingsskogar</t>
        </is>
      </c>
      <c r="G127" t="n">
        <v>0.3</v>
      </c>
      <c r="H127" t="n">
        <v>0</v>
      </c>
      <c r="I127" t="n">
        <v>0</v>
      </c>
      <c r="J127" t="n">
        <v>0</v>
      </c>
      <c r="K127" t="n">
        <v>0</v>
      </c>
      <c r="L127" t="n">
        <v>0</v>
      </c>
      <c r="M127" t="n">
        <v>0</v>
      </c>
      <c r="N127" t="n">
        <v>0</v>
      </c>
      <c r="O127" t="n">
        <v>0</v>
      </c>
      <c r="P127" t="n">
        <v>0</v>
      </c>
      <c r="Q127" t="n">
        <v>0</v>
      </c>
      <c r="R127" s="2" t="inlineStr"/>
    </row>
    <row r="128" ht="15" customHeight="1">
      <c r="A128" t="inlineStr">
        <is>
          <t>A 22953-2020</t>
        </is>
      </c>
      <c r="B128" s="1" t="n">
        <v>43964</v>
      </c>
      <c r="C128" s="1" t="n">
        <v>45732</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24232-2020</t>
        </is>
      </c>
      <c r="B129" s="1" t="n">
        <v>43976</v>
      </c>
      <c r="C129" s="1" t="n">
        <v>45732</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26201-2020</t>
        </is>
      </c>
      <c r="B130" s="1" t="n">
        <v>43986</v>
      </c>
      <c r="C130" s="1" t="n">
        <v>45732</v>
      </c>
      <c r="D130" t="inlineStr">
        <is>
          <t>NORRBOTTENS LÄN</t>
        </is>
      </c>
      <c r="E130" t="inlineStr">
        <is>
          <t>ARVIDSJAUR</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31333-2020</t>
        </is>
      </c>
      <c r="B131" s="1" t="n">
        <v>44012</v>
      </c>
      <c r="C131" s="1" t="n">
        <v>45732</v>
      </c>
      <c r="D131" t="inlineStr">
        <is>
          <t>NORRBOTTENS LÄN</t>
        </is>
      </c>
      <c r="E131" t="inlineStr">
        <is>
          <t>ARVIDSJAUR</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32190-2020</t>
        </is>
      </c>
      <c r="B132" s="1" t="n">
        <v>44015</v>
      </c>
      <c r="C132" s="1" t="n">
        <v>45732</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33042-2020</t>
        </is>
      </c>
      <c r="B133" s="1" t="n">
        <v>44021</v>
      </c>
      <c r="C133" s="1" t="n">
        <v>45732</v>
      </c>
      <c r="D133" t="inlineStr">
        <is>
          <t>NORRBOTTENS LÄN</t>
        </is>
      </c>
      <c r="E133" t="inlineStr">
        <is>
          <t>ARVIDSJAUR</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35784-2020</t>
        </is>
      </c>
      <c r="B134" s="1" t="n">
        <v>44046</v>
      </c>
      <c r="C134" s="1" t="n">
        <v>45732</v>
      </c>
      <c r="D134" t="inlineStr">
        <is>
          <t>NORRBOTTENS LÄN</t>
        </is>
      </c>
      <c r="E134" t="inlineStr">
        <is>
          <t>ARVIDSJAUR</t>
        </is>
      </c>
      <c r="F134" t="inlineStr">
        <is>
          <t>Övriga Aktiebolag</t>
        </is>
      </c>
      <c r="G134" t="n">
        <v>5.2</v>
      </c>
      <c r="H134" t="n">
        <v>0</v>
      </c>
      <c r="I134" t="n">
        <v>0</v>
      </c>
      <c r="J134" t="n">
        <v>0</v>
      </c>
      <c r="K134" t="n">
        <v>0</v>
      </c>
      <c r="L134" t="n">
        <v>0</v>
      </c>
      <c r="M134" t="n">
        <v>0</v>
      </c>
      <c r="N134" t="n">
        <v>0</v>
      </c>
      <c r="O134" t="n">
        <v>0</v>
      </c>
      <c r="P134" t="n">
        <v>0</v>
      </c>
      <c r="Q134" t="n">
        <v>0</v>
      </c>
      <c r="R134" s="2" t="inlineStr"/>
    </row>
    <row r="135" ht="15" customHeight="1">
      <c r="A135" t="inlineStr">
        <is>
          <t>A 37727-2020</t>
        </is>
      </c>
      <c r="B135" s="1" t="n">
        <v>44056</v>
      </c>
      <c r="C135" s="1" t="n">
        <v>45732</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42684-2020</t>
        </is>
      </c>
      <c r="B136" s="1" t="n">
        <v>44075</v>
      </c>
      <c r="C136" s="1" t="n">
        <v>45732</v>
      </c>
      <c r="D136" t="inlineStr">
        <is>
          <t>NORRBOTTENS LÄN</t>
        </is>
      </c>
      <c r="E136" t="inlineStr">
        <is>
          <t>ARVIDSJAUR</t>
        </is>
      </c>
      <c r="G136" t="n">
        <v>3.1</v>
      </c>
      <c r="H136" t="n">
        <v>0</v>
      </c>
      <c r="I136" t="n">
        <v>0</v>
      </c>
      <c r="J136" t="n">
        <v>0</v>
      </c>
      <c r="K136" t="n">
        <v>0</v>
      </c>
      <c r="L136" t="n">
        <v>0</v>
      </c>
      <c r="M136" t="n">
        <v>0</v>
      </c>
      <c r="N136" t="n">
        <v>0</v>
      </c>
      <c r="O136" t="n">
        <v>0</v>
      </c>
      <c r="P136" t="n">
        <v>0</v>
      </c>
      <c r="Q136" t="n">
        <v>0</v>
      </c>
      <c r="R136" s="2" t="inlineStr"/>
    </row>
    <row r="137" ht="15" customHeight="1">
      <c r="A137" t="inlineStr">
        <is>
          <t>A 42394-2020</t>
        </is>
      </c>
      <c r="B137" s="1" t="n">
        <v>44076</v>
      </c>
      <c r="C137" s="1" t="n">
        <v>45732</v>
      </c>
      <c r="D137" t="inlineStr">
        <is>
          <t>NORRBOTTENS LÄN</t>
        </is>
      </c>
      <c r="E137" t="inlineStr">
        <is>
          <t>ARVIDSJAUR</t>
        </is>
      </c>
      <c r="F137" t="inlineStr">
        <is>
          <t>Sveaskog</t>
        </is>
      </c>
      <c r="G137" t="n">
        <v>5.2</v>
      </c>
      <c r="H137" t="n">
        <v>0</v>
      </c>
      <c r="I137" t="n">
        <v>0</v>
      </c>
      <c r="J137" t="n">
        <v>0</v>
      </c>
      <c r="K137" t="n">
        <v>0</v>
      </c>
      <c r="L137" t="n">
        <v>0</v>
      </c>
      <c r="M137" t="n">
        <v>0</v>
      </c>
      <c r="N137" t="n">
        <v>0</v>
      </c>
      <c r="O137" t="n">
        <v>0</v>
      </c>
      <c r="P137" t="n">
        <v>0</v>
      </c>
      <c r="Q137" t="n">
        <v>0</v>
      </c>
      <c r="R137" s="2" t="inlineStr"/>
    </row>
    <row r="138" ht="15" customHeight="1">
      <c r="A138" t="inlineStr">
        <is>
          <t>A 42227-2020</t>
        </is>
      </c>
      <c r="B138" s="1" t="n">
        <v>44076</v>
      </c>
      <c r="C138" s="1" t="n">
        <v>45732</v>
      </c>
      <c r="D138" t="inlineStr">
        <is>
          <t>NORRBOTTENS LÄN</t>
        </is>
      </c>
      <c r="E138" t="inlineStr">
        <is>
          <t>ARVIDSJAUR</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44087-2020</t>
        </is>
      </c>
      <c r="B139" s="1" t="n">
        <v>44081</v>
      </c>
      <c r="C139" s="1" t="n">
        <v>45732</v>
      </c>
      <c r="D139" t="inlineStr">
        <is>
          <t>NORRBOTTENS LÄN</t>
        </is>
      </c>
      <c r="E139" t="inlineStr">
        <is>
          <t>ARVIDSJAUR</t>
        </is>
      </c>
      <c r="G139" t="n">
        <v>3.5</v>
      </c>
      <c r="H139" t="n">
        <v>0</v>
      </c>
      <c r="I139" t="n">
        <v>0</v>
      </c>
      <c r="J139" t="n">
        <v>0</v>
      </c>
      <c r="K139" t="n">
        <v>0</v>
      </c>
      <c r="L139" t="n">
        <v>0</v>
      </c>
      <c r="M139" t="n">
        <v>0</v>
      </c>
      <c r="N139" t="n">
        <v>0</v>
      </c>
      <c r="O139" t="n">
        <v>0</v>
      </c>
      <c r="P139" t="n">
        <v>0</v>
      </c>
      <c r="Q139" t="n">
        <v>0</v>
      </c>
      <c r="R139" s="2" t="inlineStr"/>
    </row>
    <row r="140" ht="15" customHeight="1">
      <c r="A140" t="inlineStr">
        <is>
          <t>A 43475-2020</t>
        </is>
      </c>
      <c r="B140" s="1" t="n">
        <v>44082</v>
      </c>
      <c r="C140" s="1" t="n">
        <v>45732</v>
      </c>
      <c r="D140" t="inlineStr">
        <is>
          <t>NORRBOTTENS LÄN</t>
        </is>
      </c>
      <c r="E140" t="inlineStr">
        <is>
          <t>ARVIDSJAUR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43753-2020</t>
        </is>
      </c>
      <c r="B141" s="1" t="n">
        <v>44082</v>
      </c>
      <c r="C141" s="1" t="n">
        <v>45732</v>
      </c>
      <c r="D141" t="inlineStr">
        <is>
          <t>NORRBOTTENS LÄN</t>
        </is>
      </c>
      <c r="E141" t="inlineStr">
        <is>
          <t>ARVIDSJAUR</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46904-2020</t>
        </is>
      </c>
      <c r="B142" s="1" t="n">
        <v>44089</v>
      </c>
      <c r="C142" s="1" t="n">
        <v>45732</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46333-2020</t>
        </is>
      </c>
      <c r="B143" s="1" t="n">
        <v>44092</v>
      </c>
      <c r="C143" s="1" t="n">
        <v>45732</v>
      </c>
      <c r="D143" t="inlineStr">
        <is>
          <t>NORRBOTTENS LÄN</t>
        </is>
      </c>
      <c r="E143" t="inlineStr">
        <is>
          <t>ARVIDSJAUR</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46330-2020</t>
        </is>
      </c>
      <c r="B144" s="1" t="n">
        <v>44092</v>
      </c>
      <c r="C144" s="1" t="n">
        <v>45732</v>
      </c>
      <c r="D144" t="inlineStr">
        <is>
          <t>NORRBOTTENS LÄN</t>
        </is>
      </c>
      <c r="E144" t="inlineStr">
        <is>
          <t>ARVIDSJAUR</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47189-2020</t>
        </is>
      </c>
      <c r="B145" s="1" t="n">
        <v>44092</v>
      </c>
      <c r="C145" s="1" t="n">
        <v>45732</v>
      </c>
      <c r="D145" t="inlineStr">
        <is>
          <t>NORRBOTTENS LÄN</t>
        </is>
      </c>
      <c r="E145" t="inlineStr">
        <is>
          <t>ARVIDSJAUR</t>
        </is>
      </c>
      <c r="G145" t="n">
        <v>1.2</v>
      </c>
      <c r="H145" t="n">
        <v>0</v>
      </c>
      <c r="I145" t="n">
        <v>0</v>
      </c>
      <c r="J145" t="n">
        <v>0</v>
      </c>
      <c r="K145" t="n">
        <v>0</v>
      </c>
      <c r="L145" t="n">
        <v>0</v>
      </c>
      <c r="M145" t="n">
        <v>0</v>
      </c>
      <c r="N145" t="n">
        <v>0</v>
      </c>
      <c r="O145" t="n">
        <v>0</v>
      </c>
      <c r="P145" t="n">
        <v>0</v>
      </c>
      <c r="Q145" t="n">
        <v>0</v>
      </c>
      <c r="R145" s="2" t="inlineStr"/>
    </row>
    <row r="146" ht="15" customHeight="1">
      <c r="A146" t="inlineStr">
        <is>
          <t>A 50667-2020</t>
        </is>
      </c>
      <c r="B146" s="1" t="n">
        <v>44111</v>
      </c>
      <c r="C146" s="1" t="n">
        <v>45732</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52459-2020</t>
        </is>
      </c>
      <c r="B147" s="1" t="n">
        <v>44116</v>
      </c>
      <c r="C147" s="1" t="n">
        <v>45732</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53398-2020</t>
        </is>
      </c>
      <c r="B148" s="1" t="n">
        <v>44123</v>
      </c>
      <c r="C148" s="1" t="n">
        <v>45732</v>
      </c>
      <c r="D148" t="inlineStr">
        <is>
          <t>NORRBOTTENS LÄN</t>
        </is>
      </c>
      <c r="E148" t="inlineStr">
        <is>
          <t>ARVIDSJAUR</t>
        </is>
      </c>
      <c r="F148" t="inlineStr">
        <is>
          <t>Sveaskog</t>
        </is>
      </c>
      <c r="G148" t="n">
        <v>4.3</v>
      </c>
      <c r="H148" t="n">
        <v>0</v>
      </c>
      <c r="I148" t="n">
        <v>0</v>
      </c>
      <c r="J148" t="n">
        <v>0</v>
      </c>
      <c r="K148" t="n">
        <v>0</v>
      </c>
      <c r="L148" t="n">
        <v>0</v>
      </c>
      <c r="M148" t="n">
        <v>0</v>
      </c>
      <c r="N148" t="n">
        <v>0</v>
      </c>
      <c r="O148" t="n">
        <v>0</v>
      </c>
      <c r="P148" t="n">
        <v>0</v>
      </c>
      <c r="Q148" t="n">
        <v>0</v>
      </c>
      <c r="R148" s="2" t="inlineStr"/>
    </row>
    <row r="149" ht="15" customHeight="1">
      <c r="A149" t="inlineStr">
        <is>
          <t>A 54842-2020</t>
        </is>
      </c>
      <c r="B149" s="1" t="n">
        <v>44126</v>
      </c>
      <c r="C149" s="1" t="n">
        <v>45732</v>
      </c>
      <c r="D149" t="inlineStr">
        <is>
          <t>NORRBOTTENS LÄN</t>
        </is>
      </c>
      <c r="E149" t="inlineStr">
        <is>
          <t>ARVIDSJAUR</t>
        </is>
      </c>
      <c r="G149" t="n">
        <v>4.1</v>
      </c>
      <c r="H149" t="n">
        <v>0</v>
      </c>
      <c r="I149" t="n">
        <v>0</v>
      </c>
      <c r="J149" t="n">
        <v>0</v>
      </c>
      <c r="K149" t="n">
        <v>0</v>
      </c>
      <c r="L149" t="n">
        <v>0</v>
      </c>
      <c r="M149" t="n">
        <v>0</v>
      </c>
      <c r="N149" t="n">
        <v>0</v>
      </c>
      <c r="O149" t="n">
        <v>0</v>
      </c>
      <c r="P149" t="n">
        <v>0</v>
      </c>
      <c r="Q149" t="n">
        <v>0</v>
      </c>
      <c r="R149" s="2" t="inlineStr"/>
    </row>
    <row r="150" ht="15" customHeight="1">
      <c r="A150" t="inlineStr">
        <is>
          <t>A 55542-2020</t>
        </is>
      </c>
      <c r="B150" s="1" t="n">
        <v>44131</v>
      </c>
      <c r="C150" s="1" t="n">
        <v>45732</v>
      </c>
      <c r="D150" t="inlineStr">
        <is>
          <t>NORRBOTTENS LÄN</t>
        </is>
      </c>
      <c r="E150" t="inlineStr">
        <is>
          <t>ARVIDSJAUR</t>
        </is>
      </c>
      <c r="F150" t="inlineStr">
        <is>
          <t>Sveaskog</t>
        </is>
      </c>
      <c r="G150" t="n">
        <v>9.6</v>
      </c>
      <c r="H150" t="n">
        <v>0</v>
      </c>
      <c r="I150" t="n">
        <v>0</v>
      </c>
      <c r="J150" t="n">
        <v>0</v>
      </c>
      <c r="K150" t="n">
        <v>0</v>
      </c>
      <c r="L150" t="n">
        <v>0</v>
      </c>
      <c r="M150" t="n">
        <v>0</v>
      </c>
      <c r="N150" t="n">
        <v>0</v>
      </c>
      <c r="O150" t="n">
        <v>0</v>
      </c>
      <c r="P150" t="n">
        <v>0</v>
      </c>
      <c r="Q150" t="n">
        <v>0</v>
      </c>
      <c r="R150" s="2" t="inlineStr"/>
    </row>
    <row r="151" ht="15" customHeight="1">
      <c r="A151" t="inlineStr">
        <is>
          <t>A 55702-2020</t>
        </is>
      </c>
      <c r="B151" s="1" t="n">
        <v>44132</v>
      </c>
      <c r="C151" s="1" t="n">
        <v>45732</v>
      </c>
      <c r="D151" t="inlineStr">
        <is>
          <t>NORRBOTTENS LÄN</t>
        </is>
      </c>
      <c r="E151" t="inlineStr">
        <is>
          <t>ARVIDSJAUR</t>
        </is>
      </c>
      <c r="F151" t="inlineStr">
        <is>
          <t>Övriga Aktiebolag</t>
        </is>
      </c>
      <c r="G151" t="n">
        <v>6.8</v>
      </c>
      <c r="H151" t="n">
        <v>0</v>
      </c>
      <c r="I151" t="n">
        <v>0</v>
      </c>
      <c r="J151" t="n">
        <v>0</v>
      </c>
      <c r="K151" t="n">
        <v>0</v>
      </c>
      <c r="L151" t="n">
        <v>0</v>
      </c>
      <c r="M151" t="n">
        <v>0</v>
      </c>
      <c r="N151" t="n">
        <v>0</v>
      </c>
      <c r="O151" t="n">
        <v>0</v>
      </c>
      <c r="P151" t="n">
        <v>0</v>
      </c>
      <c r="Q151" t="n">
        <v>0</v>
      </c>
      <c r="R151" s="2" t="inlineStr"/>
    </row>
    <row r="152" ht="15" customHeight="1">
      <c r="A152" t="inlineStr">
        <is>
          <t>A 55830-2020</t>
        </is>
      </c>
      <c r="B152" s="1" t="n">
        <v>44132</v>
      </c>
      <c r="C152" s="1" t="n">
        <v>45732</v>
      </c>
      <c r="D152" t="inlineStr">
        <is>
          <t>NORRBOTTENS LÄN</t>
        </is>
      </c>
      <c r="E152" t="inlineStr">
        <is>
          <t>ARVIDSJAUR</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59922-2020</t>
        </is>
      </c>
      <c r="B153" s="1" t="n">
        <v>44148</v>
      </c>
      <c r="C153" s="1" t="n">
        <v>45732</v>
      </c>
      <c r="D153" t="inlineStr">
        <is>
          <t>NORRBOTTENS LÄN</t>
        </is>
      </c>
      <c r="E153" t="inlineStr">
        <is>
          <t>ARVIDSJAUR</t>
        </is>
      </c>
      <c r="G153" t="n">
        <v>16.1</v>
      </c>
      <c r="H153" t="n">
        <v>0</v>
      </c>
      <c r="I153" t="n">
        <v>0</v>
      </c>
      <c r="J153" t="n">
        <v>0</v>
      </c>
      <c r="K153" t="n">
        <v>0</v>
      </c>
      <c r="L153" t="n">
        <v>0</v>
      </c>
      <c r="M153" t="n">
        <v>0</v>
      </c>
      <c r="N153" t="n">
        <v>0</v>
      </c>
      <c r="O153" t="n">
        <v>0</v>
      </c>
      <c r="P153" t="n">
        <v>0</v>
      </c>
      <c r="Q153" t="n">
        <v>0</v>
      </c>
      <c r="R153" s="2" t="inlineStr"/>
    </row>
    <row r="154" ht="15" customHeight="1">
      <c r="A154" t="inlineStr">
        <is>
          <t>A 59929-2020</t>
        </is>
      </c>
      <c r="B154" s="1" t="n">
        <v>44148</v>
      </c>
      <c r="C154" s="1" t="n">
        <v>45732</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59926-2020</t>
        </is>
      </c>
      <c r="B155" s="1" t="n">
        <v>44151</v>
      </c>
      <c r="C155" s="1" t="n">
        <v>45732</v>
      </c>
      <c r="D155" t="inlineStr">
        <is>
          <t>NORRBOTTENS LÄN</t>
        </is>
      </c>
      <c r="E155" t="inlineStr">
        <is>
          <t>ARVIDSJAUR</t>
        </is>
      </c>
      <c r="G155" t="n">
        <v>3.6</v>
      </c>
      <c r="H155" t="n">
        <v>0</v>
      </c>
      <c r="I155" t="n">
        <v>0</v>
      </c>
      <c r="J155" t="n">
        <v>0</v>
      </c>
      <c r="K155" t="n">
        <v>0</v>
      </c>
      <c r="L155" t="n">
        <v>0</v>
      </c>
      <c r="M155" t="n">
        <v>0</v>
      </c>
      <c r="N155" t="n">
        <v>0</v>
      </c>
      <c r="O155" t="n">
        <v>0</v>
      </c>
      <c r="P155" t="n">
        <v>0</v>
      </c>
      <c r="Q155" t="n">
        <v>0</v>
      </c>
      <c r="R155" s="2" t="inlineStr"/>
    </row>
    <row r="156" ht="15" customHeight="1">
      <c r="A156" t="inlineStr">
        <is>
          <t>A 63638-2020</t>
        </is>
      </c>
      <c r="B156" s="1" t="n">
        <v>44162</v>
      </c>
      <c r="C156" s="1" t="n">
        <v>45732</v>
      </c>
      <c r="D156" t="inlineStr">
        <is>
          <t>NORRBOTTENS LÄN</t>
        </is>
      </c>
      <c r="E156" t="inlineStr">
        <is>
          <t>ARVIDSJAUR</t>
        </is>
      </c>
      <c r="G156" t="n">
        <v>5.1</v>
      </c>
      <c r="H156" t="n">
        <v>0</v>
      </c>
      <c r="I156" t="n">
        <v>0</v>
      </c>
      <c r="J156" t="n">
        <v>0</v>
      </c>
      <c r="K156" t="n">
        <v>0</v>
      </c>
      <c r="L156" t="n">
        <v>0</v>
      </c>
      <c r="M156" t="n">
        <v>0</v>
      </c>
      <c r="N156" t="n">
        <v>0</v>
      </c>
      <c r="O156" t="n">
        <v>0</v>
      </c>
      <c r="P156" t="n">
        <v>0</v>
      </c>
      <c r="Q156" t="n">
        <v>0</v>
      </c>
      <c r="R156" s="2" t="inlineStr"/>
    </row>
    <row r="157" ht="15" customHeight="1">
      <c r="A157" t="inlineStr">
        <is>
          <t>A 67384-2020</t>
        </is>
      </c>
      <c r="B157" s="1" t="n">
        <v>44179</v>
      </c>
      <c r="C157" s="1" t="n">
        <v>45732</v>
      </c>
      <c r="D157" t="inlineStr">
        <is>
          <t>NORRBOTTENS LÄN</t>
        </is>
      </c>
      <c r="E157" t="inlineStr">
        <is>
          <t>ARVIDSJAUR</t>
        </is>
      </c>
      <c r="G157" t="n">
        <v>3.1</v>
      </c>
      <c r="H157" t="n">
        <v>0</v>
      </c>
      <c r="I157" t="n">
        <v>0</v>
      </c>
      <c r="J157" t="n">
        <v>0</v>
      </c>
      <c r="K157" t="n">
        <v>0</v>
      </c>
      <c r="L157" t="n">
        <v>0</v>
      </c>
      <c r="M157" t="n">
        <v>0</v>
      </c>
      <c r="N157" t="n">
        <v>0</v>
      </c>
      <c r="O157" t="n">
        <v>0</v>
      </c>
      <c r="P157" t="n">
        <v>0</v>
      </c>
      <c r="Q157" t="n">
        <v>0</v>
      </c>
      <c r="R157" s="2" t="inlineStr"/>
    </row>
    <row r="158" ht="15" customHeight="1">
      <c r="A158" t="inlineStr">
        <is>
          <t>A 67127-2020</t>
        </is>
      </c>
      <c r="B158" s="1" t="n">
        <v>44180</v>
      </c>
      <c r="C158" s="1" t="n">
        <v>45732</v>
      </c>
      <c r="D158" t="inlineStr">
        <is>
          <t>NORRBOTTENS LÄN</t>
        </is>
      </c>
      <c r="E158" t="inlineStr">
        <is>
          <t>ARVIDSJAUR</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2748-2021</t>
        </is>
      </c>
      <c r="B159" s="1" t="n">
        <v>44215</v>
      </c>
      <c r="C159" s="1" t="n">
        <v>45732</v>
      </c>
      <c r="D159" t="inlineStr">
        <is>
          <t>NORRBOTTENS LÄN</t>
        </is>
      </c>
      <c r="E159" t="inlineStr">
        <is>
          <t>ARVIDSJAUR</t>
        </is>
      </c>
      <c r="F159" t="inlineStr">
        <is>
          <t>Övriga Aktiebolag</t>
        </is>
      </c>
      <c r="G159" t="n">
        <v>5.4</v>
      </c>
      <c r="H159" t="n">
        <v>0</v>
      </c>
      <c r="I159" t="n">
        <v>0</v>
      </c>
      <c r="J159" t="n">
        <v>0</v>
      </c>
      <c r="K159" t="n">
        <v>0</v>
      </c>
      <c r="L159" t="n">
        <v>0</v>
      </c>
      <c r="M159" t="n">
        <v>0</v>
      </c>
      <c r="N159" t="n">
        <v>0</v>
      </c>
      <c r="O159" t="n">
        <v>0</v>
      </c>
      <c r="P159" t="n">
        <v>0</v>
      </c>
      <c r="Q159" t="n">
        <v>0</v>
      </c>
      <c r="R159" s="2" t="inlineStr"/>
    </row>
    <row r="160" ht="15" customHeight="1">
      <c r="A160" t="inlineStr">
        <is>
          <t>A 8483-2021</t>
        </is>
      </c>
      <c r="B160" s="1" t="n">
        <v>44244</v>
      </c>
      <c r="C160" s="1" t="n">
        <v>45732</v>
      </c>
      <c r="D160" t="inlineStr">
        <is>
          <t>NORRBOTTENS LÄN</t>
        </is>
      </c>
      <c r="E160" t="inlineStr">
        <is>
          <t>ARVIDSJAUR</t>
        </is>
      </c>
      <c r="G160" t="n">
        <v>33.1</v>
      </c>
      <c r="H160" t="n">
        <v>0</v>
      </c>
      <c r="I160" t="n">
        <v>0</v>
      </c>
      <c r="J160" t="n">
        <v>0</v>
      </c>
      <c r="K160" t="n">
        <v>0</v>
      </c>
      <c r="L160" t="n">
        <v>0</v>
      </c>
      <c r="M160" t="n">
        <v>0</v>
      </c>
      <c r="N160" t="n">
        <v>0</v>
      </c>
      <c r="O160" t="n">
        <v>0</v>
      </c>
      <c r="P160" t="n">
        <v>0</v>
      </c>
      <c r="Q160" t="n">
        <v>0</v>
      </c>
      <c r="R160" s="2" t="inlineStr"/>
    </row>
    <row r="161" ht="15" customHeight="1">
      <c r="A161" t="inlineStr">
        <is>
          <t>A 9871-2021</t>
        </is>
      </c>
      <c r="B161" s="1" t="n">
        <v>44252</v>
      </c>
      <c r="C161" s="1" t="n">
        <v>45732</v>
      </c>
      <c r="D161" t="inlineStr">
        <is>
          <t>NORRBOTTENS LÄN</t>
        </is>
      </c>
      <c r="E161" t="inlineStr">
        <is>
          <t>ARVIDSJAUR</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9864-2021</t>
        </is>
      </c>
      <c r="B162" s="1" t="n">
        <v>44252</v>
      </c>
      <c r="C162" s="1" t="n">
        <v>45732</v>
      </c>
      <c r="D162" t="inlineStr">
        <is>
          <t>NORRBOTTENS LÄN</t>
        </is>
      </c>
      <c r="E162" t="inlineStr">
        <is>
          <t>ARVIDSJAUR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11076-2021</t>
        </is>
      </c>
      <c r="B163" s="1" t="n">
        <v>44259</v>
      </c>
      <c r="C163" s="1" t="n">
        <v>45732</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19889-2021</t>
        </is>
      </c>
      <c r="B164" s="1" t="n">
        <v>44312</v>
      </c>
      <c r="C164" s="1" t="n">
        <v>45732</v>
      </c>
      <c r="D164" t="inlineStr">
        <is>
          <t>NORRBOTTENS LÄN</t>
        </is>
      </c>
      <c r="E164" t="inlineStr">
        <is>
          <t>ARVIDSJAUR</t>
        </is>
      </c>
      <c r="G164" t="n">
        <v>2</v>
      </c>
      <c r="H164" t="n">
        <v>0</v>
      </c>
      <c r="I164" t="n">
        <v>0</v>
      </c>
      <c r="J164" t="n">
        <v>0</v>
      </c>
      <c r="K164" t="n">
        <v>0</v>
      </c>
      <c r="L164" t="n">
        <v>0</v>
      </c>
      <c r="M164" t="n">
        <v>0</v>
      </c>
      <c r="N164" t="n">
        <v>0</v>
      </c>
      <c r="O164" t="n">
        <v>0</v>
      </c>
      <c r="P164" t="n">
        <v>0</v>
      </c>
      <c r="Q164" t="n">
        <v>0</v>
      </c>
      <c r="R164" s="2" t="inlineStr"/>
    </row>
    <row r="165" ht="15" customHeight="1">
      <c r="A165" t="inlineStr">
        <is>
          <t>A 19904-2021</t>
        </is>
      </c>
      <c r="B165" s="1" t="n">
        <v>44312</v>
      </c>
      <c r="C165" s="1" t="n">
        <v>45732</v>
      </c>
      <c r="D165" t="inlineStr">
        <is>
          <t>NORRBOTTENS LÄN</t>
        </is>
      </c>
      <c r="E165" t="inlineStr">
        <is>
          <t>ARVIDSJAUR</t>
        </is>
      </c>
      <c r="G165" t="n">
        <v>0.7</v>
      </c>
      <c r="H165" t="n">
        <v>0</v>
      </c>
      <c r="I165" t="n">
        <v>0</v>
      </c>
      <c r="J165" t="n">
        <v>0</v>
      </c>
      <c r="K165" t="n">
        <v>0</v>
      </c>
      <c r="L165" t="n">
        <v>0</v>
      </c>
      <c r="M165" t="n">
        <v>0</v>
      </c>
      <c r="N165" t="n">
        <v>0</v>
      </c>
      <c r="O165" t="n">
        <v>0</v>
      </c>
      <c r="P165" t="n">
        <v>0</v>
      </c>
      <c r="Q165" t="n">
        <v>0</v>
      </c>
      <c r="R165" s="2" t="inlineStr"/>
    </row>
    <row r="166" ht="15" customHeight="1">
      <c r="A166" t="inlineStr">
        <is>
          <t>A 21270-2021</t>
        </is>
      </c>
      <c r="B166" s="1" t="n">
        <v>44320</v>
      </c>
      <c r="C166" s="1" t="n">
        <v>45732</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21271-2021</t>
        </is>
      </c>
      <c r="B167" s="1" t="n">
        <v>44320</v>
      </c>
      <c r="C167" s="1" t="n">
        <v>45732</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21272-2021</t>
        </is>
      </c>
      <c r="B168" s="1" t="n">
        <v>44320</v>
      </c>
      <c r="C168" s="1" t="n">
        <v>45732</v>
      </c>
      <c r="D168" t="inlineStr">
        <is>
          <t>NORRBOTTENS LÄN</t>
        </is>
      </c>
      <c r="E168" t="inlineStr">
        <is>
          <t>ARVIDSJAUR</t>
        </is>
      </c>
      <c r="G168" t="n">
        <v>2.1</v>
      </c>
      <c r="H168" t="n">
        <v>0</v>
      </c>
      <c r="I168" t="n">
        <v>0</v>
      </c>
      <c r="J168" t="n">
        <v>0</v>
      </c>
      <c r="K168" t="n">
        <v>0</v>
      </c>
      <c r="L168" t="n">
        <v>0</v>
      </c>
      <c r="M168" t="n">
        <v>0</v>
      </c>
      <c r="N168" t="n">
        <v>0</v>
      </c>
      <c r="O168" t="n">
        <v>0</v>
      </c>
      <c r="P168" t="n">
        <v>0</v>
      </c>
      <c r="Q168" t="n">
        <v>0</v>
      </c>
      <c r="R168" s="2" t="inlineStr"/>
    </row>
    <row r="169" ht="15" customHeight="1">
      <c r="A169" t="inlineStr">
        <is>
          <t>A 22328-2021</t>
        </is>
      </c>
      <c r="B169" s="1" t="n">
        <v>44321</v>
      </c>
      <c r="C169" s="1" t="n">
        <v>45732</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21797-2021</t>
        </is>
      </c>
      <c r="B170" s="1" t="n">
        <v>44322</v>
      </c>
      <c r="C170" s="1" t="n">
        <v>45732</v>
      </c>
      <c r="D170" t="inlineStr">
        <is>
          <t>NORRBOTTENS LÄN</t>
        </is>
      </c>
      <c r="E170" t="inlineStr">
        <is>
          <t>ARVIDSJAUR</t>
        </is>
      </c>
      <c r="G170" t="n">
        <v>9.1</v>
      </c>
      <c r="H170" t="n">
        <v>0</v>
      </c>
      <c r="I170" t="n">
        <v>0</v>
      </c>
      <c r="J170" t="n">
        <v>0</v>
      </c>
      <c r="K170" t="n">
        <v>0</v>
      </c>
      <c r="L170" t="n">
        <v>0</v>
      </c>
      <c r="M170" t="n">
        <v>0</v>
      </c>
      <c r="N170" t="n">
        <v>0</v>
      </c>
      <c r="O170" t="n">
        <v>0</v>
      </c>
      <c r="P170" t="n">
        <v>0</v>
      </c>
      <c r="Q170" t="n">
        <v>0</v>
      </c>
      <c r="R170" s="2" t="inlineStr"/>
    </row>
    <row r="171" ht="15" customHeight="1">
      <c r="A171" t="inlineStr">
        <is>
          <t>A 22837-2021</t>
        </is>
      </c>
      <c r="B171" s="1" t="n">
        <v>44326</v>
      </c>
      <c r="C171" s="1" t="n">
        <v>45732</v>
      </c>
      <c r="D171" t="inlineStr">
        <is>
          <t>NORRBOTTENS LÄN</t>
        </is>
      </c>
      <c r="E171" t="inlineStr">
        <is>
          <t>ARVIDSJAUR</t>
        </is>
      </c>
      <c r="G171" t="n">
        <v>3</v>
      </c>
      <c r="H171" t="n">
        <v>0</v>
      </c>
      <c r="I171" t="n">
        <v>0</v>
      </c>
      <c r="J171" t="n">
        <v>0</v>
      </c>
      <c r="K171" t="n">
        <v>0</v>
      </c>
      <c r="L171" t="n">
        <v>0</v>
      </c>
      <c r="M171" t="n">
        <v>0</v>
      </c>
      <c r="N171" t="n">
        <v>0</v>
      </c>
      <c r="O171" t="n">
        <v>0</v>
      </c>
      <c r="P171" t="n">
        <v>0</v>
      </c>
      <c r="Q171" t="n">
        <v>0</v>
      </c>
      <c r="R171" s="2" t="inlineStr"/>
    </row>
    <row r="172" ht="15" customHeight="1">
      <c r="A172" t="inlineStr">
        <is>
          <t>A 23586-2021</t>
        </is>
      </c>
      <c r="B172" s="1" t="n">
        <v>44334</v>
      </c>
      <c r="C172" s="1" t="n">
        <v>45732</v>
      </c>
      <c r="D172" t="inlineStr">
        <is>
          <t>NORRBOTTENS LÄN</t>
        </is>
      </c>
      <c r="E172" t="inlineStr">
        <is>
          <t>ARVIDSJAUR</t>
        </is>
      </c>
      <c r="G172" t="n">
        <v>2.7</v>
      </c>
      <c r="H172" t="n">
        <v>0</v>
      </c>
      <c r="I172" t="n">
        <v>0</v>
      </c>
      <c r="J172" t="n">
        <v>0</v>
      </c>
      <c r="K172" t="n">
        <v>0</v>
      </c>
      <c r="L172" t="n">
        <v>0</v>
      </c>
      <c r="M172" t="n">
        <v>0</v>
      </c>
      <c r="N172" t="n">
        <v>0</v>
      </c>
      <c r="O172" t="n">
        <v>0</v>
      </c>
      <c r="P172" t="n">
        <v>0</v>
      </c>
      <c r="Q172" t="n">
        <v>0</v>
      </c>
      <c r="R172" s="2" t="inlineStr"/>
    </row>
    <row r="173" ht="15" customHeight="1">
      <c r="A173" t="inlineStr">
        <is>
          <t>A 23583-2021</t>
        </is>
      </c>
      <c r="B173" s="1" t="n">
        <v>44334</v>
      </c>
      <c r="C173" s="1" t="n">
        <v>45732</v>
      </c>
      <c r="D173" t="inlineStr">
        <is>
          <t>NORRBOTTENS LÄN</t>
        </is>
      </c>
      <c r="E173" t="inlineStr">
        <is>
          <t>ARVIDSJAUR</t>
        </is>
      </c>
      <c r="G173" t="n">
        <v>1.7</v>
      </c>
      <c r="H173" t="n">
        <v>0</v>
      </c>
      <c r="I173" t="n">
        <v>0</v>
      </c>
      <c r="J173" t="n">
        <v>0</v>
      </c>
      <c r="K173" t="n">
        <v>0</v>
      </c>
      <c r="L173" t="n">
        <v>0</v>
      </c>
      <c r="M173" t="n">
        <v>0</v>
      </c>
      <c r="N173" t="n">
        <v>0</v>
      </c>
      <c r="O173" t="n">
        <v>0</v>
      </c>
      <c r="P173" t="n">
        <v>0</v>
      </c>
      <c r="Q173" t="n">
        <v>0</v>
      </c>
      <c r="R173" s="2" t="inlineStr"/>
    </row>
    <row r="174" ht="15" customHeight="1">
      <c r="A174" t="inlineStr">
        <is>
          <t>A 23588-2021</t>
        </is>
      </c>
      <c r="B174" s="1" t="n">
        <v>44334</v>
      </c>
      <c r="C174" s="1" t="n">
        <v>45732</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23580-2021</t>
        </is>
      </c>
      <c r="B175" s="1" t="n">
        <v>44334</v>
      </c>
      <c r="C175" s="1" t="n">
        <v>45732</v>
      </c>
      <c r="D175" t="inlineStr">
        <is>
          <t>NORRBOTTENS LÄN</t>
        </is>
      </c>
      <c r="E175" t="inlineStr">
        <is>
          <t>ARVIDSJAUR</t>
        </is>
      </c>
      <c r="G175" t="n">
        <v>0.7</v>
      </c>
      <c r="H175" t="n">
        <v>0</v>
      </c>
      <c r="I175" t="n">
        <v>0</v>
      </c>
      <c r="J175" t="n">
        <v>0</v>
      </c>
      <c r="K175" t="n">
        <v>0</v>
      </c>
      <c r="L175" t="n">
        <v>0</v>
      </c>
      <c r="M175" t="n">
        <v>0</v>
      </c>
      <c r="N175" t="n">
        <v>0</v>
      </c>
      <c r="O175" t="n">
        <v>0</v>
      </c>
      <c r="P175" t="n">
        <v>0</v>
      </c>
      <c r="Q175" t="n">
        <v>0</v>
      </c>
      <c r="R175" s="2" t="inlineStr"/>
    </row>
    <row r="176" ht="15" customHeight="1">
      <c r="A176" t="inlineStr">
        <is>
          <t>A 28628-2021</t>
        </is>
      </c>
      <c r="B176" s="1" t="n">
        <v>44356</v>
      </c>
      <c r="C176" s="1" t="n">
        <v>45732</v>
      </c>
      <c r="D176" t="inlineStr">
        <is>
          <t>NORRBOTTENS LÄN</t>
        </is>
      </c>
      <c r="E176" t="inlineStr">
        <is>
          <t>ARVIDSJAUR</t>
        </is>
      </c>
      <c r="G176" t="n">
        <v>0.8</v>
      </c>
      <c r="H176" t="n">
        <v>0</v>
      </c>
      <c r="I176" t="n">
        <v>0</v>
      </c>
      <c r="J176" t="n">
        <v>0</v>
      </c>
      <c r="K176" t="n">
        <v>0</v>
      </c>
      <c r="L176" t="n">
        <v>0</v>
      </c>
      <c r="M176" t="n">
        <v>0</v>
      </c>
      <c r="N176" t="n">
        <v>0</v>
      </c>
      <c r="O176" t="n">
        <v>0</v>
      </c>
      <c r="P176" t="n">
        <v>0</v>
      </c>
      <c r="Q176" t="n">
        <v>0</v>
      </c>
      <c r="R176" s="2" t="inlineStr"/>
    </row>
    <row r="177" ht="15" customHeight="1">
      <c r="A177" t="inlineStr">
        <is>
          <t>A 29947-2021</t>
        </is>
      </c>
      <c r="B177" s="1" t="n">
        <v>44363</v>
      </c>
      <c r="C177" s="1" t="n">
        <v>45732</v>
      </c>
      <c r="D177" t="inlineStr">
        <is>
          <t>NORRBOTTENS LÄN</t>
        </is>
      </c>
      <c r="E177" t="inlineStr">
        <is>
          <t>ARVIDSJAUR</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30562-2021</t>
        </is>
      </c>
      <c r="B178" s="1" t="n">
        <v>44364</v>
      </c>
      <c r="C178" s="1" t="n">
        <v>45732</v>
      </c>
      <c r="D178" t="inlineStr">
        <is>
          <t>NORRBOTTENS LÄN</t>
        </is>
      </c>
      <c r="E178" t="inlineStr">
        <is>
          <t>ARVIDSJAUR</t>
        </is>
      </c>
      <c r="G178" t="n">
        <v>4.4</v>
      </c>
      <c r="H178" t="n">
        <v>0</v>
      </c>
      <c r="I178" t="n">
        <v>0</v>
      </c>
      <c r="J178" t="n">
        <v>0</v>
      </c>
      <c r="K178" t="n">
        <v>0</v>
      </c>
      <c r="L178" t="n">
        <v>0</v>
      </c>
      <c r="M178" t="n">
        <v>0</v>
      </c>
      <c r="N178" t="n">
        <v>0</v>
      </c>
      <c r="O178" t="n">
        <v>0</v>
      </c>
      <c r="P178" t="n">
        <v>0</v>
      </c>
      <c r="Q178" t="n">
        <v>0</v>
      </c>
      <c r="R178" s="2" t="inlineStr"/>
    </row>
    <row r="179" ht="15" customHeight="1">
      <c r="A179" t="inlineStr">
        <is>
          <t>A 30651-2021</t>
        </is>
      </c>
      <c r="B179" s="1" t="n">
        <v>44365</v>
      </c>
      <c r="C179" s="1" t="n">
        <v>45732</v>
      </c>
      <c r="D179" t="inlineStr">
        <is>
          <t>NORRBOTTENS LÄN</t>
        </is>
      </c>
      <c r="E179" t="inlineStr">
        <is>
          <t>ARVIDSJAUR</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31446-2021</t>
        </is>
      </c>
      <c r="B180" s="1" t="n">
        <v>44369</v>
      </c>
      <c r="C180" s="1" t="n">
        <v>45732</v>
      </c>
      <c r="D180" t="inlineStr">
        <is>
          <t>NORRBOTTENS LÄN</t>
        </is>
      </c>
      <c r="E180" t="inlineStr">
        <is>
          <t>ARVIDSJAUR</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31453-2021</t>
        </is>
      </c>
      <c r="B181" s="1" t="n">
        <v>44369</v>
      </c>
      <c r="C181" s="1" t="n">
        <v>45732</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31573-2021</t>
        </is>
      </c>
      <c r="B182" s="1" t="n">
        <v>44369</v>
      </c>
      <c r="C182" s="1" t="n">
        <v>45732</v>
      </c>
      <c r="D182" t="inlineStr">
        <is>
          <t>NORRBOTTENS LÄN</t>
        </is>
      </c>
      <c r="E182" t="inlineStr">
        <is>
          <t>ARVIDSJAUR</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33336-2021</t>
        </is>
      </c>
      <c r="B183" s="1" t="n">
        <v>44377</v>
      </c>
      <c r="C183" s="1" t="n">
        <v>45732</v>
      </c>
      <c r="D183" t="inlineStr">
        <is>
          <t>NORRBOTTENS LÄN</t>
        </is>
      </c>
      <c r="E183" t="inlineStr">
        <is>
          <t>ARVIDSJAUR</t>
        </is>
      </c>
      <c r="G183" t="n">
        <v>13.9</v>
      </c>
      <c r="H183" t="n">
        <v>0</v>
      </c>
      <c r="I183" t="n">
        <v>0</v>
      </c>
      <c r="J183" t="n">
        <v>0</v>
      </c>
      <c r="K183" t="n">
        <v>0</v>
      </c>
      <c r="L183" t="n">
        <v>0</v>
      </c>
      <c r="M183" t="n">
        <v>0</v>
      </c>
      <c r="N183" t="n">
        <v>0</v>
      </c>
      <c r="O183" t="n">
        <v>0</v>
      </c>
      <c r="P183" t="n">
        <v>0</v>
      </c>
      <c r="Q183" t="n">
        <v>0</v>
      </c>
      <c r="R183" s="2" t="inlineStr"/>
    </row>
    <row r="184" ht="15" customHeight="1">
      <c r="A184" t="inlineStr">
        <is>
          <t>A 34244-2021</t>
        </is>
      </c>
      <c r="B184" s="1" t="n">
        <v>44379</v>
      </c>
      <c r="C184" s="1" t="n">
        <v>45732</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34253-2021</t>
        </is>
      </c>
      <c r="B185" s="1" t="n">
        <v>44379</v>
      </c>
      <c r="C185" s="1" t="n">
        <v>45732</v>
      </c>
      <c r="D185" t="inlineStr">
        <is>
          <t>NORRBOTTENS LÄN</t>
        </is>
      </c>
      <c r="E185" t="inlineStr">
        <is>
          <t>ARVIDSJAUR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34510-2021</t>
        </is>
      </c>
      <c r="B186" s="1" t="n">
        <v>44382</v>
      </c>
      <c r="C186" s="1" t="n">
        <v>45732</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34636-2021</t>
        </is>
      </c>
      <c r="B187" s="1" t="n">
        <v>44382</v>
      </c>
      <c r="C187" s="1" t="n">
        <v>45732</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34962-2021</t>
        </is>
      </c>
      <c r="B188" s="1" t="n">
        <v>44382</v>
      </c>
      <c r="C188" s="1" t="n">
        <v>45732</v>
      </c>
      <c r="D188" t="inlineStr">
        <is>
          <t>NORRBOTTENS LÄN</t>
        </is>
      </c>
      <c r="E188" t="inlineStr">
        <is>
          <t>ARVIDSJAUR</t>
        </is>
      </c>
      <c r="G188" t="n">
        <v>1.9</v>
      </c>
      <c r="H188" t="n">
        <v>0</v>
      </c>
      <c r="I188" t="n">
        <v>0</v>
      </c>
      <c r="J188" t="n">
        <v>0</v>
      </c>
      <c r="K188" t="n">
        <v>0</v>
      </c>
      <c r="L188" t="n">
        <v>0</v>
      </c>
      <c r="M188" t="n">
        <v>0</v>
      </c>
      <c r="N188" t="n">
        <v>0</v>
      </c>
      <c r="O188" t="n">
        <v>0</v>
      </c>
      <c r="P188" t="n">
        <v>0</v>
      </c>
      <c r="Q188" t="n">
        <v>0</v>
      </c>
      <c r="R188" s="2" t="inlineStr"/>
    </row>
    <row r="189" ht="15" customHeight="1">
      <c r="A189" t="inlineStr">
        <is>
          <t>A 35740-2021</t>
        </is>
      </c>
      <c r="B189" s="1" t="n">
        <v>44385</v>
      </c>
      <c r="C189" s="1" t="n">
        <v>45732</v>
      </c>
      <c r="D189" t="inlineStr">
        <is>
          <t>NORRBOTTENS LÄN</t>
        </is>
      </c>
      <c r="E189" t="inlineStr">
        <is>
          <t>ARVIDSJAUR</t>
        </is>
      </c>
      <c r="G189" t="n">
        <v>11.7</v>
      </c>
      <c r="H189" t="n">
        <v>0</v>
      </c>
      <c r="I189" t="n">
        <v>0</v>
      </c>
      <c r="J189" t="n">
        <v>0</v>
      </c>
      <c r="K189" t="n">
        <v>0</v>
      </c>
      <c r="L189" t="n">
        <v>0</v>
      </c>
      <c r="M189" t="n">
        <v>0</v>
      </c>
      <c r="N189" t="n">
        <v>0</v>
      </c>
      <c r="O189" t="n">
        <v>0</v>
      </c>
      <c r="P189" t="n">
        <v>0</v>
      </c>
      <c r="Q189" t="n">
        <v>0</v>
      </c>
      <c r="R189" s="2" t="inlineStr"/>
    </row>
    <row r="190" ht="15" customHeight="1">
      <c r="A190" t="inlineStr">
        <is>
          <t>A 36303-2021</t>
        </is>
      </c>
      <c r="B190" s="1" t="n">
        <v>44389</v>
      </c>
      <c r="C190" s="1" t="n">
        <v>45732</v>
      </c>
      <c r="D190" t="inlineStr">
        <is>
          <t>NORRBOTTENS LÄN</t>
        </is>
      </c>
      <c r="E190" t="inlineStr">
        <is>
          <t>ARVIDSJAUR</t>
        </is>
      </c>
      <c r="G190" t="n">
        <v>9.6</v>
      </c>
      <c r="H190" t="n">
        <v>0</v>
      </c>
      <c r="I190" t="n">
        <v>0</v>
      </c>
      <c r="J190" t="n">
        <v>0</v>
      </c>
      <c r="K190" t="n">
        <v>0</v>
      </c>
      <c r="L190" t="n">
        <v>0</v>
      </c>
      <c r="M190" t="n">
        <v>0</v>
      </c>
      <c r="N190" t="n">
        <v>0</v>
      </c>
      <c r="O190" t="n">
        <v>0</v>
      </c>
      <c r="P190" t="n">
        <v>0</v>
      </c>
      <c r="Q190" t="n">
        <v>0</v>
      </c>
      <c r="R190" s="2" t="inlineStr"/>
    </row>
    <row r="191" ht="15" customHeight="1">
      <c r="A191" t="inlineStr">
        <is>
          <t>A 36297-2021</t>
        </is>
      </c>
      <c r="B191" s="1" t="n">
        <v>44389</v>
      </c>
      <c r="C191" s="1" t="n">
        <v>45732</v>
      </c>
      <c r="D191" t="inlineStr">
        <is>
          <t>NORRBOTTENS LÄN</t>
        </is>
      </c>
      <c r="E191" t="inlineStr">
        <is>
          <t>ARVIDSJAUR</t>
        </is>
      </c>
      <c r="G191" t="n">
        <v>9.1</v>
      </c>
      <c r="H191" t="n">
        <v>0</v>
      </c>
      <c r="I191" t="n">
        <v>0</v>
      </c>
      <c r="J191" t="n">
        <v>0</v>
      </c>
      <c r="K191" t="n">
        <v>0</v>
      </c>
      <c r="L191" t="n">
        <v>0</v>
      </c>
      <c r="M191" t="n">
        <v>0</v>
      </c>
      <c r="N191" t="n">
        <v>0</v>
      </c>
      <c r="O191" t="n">
        <v>0</v>
      </c>
      <c r="P191" t="n">
        <v>0</v>
      </c>
      <c r="Q191" t="n">
        <v>0</v>
      </c>
      <c r="R191" s="2" t="inlineStr"/>
    </row>
    <row r="192" ht="15" customHeight="1">
      <c r="A192" t="inlineStr">
        <is>
          <t>A 36581-2021</t>
        </is>
      </c>
      <c r="B192" s="1" t="n">
        <v>44391</v>
      </c>
      <c r="C192" s="1" t="n">
        <v>45732</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40357-2021</t>
        </is>
      </c>
      <c r="B193" s="1" t="n">
        <v>44419</v>
      </c>
      <c r="C193" s="1" t="n">
        <v>45732</v>
      </c>
      <c r="D193" t="inlineStr">
        <is>
          <t>NORRBOTTENS LÄN</t>
        </is>
      </c>
      <c r="E193" t="inlineStr">
        <is>
          <t>ARVIDSJAUR</t>
        </is>
      </c>
      <c r="G193" t="n">
        <v>4.3</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45732</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40844-2021</t>
        </is>
      </c>
      <c r="B195" s="1" t="n">
        <v>44421</v>
      </c>
      <c r="C195" s="1" t="n">
        <v>45732</v>
      </c>
      <c r="D195" t="inlineStr">
        <is>
          <t>NORRBOTTENS LÄN</t>
        </is>
      </c>
      <c r="E195" t="inlineStr">
        <is>
          <t>ARVIDSJAUR</t>
        </is>
      </c>
      <c r="G195" t="n">
        <v>0.3</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45732</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41872-2021</t>
        </is>
      </c>
      <c r="B197" s="1" t="n">
        <v>44426</v>
      </c>
      <c r="C197" s="1" t="n">
        <v>45732</v>
      </c>
      <c r="D197" t="inlineStr">
        <is>
          <t>NORRBOTTENS LÄN</t>
        </is>
      </c>
      <c r="E197" t="inlineStr">
        <is>
          <t>ARVIDSJAUR</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42330-2021</t>
        </is>
      </c>
      <c r="B198" s="1" t="n">
        <v>44427</v>
      </c>
      <c r="C198" s="1" t="n">
        <v>45732</v>
      </c>
      <c r="D198" t="inlineStr">
        <is>
          <t>NORRBOTTENS LÄN</t>
        </is>
      </c>
      <c r="E198" t="inlineStr">
        <is>
          <t>ARVIDSJAUR</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42674-2021</t>
        </is>
      </c>
      <c r="B199" s="1" t="n">
        <v>44428</v>
      </c>
      <c r="C199" s="1" t="n">
        <v>45732</v>
      </c>
      <c r="D199" t="inlineStr">
        <is>
          <t>NORRBOTTENS LÄN</t>
        </is>
      </c>
      <c r="E199" t="inlineStr">
        <is>
          <t>ARVIDSJAUR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42694-2021</t>
        </is>
      </c>
      <c r="B200" s="1" t="n">
        <v>44428</v>
      </c>
      <c r="C200" s="1" t="n">
        <v>45732</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43683-2021</t>
        </is>
      </c>
      <c r="B201" s="1" t="n">
        <v>44433</v>
      </c>
      <c r="C201" s="1" t="n">
        <v>45732</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43678-2021</t>
        </is>
      </c>
      <c r="B202" s="1" t="n">
        <v>44433</v>
      </c>
      <c r="C202" s="1" t="n">
        <v>45732</v>
      </c>
      <c r="D202" t="inlineStr">
        <is>
          <t>NORRBOTTENS LÄN</t>
        </is>
      </c>
      <c r="E202" t="inlineStr">
        <is>
          <t>ARVIDSJAUR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44026-2021</t>
        </is>
      </c>
      <c r="B203" s="1" t="n">
        <v>44434</v>
      </c>
      <c r="C203" s="1" t="n">
        <v>45732</v>
      </c>
      <c r="D203" t="inlineStr">
        <is>
          <t>NORRBOTTENS LÄN</t>
        </is>
      </c>
      <c r="E203" t="inlineStr">
        <is>
          <t>ARVIDSJAUR</t>
        </is>
      </c>
      <c r="F203" t="inlineStr">
        <is>
          <t>Sveaskog</t>
        </is>
      </c>
      <c r="G203" t="n">
        <v>28.6</v>
      </c>
      <c r="H203" t="n">
        <v>0</v>
      </c>
      <c r="I203" t="n">
        <v>0</v>
      </c>
      <c r="J203" t="n">
        <v>0</v>
      </c>
      <c r="K203" t="n">
        <v>0</v>
      </c>
      <c r="L203" t="n">
        <v>0</v>
      </c>
      <c r="M203" t="n">
        <v>0</v>
      </c>
      <c r="N203" t="n">
        <v>0</v>
      </c>
      <c r="O203" t="n">
        <v>0</v>
      </c>
      <c r="P203" t="n">
        <v>0</v>
      </c>
      <c r="Q203" t="n">
        <v>0</v>
      </c>
      <c r="R203" s="2" t="inlineStr"/>
    </row>
    <row r="204" ht="15" customHeight="1">
      <c r="A204" t="inlineStr">
        <is>
          <t>A 45127-2021</t>
        </is>
      </c>
      <c r="B204" s="1" t="n">
        <v>44439</v>
      </c>
      <c r="C204" s="1" t="n">
        <v>45732</v>
      </c>
      <c r="D204" t="inlineStr">
        <is>
          <t>NORRBOTTENS LÄN</t>
        </is>
      </c>
      <c r="E204" t="inlineStr">
        <is>
          <t>ARVIDSJAUR</t>
        </is>
      </c>
      <c r="G204" t="n">
        <v>4.6</v>
      </c>
      <c r="H204" t="n">
        <v>0</v>
      </c>
      <c r="I204" t="n">
        <v>0</v>
      </c>
      <c r="J204" t="n">
        <v>0</v>
      </c>
      <c r="K204" t="n">
        <v>0</v>
      </c>
      <c r="L204" t="n">
        <v>0</v>
      </c>
      <c r="M204" t="n">
        <v>0</v>
      </c>
      <c r="N204" t="n">
        <v>0</v>
      </c>
      <c r="O204" t="n">
        <v>0</v>
      </c>
      <c r="P204" t="n">
        <v>0</v>
      </c>
      <c r="Q204" t="n">
        <v>0</v>
      </c>
      <c r="R204" s="2" t="inlineStr"/>
    </row>
    <row r="205" ht="15" customHeight="1">
      <c r="A205" t="inlineStr">
        <is>
          <t>A 45391-2021</t>
        </is>
      </c>
      <c r="B205" s="1" t="n">
        <v>44440</v>
      </c>
      <c r="C205" s="1" t="n">
        <v>45732</v>
      </c>
      <c r="D205" t="inlineStr">
        <is>
          <t>NORRBOTTENS LÄN</t>
        </is>
      </c>
      <c r="E205" t="inlineStr">
        <is>
          <t>ARVIDSJAUR</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45398-2021</t>
        </is>
      </c>
      <c r="B206" s="1" t="n">
        <v>44440</v>
      </c>
      <c r="C206" s="1" t="n">
        <v>45732</v>
      </c>
      <c r="D206" t="inlineStr">
        <is>
          <t>NORRBOTTENS LÄN</t>
        </is>
      </c>
      <c r="E206" t="inlineStr">
        <is>
          <t>ARVIDSJAUR</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45769-2021</t>
        </is>
      </c>
      <c r="B207" s="1" t="n">
        <v>44441</v>
      </c>
      <c r="C207" s="1" t="n">
        <v>45732</v>
      </c>
      <c r="D207" t="inlineStr">
        <is>
          <t>NORRBOTTENS LÄN</t>
        </is>
      </c>
      <c r="E207" t="inlineStr">
        <is>
          <t>ARVIDSJAUR</t>
        </is>
      </c>
      <c r="G207" t="n">
        <v>1.4</v>
      </c>
      <c r="H207" t="n">
        <v>0</v>
      </c>
      <c r="I207" t="n">
        <v>0</v>
      </c>
      <c r="J207" t="n">
        <v>0</v>
      </c>
      <c r="K207" t="n">
        <v>0</v>
      </c>
      <c r="L207" t="n">
        <v>0</v>
      </c>
      <c r="M207" t="n">
        <v>0</v>
      </c>
      <c r="N207" t="n">
        <v>0</v>
      </c>
      <c r="O207" t="n">
        <v>0</v>
      </c>
      <c r="P207" t="n">
        <v>0</v>
      </c>
      <c r="Q207" t="n">
        <v>0</v>
      </c>
      <c r="R207" s="2" t="inlineStr"/>
    </row>
    <row r="208" ht="15" customHeight="1">
      <c r="A208" t="inlineStr">
        <is>
          <t>A 46181-2021</t>
        </is>
      </c>
      <c r="B208" s="1" t="n">
        <v>44441</v>
      </c>
      <c r="C208" s="1" t="n">
        <v>45732</v>
      </c>
      <c r="D208" t="inlineStr">
        <is>
          <t>NORRBOTTENS LÄN</t>
        </is>
      </c>
      <c r="E208" t="inlineStr">
        <is>
          <t>ARVIDSJAUR</t>
        </is>
      </c>
      <c r="G208" t="n">
        <v>6.5</v>
      </c>
      <c r="H208" t="n">
        <v>0</v>
      </c>
      <c r="I208" t="n">
        <v>0</v>
      </c>
      <c r="J208" t="n">
        <v>0</v>
      </c>
      <c r="K208" t="n">
        <v>0</v>
      </c>
      <c r="L208" t="n">
        <v>0</v>
      </c>
      <c r="M208" t="n">
        <v>0</v>
      </c>
      <c r="N208" t="n">
        <v>0</v>
      </c>
      <c r="O208" t="n">
        <v>0</v>
      </c>
      <c r="P208" t="n">
        <v>0</v>
      </c>
      <c r="Q208" t="n">
        <v>0</v>
      </c>
      <c r="R208" s="2" t="inlineStr"/>
    </row>
    <row r="209" ht="15" customHeight="1">
      <c r="A209" t="inlineStr">
        <is>
          <t>A 46082-2021</t>
        </is>
      </c>
      <c r="B209" s="1" t="n">
        <v>44442</v>
      </c>
      <c r="C209" s="1" t="n">
        <v>45732</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46072-2021</t>
        </is>
      </c>
      <c r="B210" s="1" t="n">
        <v>44442</v>
      </c>
      <c r="C210" s="1" t="n">
        <v>45732</v>
      </c>
      <c r="D210" t="inlineStr">
        <is>
          <t>NORRBOTTENS LÄN</t>
        </is>
      </c>
      <c r="E210" t="inlineStr">
        <is>
          <t>ARVIDSJAUR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46080-2021</t>
        </is>
      </c>
      <c r="B211" s="1" t="n">
        <v>44442</v>
      </c>
      <c r="C211" s="1" t="n">
        <v>45732</v>
      </c>
      <c r="D211" t="inlineStr">
        <is>
          <t>NORRBOTTENS LÄN</t>
        </is>
      </c>
      <c r="E211" t="inlineStr">
        <is>
          <t>ARVIDSJAUR</t>
        </is>
      </c>
      <c r="F211" t="inlineStr">
        <is>
          <t>Sveaskog</t>
        </is>
      </c>
      <c r="G211" t="n">
        <v>34.5</v>
      </c>
      <c r="H211" t="n">
        <v>0</v>
      </c>
      <c r="I211" t="n">
        <v>0</v>
      </c>
      <c r="J211" t="n">
        <v>0</v>
      </c>
      <c r="K211" t="n">
        <v>0</v>
      </c>
      <c r="L211" t="n">
        <v>0</v>
      </c>
      <c r="M211" t="n">
        <v>0</v>
      </c>
      <c r="N211" t="n">
        <v>0</v>
      </c>
      <c r="O211" t="n">
        <v>0</v>
      </c>
      <c r="P211" t="n">
        <v>0</v>
      </c>
      <c r="Q211" t="n">
        <v>0</v>
      </c>
      <c r="R211" s="2" t="inlineStr"/>
    </row>
    <row r="212" ht="15" customHeight="1">
      <c r="A212" t="inlineStr">
        <is>
          <t>A 46077-2021</t>
        </is>
      </c>
      <c r="B212" s="1" t="n">
        <v>44442</v>
      </c>
      <c r="C212" s="1" t="n">
        <v>45732</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48870-2021</t>
        </is>
      </c>
      <c r="B213" s="1" t="n">
        <v>44452</v>
      </c>
      <c r="C213" s="1" t="n">
        <v>45732</v>
      </c>
      <c r="D213" t="inlineStr">
        <is>
          <t>NORRBOTTENS LÄN</t>
        </is>
      </c>
      <c r="E213" t="inlineStr">
        <is>
          <t>ARVIDSJAUR</t>
        </is>
      </c>
      <c r="F213" t="inlineStr">
        <is>
          <t>SCA</t>
        </is>
      </c>
      <c r="G213" t="n">
        <v>22.6</v>
      </c>
      <c r="H213" t="n">
        <v>0</v>
      </c>
      <c r="I213" t="n">
        <v>0</v>
      </c>
      <c r="J213" t="n">
        <v>0</v>
      </c>
      <c r="K213" t="n">
        <v>0</v>
      </c>
      <c r="L213" t="n">
        <v>0</v>
      </c>
      <c r="M213" t="n">
        <v>0</v>
      </c>
      <c r="N213" t="n">
        <v>0</v>
      </c>
      <c r="O213" t="n">
        <v>0</v>
      </c>
      <c r="P213" t="n">
        <v>0</v>
      </c>
      <c r="Q213" t="n">
        <v>0</v>
      </c>
      <c r="R213" s="2" t="inlineStr"/>
    </row>
    <row r="214" ht="15" customHeight="1">
      <c r="A214" t="inlineStr">
        <is>
          <t>A 49979-2021</t>
        </is>
      </c>
      <c r="B214" s="1" t="n">
        <v>44456</v>
      </c>
      <c r="C214" s="1" t="n">
        <v>45732</v>
      </c>
      <c r="D214" t="inlineStr">
        <is>
          <t>NORRBOTTENS LÄN</t>
        </is>
      </c>
      <c r="E214" t="inlineStr">
        <is>
          <t>ARVIDSJAUR</t>
        </is>
      </c>
      <c r="F214" t="inlineStr">
        <is>
          <t>Sveaskog</t>
        </is>
      </c>
      <c r="G214" t="n">
        <v>13.8</v>
      </c>
      <c r="H214" t="n">
        <v>0</v>
      </c>
      <c r="I214" t="n">
        <v>0</v>
      </c>
      <c r="J214" t="n">
        <v>0</v>
      </c>
      <c r="K214" t="n">
        <v>0</v>
      </c>
      <c r="L214" t="n">
        <v>0</v>
      </c>
      <c r="M214" t="n">
        <v>0</v>
      </c>
      <c r="N214" t="n">
        <v>0</v>
      </c>
      <c r="O214" t="n">
        <v>0</v>
      </c>
      <c r="P214" t="n">
        <v>0</v>
      </c>
      <c r="Q214" t="n">
        <v>0</v>
      </c>
      <c r="R214" s="2" t="inlineStr"/>
    </row>
    <row r="215" ht="15" customHeight="1">
      <c r="A215" t="inlineStr">
        <is>
          <t>A 51925-2021</t>
        </is>
      </c>
      <c r="B215" s="1" t="n">
        <v>44462</v>
      </c>
      <c r="C215" s="1" t="n">
        <v>45732</v>
      </c>
      <c r="D215" t="inlineStr">
        <is>
          <t>NORRBOTTENS LÄN</t>
        </is>
      </c>
      <c r="E215" t="inlineStr">
        <is>
          <t>ARVIDSJAUR</t>
        </is>
      </c>
      <c r="F215" t="inlineStr">
        <is>
          <t>SCA</t>
        </is>
      </c>
      <c r="G215" t="n">
        <v>22.6</v>
      </c>
      <c r="H215" t="n">
        <v>0</v>
      </c>
      <c r="I215" t="n">
        <v>0</v>
      </c>
      <c r="J215" t="n">
        <v>0</v>
      </c>
      <c r="K215" t="n">
        <v>0</v>
      </c>
      <c r="L215" t="n">
        <v>0</v>
      </c>
      <c r="M215" t="n">
        <v>0</v>
      </c>
      <c r="N215" t="n">
        <v>0</v>
      </c>
      <c r="O215" t="n">
        <v>0</v>
      </c>
      <c r="P215" t="n">
        <v>0</v>
      </c>
      <c r="Q215" t="n">
        <v>0</v>
      </c>
      <c r="R215" s="2" t="inlineStr"/>
    </row>
    <row r="216" ht="15" customHeight="1">
      <c r="A216" t="inlineStr">
        <is>
          <t>A 52109-2021</t>
        </is>
      </c>
      <c r="B216" s="1" t="n">
        <v>44463</v>
      </c>
      <c r="C216" s="1" t="n">
        <v>45732</v>
      </c>
      <c r="D216" t="inlineStr">
        <is>
          <t>NORRBOTTENS LÄN</t>
        </is>
      </c>
      <c r="E216" t="inlineStr">
        <is>
          <t>ARVIDSJAUR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52407-2021</t>
        </is>
      </c>
      <c r="B217" s="1" t="n">
        <v>44463</v>
      </c>
      <c r="C217" s="1" t="n">
        <v>45732</v>
      </c>
      <c r="D217" t="inlineStr">
        <is>
          <t>NORRBOTTENS LÄN</t>
        </is>
      </c>
      <c r="E217" t="inlineStr">
        <is>
          <t>ARVIDSJAUR</t>
        </is>
      </c>
      <c r="G217" t="n">
        <v>10.3</v>
      </c>
      <c r="H217" t="n">
        <v>0</v>
      </c>
      <c r="I217" t="n">
        <v>0</v>
      </c>
      <c r="J217" t="n">
        <v>0</v>
      </c>
      <c r="K217" t="n">
        <v>0</v>
      </c>
      <c r="L217" t="n">
        <v>0</v>
      </c>
      <c r="M217" t="n">
        <v>0</v>
      </c>
      <c r="N217" t="n">
        <v>0</v>
      </c>
      <c r="O217" t="n">
        <v>0</v>
      </c>
      <c r="P217" t="n">
        <v>0</v>
      </c>
      <c r="Q217" t="n">
        <v>0</v>
      </c>
      <c r="R217" s="2" t="inlineStr"/>
    </row>
    <row r="218" ht="15" customHeight="1">
      <c r="A218" t="inlineStr">
        <is>
          <t>A 52411-2021</t>
        </is>
      </c>
      <c r="B218" s="1" t="n">
        <v>44463</v>
      </c>
      <c r="C218" s="1" t="n">
        <v>45732</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54412-2021</t>
        </is>
      </c>
      <c r="B219" s="1" t="n">
        <v>44473</v>
      </c>
      <c r="C219" s="1" t="n">
        <v>45732</v>
      </c>
      <c r="D219" t="inlineStr">
        <is>
          <t>NORRBOTTENS LÄN</t>
        </is>
      </c>
      <c r="E219" t="inlineStr">
        <is>
          <t>ARVIDSJAUR</t>
        </is>
      </c>
      <c r="F219" t="inlineStr">
        <is>
          <t>Sveaskog</t>
        </is>
      </c>
      <c r="G219" t="n">
        <v>14.5</v>
      </c>
      <c r="H219" t="n">
        <v>0</v>
      </c>
      <c r="I219" t="n">
        <v>0</v>
      </c>
      <c r="J219" t="n">
        <v>0</v>
      </c>
      <c r="K219" t="n">
        <v>0</v>
      </c>
      <c r="L219" t="n">
        <v>0</v>
      </c>
      <c r="M219" t="n">
        <v>0</v>
      </c>
      <c r="N219" t="n">
        <v>0</v>
      </c>
      <c r="O219" t="n">
        <v>0</v>
      </c>
      <c r="P219" t="n">
        <v>0</v>
      </c>
      <c r="Q219" t="n">
        <v>0</v>
      </c>
      <c r="R219" s="2" t="inlineStr"/>
    </row>
    <row r="220" ht="15" customHeight="1">
      <c r="A220" t="inlineStr">
        <is>
          <t>A 54410-2021</t>
        </is>
      </c>
      <c r="B220" s="1" t="n">
        <v>44473</v>
      </c>
      <c r="C220" s="1" t="n">
        <v>45732</v>
      </c>
      <c r="D220" t="inlineStr">
        <is>
          <t>NORRBOTTENS LÄN</t>
        </is>
      </c>
      <c r="E220" t="inlineStr">
        <is>
          <t>ARVIDSJAUR</t>
        </is>
      </c>
      <c r="F220" t="inlineStr">
        <is>
          <t>Sveaskog</t>
        </is>
      </c>
      <c r="G220" t="n">
        <v>29.4</v>
      </c>
      <c r="H220" t="n">
        <v>0</v>
      </c>
      <c r="I220" t="n">
        <v>0</v>
      </c>
      <c r="J220" t="n">
        <v>0</v>
      </c>
      <c r="K220" t="n">
        <v>0</v>
      </c>
      <c r="L220" t="n">
        <v>0</v>
      </c>
      <c r="M220" t="n">
        <v>0</v>
      </c>
      <c r="N220" t="n">
        <v>0</v>
      </c>
      <c r="O220" t="n">
        <v>0</v>
      </c>
      <c r="P220" t="n">
        <v>0</v>
      </c>
      <c r="Q220" t="n">
        <v>0</v>
      </c>
      <c r="R220" s="2" t="inlineStr"/>
    </row>
    <row r="221" ht="15" customHeight="1">
      <c r="A221" t="inlineStr">
        <is>
          <t>A 55166-2021</t>
        </is>
      </c>
      <c r="B221" s="1" t="n">
        <v>44474</v>
      </c>
      <c r="C221" s="1" t="n">
        <v>45732</v>
      </c>
      <c r="D221" t="inlineStr">
        <is>
          <t>NORRBOTTENS LÄN</t>
        </is>
      </c>
      <c r="E221" t="inlineStr">
        <is>
          <t>ARVIDSJAUR</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55164-2021</t>
        </is>
      </c>
      <c r="B222" s="1" t="n">
        <v>44474</v>
      </c>
      <c r="C222" s="1" t="n">
        <v>45732</v>
      </c>
      <c r="D222" t="inlineStr">
        <is>
          <t>NORRBOTTENS LÄN</t>
        </is>
      </c>
      <c r="E222" t="inlineStr">
        <is>
          <t>ARVIDSJAUR</t>
        </is>
      </c>
      <c r="F222" t="inlineStr">
        <is>
          <t>SCA</t>
        </is>
      </c>
      <c r="G222" t="n">
        <v>5</v>
      </c>
      <c r="H222" t="n">
        <v>0</v>
      </c>
      <c r="I222" t="n">
        <v>0</v>
      </c>
      <c r="J222" t="n">
        <v>0</v>
      </c>
      <c r="K222" t="n">
        <v>0</v>
      </c>
      <c r="L222" t="n">
        <v>0</v>
      </c>
      <c r="M222" t="n">
        <v>0</v>
      </c>
      <c r="N222" t="n">
        <v>0</v>
      </c>
      <c r="O222" t="n">
        <v>0</v>
      </c>
      <c r="P222" t="n">
        <v>0</v>
      </c>
      <c r="Q222" t="n">
        <v>0</v>
      </c>
      <c r="R222" s="2" t="inlineStr"/>
    </row>
    <row r="223" ht="15" customHeight="1">
      <c r="A223" t="inlineStr">
        <is>
          <t>A 55165-2021</t>
        </is>
      </c>
      <c r="B223" s="1" t="n">
        <v>44474</v>
      </c>
      <c r="C223" s="1" t="n">
        <v>45732</v>
      </c>
      <c r="D223" t="inlineStr">
        <is>
          <t>NORRBOTTENS LÄN</t>
        </is>
      </c>
      <c r="E223" t="inlineStr">
        <is>
          <t>ARVIDSJAUR</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57454-2021</t>
        </is>
      </c>
      <c r="B224" s="1" t="n">
        <v>44483</v>
      </c>
      <c r="C224" s="1" t="n">
        <v>45732</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57567-2021</t>
        </is>
      </c>
      <c r="B225" s="1" t="n">
        <v>44484</v>
      </c>
      <c r="C225" s="1" t="n">
        <v>45732</v>
      </c>
      <c r="D225" t="inlineStr">
        <is>
          <t>NORRBOTTENS LÄN</t>
        </is>
      </c>
      <c r="E225" t="inlineStr">
        <is>
          <t>ARVIDSJAUR</t>
        </is>
      </c>
      <c r="F225" t="inlineStr">
        <is>
          <t>Sveaskog</t>
        </is>
      </c>
      <c r="G225" t="n">
        <v>5.6</v>
      </c>
      <c r="H225" t="n">
        <v>0</v>
      </c>
      <c r="I225" t="n">
        <v>0</v>
      </c>
      <c r="J225" t="n">
        <v>0</v>
      </c>
      <c r="K225" t="n">
        <v>0</v>
      </c>
      <c r="L225" t="n">
        <v>0</v>
      </c>
      <c r="M225" t="n">
        <v>0</v>
      </c>
      <c r="N225" t="n">
        <v>0</v>
      </c>
      <c r="O225" t="n">
        <v>0</v>
      </c>
      <c r="P225" t="n">
        <v>0</v>
      </c>
      <c r="Q225" t="n">
        <v>0</v>
      </c>
      <c r="R225" s="2" t="inlineStr"/>
    </row>
    <row r="226" ht="15" customHeight="1">
      <c r="A226" t="inlineStr">
        <is>
          <t>A 57586-2021</t>
        </is>
      </c>
      <c r="B226" s="1" t="n">
        <v>44484</v>
      </c>
      <c r="C226" s="1" t="n">
        <v>45732</v>
      </c>
      <c r="D226" t="inlineStr">
        <is>
          <t>NORRBOTTENS LÄN</t>
        </is>
      </c>
      <c r="E226" t="inlineStr">
        <is>
          <t>ARVIDSJAUR</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57568-2021</t>
        </is>
      </c>
      <c r="B227" s="1" t="n">
        <v>44484</v>
      </c>
      <c r="C227" s="1" t="n">
        <v>45732</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57958-2021</t>
        </is>
      </c>
      <c r="B228" s="1" t="n">
        <v>44487</v>
      </c>
      <c r="C228" s="1" t="n">
        <v>45732</v>
      </c>
      <c r="D228" t="inlineStr">
        <is>
          <t>NORRBOTTENS LÄN</t>
        </is>
      </c>
      <c r="E228" t="inlineStr">
        <is>
          <t>ARVIDSJAUR</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58002-2021</t>
        </is>
      </c>
      <c r="B229" s="1" t="n">
        <v>44487</v>
      </c>
      <c r="C229" s="1" t="n">
        <v>45732</v>
      </c>
      <c r="D229" t="inlineStr">
        <is>
          <t>NORRBOTTENS LÄN</t>
        </is>
      </c>
      <c r="E229" t="inlineStr">
        <is>
          <t>ARVIDSJAUR</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57960-2021</t>
        </is>
      </c>
      <c r="B230" s="1" t="n">
        <v>44487</v>
      </c>
      <c r="C230" s="1" t="n">
        <v>45732</v>
      </c>
      <c r="D230" t="inlineStr">
        <is>
          <t>NORRBOTTENS LÄN</t>
        </is>
      </c>
      <c r="E230" t="inlineStr">
        <is>
          <t>ARVIDSJAUR</t>
        </is>
      </c>
      <c r="F230" t="inlineStr">
        <is>
          <t>Sveaskog</t>
        </is>
      </c>
      <c r="G230" t="n">
        <v>23.1</v>
      </c>
      <c r="H230" t="n">
        <v>0</v>
      </c>
      <c r="I230" t="n">
        <v>0</v>
      </c>
      <c r="J230" t="n">
        <v>0</v>
      </c>
      <c r="K230" t="n">
        <v>0</v>
      </c>
      <c r="L230" t="n">
        <v>0</v>
      </c>
      <c r="M230" t="n">
        <v>0</v>
      </c>
      <c r="N230" t="n">
        <v>0</v>
      </c>
      <c r="O230" t="n">
        <v>0</v>
      </c>
      <c r="P230" t="n">
        <v>0</v>
      </c>
      <c r="Q230" t="n">
        <v>0</v>
      </c>
      <c r="R230" s="2" t="inlineStr"/>
    </row>
    <row r="231" ht="15" customHeight="1">
      <c r="A231" t="inlineStr">
        <is>
          <t>A 57984-2021</t>
        </is>
      </c>
      <c r="B231" s="1" t="n">
        <v>44487</v>
      </c>
      <c r="C231" s="1" t="n">
        <v>45732</v>
      </c>
      <c r="D231" t="inlineStr">
        <is>
          <t>NORRBOTTENS LÄN</t>
        </is>
      </c>
      <c r="E231" t="inlineStr">
        <is>
          <t>ARVIDSJAUR</t>
        </is>
      </c>
      <c r="F231" t="inlineStr">
        <is>
          <t>Sveaskog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58602-2021</t>
        </is>
      </c>
      <c r="B232" s="1" t="n">
        <v>44488</v>
      </c>
      <c r="C232" s="1" t="n">
        <v>45732</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58610-2021</t>
        </is>
      </c>
      <c r="B233" s="1" t="n">
        <v>44488</v>
      </c>
      <c r="C233" s="1" t="n">
        <v>45732</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58855-2021</t>
        </is>
      </c>
      <c r="B234" s="1" t="n">
        <v>44489</v>
      </c>
      <c r="C234" s="1" t="n">
        <v>45732</v>
      </c>
      <c r="D234" t="inlineStr">
        <is>
          <t>NORRBOTTENS LÄN</t>
        </is>
      </c>
      <c r="E234" t="inlineStr">
        <is>
          <t>ARVIDSJAUR</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58806-2021</t>
        </is>
      </c>
      <c r="B235" s="1" t="n">
        <v>44489</v>
      </c>
      <c r="C235" s="1" t="n">
        <v>45732</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59049-2021</t>
        </is>
      </c>
      <c r="B236" s="1" t="n">
        <v>44490</v>
      </c>
      <c r="C236" s="1" t="n">
        <v>45732</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60888-2021</t>
        </is>
      </c>
      <c r="B237" s="1" t="n">
        <v>44497</v>
      </c>
      <c r="C237" s="1" t="n">
        <v>45732</v>
      </c>
      <c r="D237" t="inlineStr">
        <is>
          <t>NORRBOTTENS LÄN</t>
        </is>
      </c>
      <c r="E237" t="inlineStr">
        <is>
          <t>ARVIDSJAUR</t>
        </is>
      </c>
      <c r="F237" t="inlineStr">
        <is>
          <t>Sveaskog</t>
        </is>
      </c>
      <c r="G237" t="n">
        <v>12.1</v>
      </c>
      <c r="H237" t="n">
        <v>0</v>
      </c>
      <c r="I237" t="n">
        <v>0</v>
      </c>
      <c r="J237" t="n">
        <v>0</v>
      </c>
      <c r="K237" t="n">
        <v>0</v>
      </c>
      <c r="L237" t="n">
        <v>0</v>
      </c>
      <c r="M237" t="n">
        <v>0</v>
      </c>
      <c r="N237" t="n">
        <v>0</v>
      </c>
      <c r="O237" t="n">
        <v>0</v>
      </c>
      <c r="P237" t="n">
        <v>0</v>
      </c>
      <c r="Q237" t="n">
        <v>0</v>
      </c>
      <c r="R237" s="2" t="inlineStr"/>
    </row>
    <row r="238" ht="15" customHeight="1">
      <c r="A238" t="inlineStr">
        <is>
          <t>A 61838-2021</t>
        </is>
      </c>
      <c r="B238" s="1" t="n">
        <v>44501</v>
      </c>
      <c r="C238" s="1" t="n">
        <v>45732</v>
      </c>
      <c r="D238" t="inlineStr">
        <is>
          <t>NORRBOTTENS LÄN</t>
        </is>
      </c>
      <c r="E238" t="inlineStr">
        <is>
          <t>ARVIDSJAUR</t>
        </is>
      </c>
      <c r="G238" t="n">
        <v>5.5</v>
      </c>
      <c r="H238" t="n">
        <v>0</v>
      </c>
      <c r="I238" t="n">
        <v>0</v>
      </c>
      <c r="J238" t="n">
        <v>0</v>
      </c>
      <c r="K238" t="n">
        <v>0</v>
      </c>
      <c r="L238" t="n">
        <v>0</v>
      </c>
      <c r="M238" t="n">
        <v>0</v>
      </c>
      <c r="N238" t="n">
        <v>0</v>
      </c>
      <c r="O238" t="n">
        <v>0</v>
      </c>
      <c r="P238" t="n">
        <v>0</v>
      </c>
      <c r="Q238" t="n">
        <v>0</v>
      </c>
      <c r="R238" s="2" t="inlineStr"/>
    </row>
    <row r="239" ht="15" customHeight="1">
      <c r="A239" t="inlineStr">
        <is>
          <t>A 64384-2021</t>
        </is>
      </c>
      <c r="B239" s="1" t="n">
        <v>44511</v>
      </c>
      <c r="C239" s="1" t="n">
        <v>45732</v>
      </c>
      <c r="D239" t="inlineStr">
        <is>
          <t>NORRBOTTENS LÄN</t>
        </is>
      </c>
      <c r="E239" t="inlineStr">
        <is>
          <t>ARVIDSJAUR</t>
        </is>
      </c>
      <c r="G239" t="n">
        <v>6.9</v>
      </c>
      <c r="H239" t="n">
        <v>0</v>
      </c>
      <c r="I239" t="n">
        <v>0</v>
      </c>
      <c r="J239" t="n">
        <v>0</v>
      </c>
      <c r="K239" t="n">
        <v>0</v>
      </c>
      <c r="L239" t="n">
        <v>0</v>
      </c>
      <c r="M239" t="n">
        <v>0</v>
      </c>
      <c r="N239" t="n">
        <v>0</v>
      </c>
      <c r="O239" t="n">
        <v>0</v>
      </c>
      <c r="P239" t="n">
        <v>0</v>
      </c>
      <c r="Q239" t="n">
        <v>0</v>
      </c>
      <c r="R239" s="2" t="inlineStr"/>
    </row>
    <row r="240" ht="15" customHeight="1">
      <c r="A240" t="inlineStr">
        <is>
          <t>A 64377-2021</t>
        </is>
      </c>
      <c r="B240" s="1" t="n">
        <v>44511</v>
      </c>
      <c r="C240" s="1" t="n">
        <v>45732</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68376-2021</t>
        </is>
      </c>
      <c r="B241" s="1" t="n">
        <v>44529</v>
      </c>
      <c r="C241" s="1" t="n">
        <v>45732</v>
      </c>
      <c r="D241" t="inlineStr">
        <is>
          <t>NORRBOTTENS LÄN</t>
        </is>
      </c>
      <c r="E241" t="inlineStr">
        <is>
          <t>ARVIDSJAUR</t>
        </is>
      </c>
      <c r="F241" t="inlineStr">
        <is>
          <t>Sveaskog</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69080-2021</t>
        </is>
      </c>
      <c r="B242" s="1" t="n">
        <v>44530</v>
      </c>
      <c r="C242" s="1" t="n">
        <v>45732</v>
      </c>
      <c r="D242" t="inlineStr">
        <is>
          <t>NORRBOTTENS LÄN</t>
        </is>
      </c>
      <c r="E242" t="inlineStr">
        <is>
          <t>ARVIDSJAUR</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69576-2021</t>
        </is>
      </c>
      <c r="B243" s="1" t="n">
        <v>44532</v>
      </c>
      <c r="C243" s="1" t="n">
        <v>45732</v>
      </c>
      <c r="D243" t="inlineStr">
        <is>
          <t>NORRBOTTENS LÄN</t>
        </is>
      </c>
      <c r="E243" t="inlineStr">
        <is>
          <t>ARVIDSJAUR</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71683-2021</t>
        </is>
      </c>
      <c r="B244" s="1" t="n">
        <v>44543</v>
      </c>
      <c r="C244" s="1" t="n">
        <v>45732</v>
      </c>
      <c r="D244" t="inlineStr">
        <is>
          <t>NORRBOTTENS LÄN</t>
        </is>
      </c>
      <c r="E244" t="inlineStr">
        <is>
          <t>ARVIDSJAUR</t>
        </is>
      </c>
      <c r="F244" t="inlineStr">
        <is>
          <t>Sveaskog</t>
        </is>
      </c>
      <c r="G244" t="n">
        <v>17.8</v>
      </c>
      <c r="H244" t="n">
        <v>0</v>
      </c>
      <c r="I244" t="n">
        <v>0</v>
      </c>
      <c r="J244" t="n">
        <v>0</v>
      </c>
      <c r="K244" t="n">
        <v>0</v>
      </c>
      <c r="L244" t="n">
        <v>0</v>
      </c>
      <c r="M244" t="n">
        <v>0</v>
      </c>
      <c r="N244" t="n">
        <v>0</v>
      </c>
      <c r="O244" t="n">
        <v>0</v>
      </c>
      <c r="P244" t="n">
        <v>0</v>
      </c>
      <c r="Q244" t="n">
        <v>0</v>
      </c>
      <c r="R244" s="2" t="inlineStr"/>
    </row>
    <row r="245" ht="15" customHeight="1">
      <c r="A245" t="inlineStr">
        <is>
          <t>A 71695-2021</t>
        </is>
      </c>
      <c r="B245" s="1" t="n">
        <v>44543</v>
      </c>
      <c r="C245" s="1" t="n">
        <v>45732</v>
      </c>
      <c r="D245" t="inlineStr">
        <is>
          <t>NORRBOTTENS LÄN</t>
        </is>
      </c>
      <c r="E245" t="inlineStr">
        <is>
          <t>ARVIDSJAUR</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73488-2021</t>
        </is>
      </c>
      <c r="B246" s="1" t="n">
        <v>44551</v>
      </c>
      <c r="C246" s="1" t="n">
        <v>45732</v>
      </c>
      <c r="D246" t="inlineStr">
        <is>
          <t>NORRBOTTENS LÄN</t>
        </is>
      </c>
      <c r="E246" t="inlineStr">
        <is>
          <t>ARVIDSJAUR</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73490-2021</t>
        </is>
      </c>
      <c r="B247" s="1" t="n">
        <v>44551</v>
      </c>
      <c r="C247" s="1" t="n">
        <v>45732</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73782-2021</t>
        </is>
      </c>
      <c r="B248" s="1" t="n">
        <v>44552</v>
      </c>
      <c r="C248" s="1" t="n">
        <v>45732</v>
      </c>
      <c r="D248" t="inlineStr">
        <is>
          <t>NORRBOTTENS LÄN</t>
        </is>
      </c>
      <c r="E248" t="inlineStr">
        <is>
          <t>ARVIDSJAUR</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2698-2022</t>
        </is>
      </c>
      <c r="B249" s="1" t="n">
        <v>44580</v>
      </c>
      <c r="C249" s="1" t="n">
        <v>45732</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9234-2022</t>
        </is>
      </c>
      <c r="B250" s="1" t="n">
        <v>44616</v>
      </c>
      <c r="C250" s="1" t="n">
        <v>45732</v>
      </c>
      <c r="D250" t="inlineStr">
        <is>
          <t>NORRBOTTENS LÄN</t>
        </is>
      </c>
      <c r="E250" t="inlineStr">
        <is>
          <t>ARVIDSJAUR</t>
        </is>
      </c>
      <c r="G250" t="n">
        <v>0.8</v>
      </c>
      <c r="H250" t="n">
        <v>0</v>
      </c>
      <c r="I250" t="n">
        <v>0</v>
      </c>
      <c r="J250" t="n">
        <v>0</v>
      </c>
      <c r="K250" t="n">
        <v>0</v>
      </c>
      <c r="L250" t="n">
        <v>0</v>
      </c>
      <c r="M250" t="n">
        <v>0</v>
      </c>
      <c r="N250" t="n">
        <v>0</v>
      </c>
      <c r="O250" t="n">
        <v>0</v>
      </c>
      <c r="P250" t="n">
        <v>0</v>
      </c>
      <c r="Q250" t="n">
        <v>0</v>
      </c>
      <c r="R250" s="2" t="inlineStr"/>
    </row>
    <row r="251" ht="15" customHeight="1">
      <c r="A251" t="inlineStr">
        <is>
          <t>A 9978-2022</t>
        </is>
      </c>
      <c r="B251" s="1" t="n">
        <v>44621</v>
      </c>
      <c r="C251" s="1" t="n">
        <v>45732</v>
      </c>
      <c r="D251" t="inlineStr">
        <is>
          <t>NORRBOTTENS LÄN</t>
        </is>
      </c>
      <c r="E251" t="inlineStr">
        <is>
          <t>ARVIDSJAUR</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10648-2022</t>
        </is>
      </c>
      <c r="B252" s="1" t="n">
        <v>44624</v>
      </c>
      <c r="C252" s="1" t="n">
        <v>45732</v>
      </c>
      <c r="D252" t="inlineStr">
        <is>
          <t>NORRBOTTENS LÄN</t>
        </is>
      </c>
      <c r="E252" t="inlineStr">
        <is>
          <t>ARVIDSJAUR</t>
        </is>
      </c>
      <c r="G252" t="n">
        <v>4.7</v>
      </c>
      <c r="H252" t="n">
        <v>0</v>
      </c>
      <c r="I252" t="n">
        <v>0</v>
      </c>
      <c r="J252" t="n">
        <v>0</v>
      </c>
      <c r="K252" t="n">
        <v>0</v>
      </c>
      <c r="L252" t="n">
        <v>0</v>
      </c>
      <c r="M252" t="n">
        <v>0</v>
      </c>
      <c r="N252" t="n">
        <v>0</v>
      </c>
      <c r="O252" t="n">
        <v>0</v>
      </c>
      <c r="P252" t="n">
        <v>0</v>
      </c>
      <c r="Q252" t="n">
        <v>0</v>
      </c>
      <c r="R252" s="2" t="inlineStr"/>
    </row>
    <row r="253" ht="15" customHeight="1">
      <c r="A253" t="inlineStr">
        <is>
          <t>A 14964-2022</t>
        </is>
      </c>
      <c r="B253" s="1" t="n">
        <v>44657</v>
      </c>
      <c r="C253" s="1" t="n">
        <v>45732</v>
      </c>
      <c r="D253" t="inlineStr">
        <is>
          <t>NORRBOTTENS LÄN</t>
        </is>
      </c>
      <c r="E253" t="inlineStr">
        <is>
          <t>ARVIDSJAUR</t>
        </is>
      </c>
      <c r="F253" t="inlineStr">
        <is>
          <t>Sveaskog</t>
        </is>
      </c>
      <c r="G253" t="n">
        <v>15.3</v>
      </c>
      <c r="H253" t="n">
        <v>0</v>
      </c>
      <c r="I253" t="n">
        <v>0</v>
      </c>
      <c r="J253" t="n">
        <v>0</v>
      </c>
      <c r="K253" t="n">
        <v>0</v>
      </c>
      <c r="L253" t="n">
        <v>0</v>
      </c>
      <c r="M253" t="n">
        <v>0</v>
      </c>
      <c r="N253" t="n">
        <v>0</v>
      </c>
      <c r="O253" t="n">
        <v>0</v>
      </c>
      <c r="P253" t="n">
        <v>0</v>
      </c>
      <c r="Q253" t="n">
        <v>0</v>
      </c>
      <c r="R253" s="2" t="inlineStr"/>
    </row>
    <row r="254" ht="15" customHeight="1">
      <c r="A254" t="inlineStr">
        <is>
          <t>A 17686-2022</t>
        </is>
      </c>
      <c r="B254" s="1" t="n">
        <v>44680</v>
      </c>
      <c r="C254" s="1" t="n">
        <v>45732</v>
      </c>
      <c r="D254" t="inlineStr">
        <is>
          <t>NORRBOTTENS LÄN</t>
        </is>
      </c>
      <c r="E254" t="inlineStr">
        <is>
          <t>ARVIDSJAUR</t>
        </is>
      </c>
      <c r="G254" t="n">
        <v>9.5</v>
      </c>
      <c r="H254" t="n">
        <v>0</v>
      </c>
      <c r="I254" t="n">
        <v>0</v>
      </c>
      <c r="J254" t="n">
        <v>0</v>
      </c>
      <c r="K254" t="n">
        <v>0</v>
      </c>
      <c r="L254" t="n">
        <v>0</v>
      </c>
      <c r="M254" t="n">
        <v>0</v>
      </c>
      <c r="N254" t="n">
        <v>0</v>
      </c>
      <c r="O254" t="n">
        <v>0</v>
      </c>
      <c r="P254" t="n">
        <v>0</v>
      </c>
      <c r="Q254" t="n">
        <v>0</v>
      </c>
      <c r="R254" s="2" t="inlineStr"/>
    </row>
    <row r="255" ht="15" customHeight="1">
      <c r="A255" t="inlineStr">
        <is>
          <t>A 18920-2022</t>
        </is>
      </c>
      <c r="B255" s="1" t="n">
        <v>44690</v>
      </c>
      <c r="C255" s="1" t="n">
        <v>45732</v>
      </c>
      <c r="D255" t="inlineStr">
        <is>
          <t>NORRBOTTENS LÄN</t>
        </is>
      </c>
      <c r="E255" t="inlineStr">
        <is>
          <t>ARVIDSJAUR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18886-2022</t>
        </is>
      </c>
      <c r="B256" s="1" t="n">
        <v>44690</v>
      </c>
      <c r="C256" s="1" t="n">
        <v>45732</v>
      </c>
      <c r="D256" t="inlineStr">
        <is>
          <t>NORRBOTTENS LÄN</t>
        </is>
      </c>
      <c r="E256" t="inlineStr">
        <is>
          <t>ARVIDSJAUR</t>
        </is>
      </c>
      <c r="F256" t="inlineStr">
        <is>
          <t>Allmännings- och besparingsskogar</t>
        </is>
      </c>
      <c r="G256" t="n">
        <v>4.6</v>
      </c>
      <c r="H256" t="n">
        <v>0</v>
      </c>
      <c r="I256" t="n">
        <v>0</v>
      </c>
      <c r="J256" t="n">
        <v>0</v>
      </c>
      <c r="K256" t="n">
        <v>0</v>
      </c>
      <c r="L256" t="n">
        <v>0</v>
      </c>
      <c r="M256" t="n">
        <v>0</v>
      </c>
      <c r="N256" t="n">
        <v>0</v>
      </c>
      <c r="O256" t="n">
        <v>0</v>
      </c>
      <c r="P256" t="n">
        <v>0</v>
      </c>
      <c r="Q256" t="n">
        <v>0</v>
      </c>
      <c r="R256" s="2" t="inlineStr"/>
    </row>
    <row r="257" ht="15" customHeight="1">
      <c r="A257" t="inlineStr">
        <is>
          <t>A 18914-2022</t>
        </is>
      </c>
      <c r="B257" s="1" t="n">
        <v>44690</v>
      </c>
      <c r="C257" s="1" t="n">
        <v>45732</v>
      </c>
      <c r="D257" t="inlineStr">
        <is>
          <t>NORRBOTTENS LÄN</t>
        </is>
      </c>
      <c r="E257" t="inlineStr">
        <is>
          <t>ARVIDSJAUR</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19314-2022</t>
        </is>
      </c>
      <c r="B258" s="1" t="n">
        <v>44692</v>
      </c>
      <c r="C258" s="1" t="n">
        <v>45732</v>
      </c>
      <c r="D258" t="inlineStr">
        <is>
          <t>NORRBOTTENS LÄN</t>
        </is>
      </c>
      <c r="E258" t="inlineStr">
        <is>
          <t>ARVIDSJAUR</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20403-2022</t>
        </is>
      </c>
      <c r="B259" s="1" t="n">
        <v>44699</v>
      </c>
      <c r="C259" s="1" t="n">
        <v>45732</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20698-2022</t>
        </is>
      </c>
      <c r="B260" s="1" t="n">
        <v>44700</v>
      </c>
      <c r="C260" s="1" t="n">
        <v>45732</v>
      </c>
      <c r="D260" t="inlineStr">
        <is>
          <t>NORRBOTTENS LÄN</t>
        </is>
      </c>
      <c r="E260" t="inlineStr">
        <is>
          <t>ARVIDSJAUR</t>
        </is>
      </c>
      <c r="G260" t="n">
        <v>1.3</v>
      </c>
      <c r="H260" t="n">
        <v>0</v>
      </c>
      <c r="I260" t="n">
        <v>0</v>
      </c>
      <c r="J260" t="n">
        <v>0</v>
      </c>
      <c r="K260" t="n">
        <v>0</v>
      </c>
      <c r="L260" t="n">
        <v>0</v>
      </c>
      <c r="M260" t="n">
        <v>0</v>
      </c>
      <c r="N260" t="n">
        <v>0</v>
      </c>
      <c r="O260" t="n">
        <v>0</v>
      </c>
      <c r="P260" t="n">
        <v>0</v>
      </c>
      <c r="Q260" t="n">
        <v>0</v>
      </c>
      <c r="R260" s="2" t="inlineStr"/>
    </row>
    <row r="261" ht="15" customHeight="1">
      <c r="A261" t="inlineStr">
        <is>
          <t>A 22832-2022</t>
        </is>
      </c>
      <c r="B261" s="1" t="n">
        <v>44715</v>
      </c>
      <c r="C261" s="1" t="n">
        <v>45732</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23575-2022</t>
        </is>
      </c>
      <c r="B262" s="1" t="n">
        <v>44721</v>
      </c>
      <c r="C262" s="1" t="n">
        <v>45732</v>
      </c>
      <c r="D262" t="inlineStr">
        <is>
          <t>NORRBOTTENS LÄN</t>
        </is>
      </c>
      <c r="E262" t="inlineStr">
        <is>
          <t>ARVIDSJAUR</t>
        </is>
      </c>
      <c r="F262" t="inlineStr">
        <is>
          <t>Övriga Aktiebolag</t>
        </is>
      </c>
      <c r="G262" t="n">
        <v>13.8</v>
      </c>
      <c r="H262" t="n">
        <v>0</v>
      </c>
      <c r="I262" t="n">
        <v>0</v>
      </c>
      <c r="J262" t="n">
        <v>0</v>
      </c>
      <c r="K262" t="n">
        <v>0</v>
      </c>
      <c r="L262" t="n">
        <v>0</v>
      </c>
      <c r="M262" t="n">
        <v>0</v>
      </c>
      <c r="N262" t="n">
        <v>0</v>
      </c>
      <c r="O262" t="n">
        <v>0</v>
      </c>
      <c r="P262" t="n">
        <v>0</v>
      </c>
      <c r="Q262" t="n">
        <v>0</v>
      </c>
      <c r="R262" s="2" t="inlineStr"/>
    </row>
    <row r="263" ht="15" customHeight="1">
      <c r="A263" t="inlineStr">
        <is>
          <t>A 25388-2022</t>
        </is>
      </c>
      <c r="B263" s="1" t="n">
        <v>44732</v>
      </c>
      <c r="C263" s="1" t="n">
        <v>45732</v>
      </c>
      <c r="D263" t="inlineStr">
        <is>
          <t>NORRBOTTENS LÄN</t>
        </is>
      </c>
      <c r="E263" t="inlineStr">
        <is>
          <t>ARVIDSJAUR</t>
        </is>
      </c>
      <c r="G263" t="n">
        <v>7.2</v>
      </c>
      <c r="H263" t="n">
        <v>0</v>
      </c>
      <c r="I263" t="n">
        <v>0</v>
      </c>
      <c r="J263" t="n">
        <v>0</v>
      </c>
      <c r="K263" t="n">
        <v>0</v>
      </c>
      <c r="L263" t="n">
        <v>0</v>
      </c>
      <c r="M263" t="n">
        <v>0</v>
      </c>
      <c r="N263" t="n">
        <v>0</v>
      </c>
      <c r="O263" t="n">
        <v>0</v>
      </c>
      <c r="P263" t="n">
        <v>0</v>
      </c>
      <c r="Q263" t="n">
        <v>0</v>
      </c>
      <c r="R263" s="2" t="inlineStr"/>
    </row>
    <row r="264" ht="15" customHeight="1">
      <c r="A264" t="inlineStr">
        <is>
          <t>A 25506-2022</t>
        </is>
      </c>
      <c r="B264" s="1" t="n">
        <v>44732</v>
      </c>
      <c r="C264" s="1" t="n">
        <v>45732</v>
      </c>
      <c r="D264" t="inlineStr">
        <is>
          <t>NORRBOTTENS LÄN</t>
        </is>
      </c>
      <c r="E264" t="inlineStr">
        <is>
          <t>ARVIDSJAUR</t>
        </is>
      </c>
      <c r="F264" t="inlineStr">
        <is>
          <t>Sveaskog</t>
        </is>
      </c>
      <c r="G264" t="n">
        <v>12.3</v>
      </c>
      <c r="H264" t="n">
        <v>0</v>
      </c>
      <c r="I264" t="n">
        <v>0</v>
      </c>
      <c r="J264" t="n">
        <v>0</v>
      </c>
      <c r="K264" t="n">
        <v>0</v>
      </c>
      <c r="L264" t="n">
        <v>0</v>
      </c>
      <c r="M264" t="n">
        <v>0</v>
      </c>
      <c r="N264" t="n">
        <v>0</v>
      </c>
      <c r="O264" t="n">
        <v>0</v>
      </c>
      <c r="P264" t="n">
        <v>0</v>
      </c>
      <c r="Q264" t="n">
        <v>0</v>
      </c>
      <c r="R264" s="2" t="inlineStr"/>
    </row>
    <row r="265" ht="15" customHeight="1">
      <c r="A265" t="inlineStr">
        <is>
          <t>A 25395-2022</t>
        </is>
      </c>
      <c r="B265" s="1" t="n">
        <v>44732</v>
      </c>
      <c r="C265" s="1" t="n">
        <v>45732</v>
      </c>
      <c r="D265" t="inlineStr">
        <is>
          <t>NORRBOTTENS LÄN</t>
        </is>
      </c>
      <c r="E265" t="inlineStr">
        <is>
          <t>ARVIDSJAUR</t>
        </is>
      </c>
      <c r="G265" t="n">
        <v>6</v>
      </c>
      <c r="H265" t="n">
        <v>0</v>
      </c>
      <c r="I265" t="n">
        <v>0</v>
      </c>
      <c r="J265" t="n">
        <v>0</v>
      </c>
      <c r="K265" t="n">
        <v>0</v>
      </c>
      <c r="L265" t="n">
        <v>0</v>
      </c>
      <c r="M265" t="n">
        <v>0</v>
      </c>
      <c r="N265" t="n">
        <v>0</v>
      </c>
      <c r="O265" t="n">
        <v>0</v>
      </c>
      <c r="P265" t="n">
        <v>0</v>
      </c>
      <c r="Q265" t="n">
        <v>0</v>
      </c>
      <c r="R265" s="2" t="inlineStr"/>
    </row>
    <row r="266" ht="15" customHeight="1">
      <c r="A266" t="inlineStr">
        <is>
          <t>A 25720-2022</t>
        </is>
      </c>
      <c r="B266" s="1" t="n">
        <v>44733</v>
      </c>
      <c r="C266" s="1" t="n">
        <v>45732</v>
      </c>
      <c r="D266" t="inlineStr">
        <is>
          <t>NORRBOTTENS LÄN</t>
        </is>
      </c>
      <c r="E266" t="inlineStr">
        <is>
          <t>ARVIDSJAUR</t>
        </is>
      </c>
      <c r="F266" t="inlineStr">
        <is>
          <t>Sveaskog</t>
        </is>
      </c>
      <c r="G266" t="n">
        <v>16.4</v>
      </c>
      <c r="H266" t="n">
        <v>0</v>
      </c>
      <c r="I266" t="n">
        <v>0</v>
      </c>
      <c r="J266" t="n">
        <v>0</v>
      </c>
      <c r="K266" t="n">
        <v>0</v>
      </c>
      <c r="L266" t="n">
        <v>0</v>
      </c>
      <c r="M266" t="n">
        <v>0</v>
      </c>
      <c r="N266" t="n">
        <v>0</v>
      </c>
      <c r="O266" t="n">
        <v>0</v>
      </c>
      <c r="P266" t="n">
        <v>0</v>
      </c>
      <c r="Q266" t="n">
        <v>0</v>
      </c>
      <c r="R266" s="2" t="inlineStr"/>
    </row>
    <row r="267" ht="15" customHeight="1">
      <c r="A267" t="inlineStr">
        <is>
          <t>A 26223-2022</t>
        </is>
      </c>
      <c r="B267" s="1" t="n">
        <v>44735</v>
      </c>
      <c r="C267" s="1" t="n">
        <v>45732</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26938-2022</t>
        </is>
      </c>
      <c r="B268" s="1" t="n">
        <v>44740</v>
      </c>
      <c r="C268" s="1" t="n">
        <v>45732</v>
      </c>
      <c r="D268" t="inlineStr">
        <is>
          <t>NORRBOTTENS LÄN</t>
        </is>
      </c>
      <c r="E268" t="inlineStr">
        <is>
          <t>ARVIDSJAUR</t>
        </is>
      </c>
      <c r="G268" t="n">
        <v>4.3</v>
      </c>
      <c r="H268" t="n">
        <v>0</v>
      </c>
      <c r="I268" t="n">
        <v>0</v>
      </c>
      <c r="J268" t="n">
        <v>0</v>
      </c>
      <c r="K268" t="n">
        <v>0</v>
      </c>
      <c r="L268" t="n">
        <v>0</v>
      </c>
      <c r="M268" t="n">
        <v>0</v>
      </c>
      <c r="N268" t="n">
        <v>0</v>
      </c>
      <c r="O268" t="n">
        <v>0</v>
      </c>
      <c r="P268" t="n">
        <v>0</v>
      </c>
      <c r="Q268" t="n">
        <v>0</v>
      </c>
      <c r="R268" s="2" t="inlineStr"/>
    </row>
    <row r="269" ht="15" customHeight="1">
      <c r="A269" t="inlineStr">
        <is>
          <t>A 27234-2022</t>
        </is>
      </c>
      <c r="B269" s="1" t="n">
        <v>44741</v>
      </c>
      <c r="C269" s="1" t="n">
        <v>45732</v>
      </c>
      <c r="D269" t="inlineStr">
        <is>
          <t>NORRBOTTENS LÄN</t>
        </is>
      </c>
      <c r="E269" t="inlineStr">
        <is>
          <t>ARVIDSJAUR</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27734-2022</t>
        </is>
      </c>
      <c r="B270" s="1" t="n">
        <v>44743</v>
      </c>
      <c r="C270" s="1" t="n">
        <v>45732</v>
      </c>
      <c r="D270" t="inlineStr">
        <is>
          <t>NORRBOTTENS LÄN</t>
        </is>
      </c>
      <c r="E270" t="inlineStr">
        <is>
          <t>ARVIDSJAUR</t>
        </is>
      </c>
      <c r="F270" t="inlineStr">
        <is>
          <t>Sveaskog</t>
        </is>
      </c>
      <c r="G270" t="n">
        <v>18.1</v>
      </c>
      <c r="H270" t="n">
        <v>0</v>
      </c>
      <c r="I270" t="n">
        <v>0</v>
      </c>
      <c r="J270" t="n">
        <v>0</v>
      </c>
      <c r="K270" t="n">
        <v>0</v>
      </c>
      <c r="L270" t="n">
        <v>0</v>
      </c>
      <c r="M270" t="n">
        <v>0</v>
      </c>
      <c r="N270" t="n">
        <v>0</v>
      </c>
      <c r="O270" t="n">
        <v>0</v>
      </c>
      <c r="P270" t="n">
        <v>0</v>
      </c>
      <c r="Q270" t="n">
        <v>0</v>
      </c>
      <c r="R270" s="2" t="inlineStr"/>
    </row>
    <row r="271" ht="15" customHeight="1">
      <c r="A271" t="inlineStr">
        <is>
          <t>A 28052-2022</t>
        </is>
      </c>
      <c r="B271" s="1" t="n">
        <v>44746</v>
      </c>
      <c r="C271" s="1" t="n">
        <v>45732</v>
      </c>
      <c r="D271" t="inlineStr">
        <is>
          <t>NORRBOTTENS LÄN</t>
        </is>
      </c>
      <c r="E271" t="inlineStr">
        <is>
          <t>ARVIDSJAUR</t>
        </is>
      </c>
      <c r="F271" t="inlineStr">
        <is>
          <t>Övriga Aktiebolag</t>
        </is>
      </c>
      <c r="G271" t="n">
        <v>18.3</v>
      </c>
      <c r="H271" t="n">
        <v>0</v>
      </c>
      <c r="I271" t="n">
        <v>0</v>
      </c>
      <c r="J271" t="n">
        <v>0</v>
      </c>
      <c r="K271" t="n">
        <v>0</v>
      </c>
      <c r="L271" t="n">
        <v>0</v>
      </c>
      <c r="M271" t="n">
        <v>0</v>
      </c>
      <c r="N271" t="n">
        <v>0</v>
      </c>
      <c r="O271" t="n">
        <v>0</v>
      </c>
      <c r="P271" t="n">
        <v>0</v>
      </c>
      <c r="Q271" t="n">
        <v>0</v>
      </c>
      <c r="R271" s="2" t="inlineStr"/>
    </row>
    <row r="272" ht="15" customHeight="1">
      <c r="A272" t="inlineStr">
        <is>
          <t>A 28937-2022</t>
        </is>
      </c>
      <c r="B272" s="1" t="n">
        <v>44749</v>
      </c>
      <c r="C272" s="1" t="n">
        <v>45732</v>
      </c>
      <c r="D272" t="inlineStr">
        <is>
          <t>NORRBOTTENS LÄN</t>
        </is>
      </c>
      <c r="E272" t="inlineStr">
        <is>
          <t>ARVIDSJAUR</t>
        </is>
      </c>
      <c r="F272" t="inlineStr">
        <is>
          <t>Sveaskog</t>
        </is>
      </c>
      <c r="G272" t="n">
        <v>12.6</v>
      </c>
      <c r="H272" t="n">
        <v>0</v>
      </c>
      <c r="I272" t="n">
        <v>0</v>
      </c>
      <c r="J272" t="n">
        <v>0</v>
      </c>
      <c r="K272" t="n">
        <v>0</v>
      </c>
      <c r="L272" t="n">
        <v>0</v>
      </c>
      <c r="M272" t="n">
        <v>0</v>
      </c>
      <c r="N272" t="n">
        <v>0</v>
      </c>
      <c r="O272" t="n">
        <v>0</v>
      </c>
      <c r="P272" t="n">
        <v>0</v>
      </c>
      <c r="Q272" t="n">
        <v>0</v>
      </c>
      <c r="R272" s="2" t="inlineStr"/>
    </row>
    <row r="273" ht="15" customHeight="1">
      <c r="A273" t="inlineStr">
        <is>
          <t>A 29104-2022</t>
        </is>
      </c>
      <c r="B273" s="1" t="n">
        <v>44750</v>
      </c>
      <c r="C273" s="1" t="n">
        <v>45732</v>
      </c>
      <c r="D273" t="inlineStr">
        <is>
          <t>NORRBOTTENS LÄN</t>
        </is>
      </c>
      <c r="E273" t="inlineStr">
        <is>
          <t>ARVIDSJAUR</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31576-2022</t>
        </is>
      </c>
      <c r="B274" s="1" t="n">
        <v>44775</v>
      </c>
      <c r="C274" s="1" t="n">
        <v>45732</v>
      </c>
      <c r="D274" t="inlineStr">
        <is>
          <t>NORRBOTTENS LÄN</t>
        </is>
      </c>
      <c r="E274" t="inlineStr">
        <is>
          <t>ARVIDSJAUR</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32341-2022</t>
        </is>
      </c>
      <c r="B275" s="1" t="n">
        <v>44781</v>
      </c>
      <c r="C275" s="1" t="n">
        <v>45732</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33458-2022</t>
        </is>
      </c>
      <c r="B276" s="1" t="n">
        <v>44788</v>
      </c>
      <c r="C276" s="1" t="n">
        <v>45732</v>
      </c>
      <c r="D276" t="inlineStr">
        <is>
          <t>NORRBOTTENS LÄN</t>
        </is>
      </c>
      <c r="E276" t="inlineStr">
        <is>
          <t>ARVIDSJAUR</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33461-2022</t>
        </is>
      </c>
      <c r="B277" s="1" t="n">
        <v>44788</v>
      </c>
      <c r="C277" s="1" t="n">
        <v>45732</v>
      </c>
      <c r="D277" t="inlineStr">
        <is>
          <t>NORRBOTTENS LÄN</t>
        </is>
      </c>
      <c r="E277" t="inlineStr">
        <is>
          <t>ARVIDSJAUR</t>
        </is>
      </c>
      <c r="F277" t="inlineStr">
        <is>
          <t>Allmännings- och besparingsskogar</t>
        </is>
      </c>
      <c r="G277" t="n">
        <v>4.2</v>
      </c>
      <c r="H277" t="n">
        <v>0</v>
      </c>
      <c r="I277" t="n">
        <v>0</v>
      </c>
      <c r="J277" t="n">
        <v>0</v>
      </c>
      <c r="K277" t="n">
        <v>0</v>
      </c>
      <c r="L277" t="n">
        <v>0</v>
      </c>
      <c r="M277" t="n">
        <v>0</v>
      </c>
      <c r="N277" t="n">
        <v>0</v>
      </c>
      <c r="O277" t="n">
        <v>0</v>
      </c>
      <c r="P277" t="n">
        <v>0</v>
      </c>
      <c r="Q277" t="n">
        <v>0</v>
      </c>
      <c r="R277" s="2" t="inlineStr"/>
    </row>
    <row r="278" ht="15" customHeight="1">
      <c r="A278" t="inlineStr">
        <is>
          <t>A 33463-2022</t>
        </is>
      </c>
      <c r="B278" s="1" t="n">
        <v>44788</v>
      </c>
      <c r="C278" s="1" t="n">
        <v>45732</v>
      </c>
      <c r="D278" t="inlineStr">
        <is>
          <t>NORRBOTTENS LÄN</t>
        </is>
      </c>
      <c r="E278" t="inlineStr">
        <is>
          <t>ARVIDSJAUR</t>
        </is>
      </c>
      <c r="F278" t="inlineStr">
        <is>
          <t>Allmännings- och besparingsskogar</t>
        </is>
      </c>
      <c r="G278" t="n">
        <v>3.4</v>
      </c>
      <c r="H278" t="n">
        <v>0</v>
      </c>
      <c r="I278" t="n">
        <v>0</v>
      </c>
      <c r="J278" t="n">
        <v>0</v>
      </c>
      <c r="K278" t="n">
        <v>0</v>
      </c>
      <c r="L278" t="n">
        <v>0</v>
      </c>
      <c r="M278" t="n">
        <v>0</v>
      </c>
      <c r="N278" t="n">
        <v>0</v>
      </c>
      <c r="O278" t="n">
        <v>0</v>
      </c>
      <c r="P278" t="n">
        <v>0</v>
      </c>
      <c r="Q278" t="n">
        <v>0</v>
      </c>
      <c r="R278" s="2" t="inlineStr"/>
    </row>
    <row r="279" ht="15" customHeight="1">
      <c r="A279" t="inlineStr">
        <is>
          <t>A 34466-2022</t>
        </is>
      </c>
      <c r="B279" s="1" t="n">
        <v>44792</v>
      </c>
      <c r="C279" s="1" t="n">
        <v>45732</v>
      </c>
      <c r="D279" t="inlineStr">
        <is>
          <t>NORRBOTTENS LÄN</t>
        </is>
      </c>
      <c r="E279" t="inlineStr">
        <is>
          <t>ARVIDSJAUR</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34471-2022</t>
        </is>
      </c>
      <c r="B280" s="1" t="n">
        <v>44792</v>
      </c>
      <c r="C280" s="1" t="n">
        <v>45732</v>
      </c>
      <c r="D280" t="inlineStr">
        <is>
          <t>NORRBOTTENS LÄN</t>
        </is>
      </c>
      <c r="E280" t="inlineStr">
        <is>
          <t>ARVIDSJAUR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34474-2022</t>
        </is>
      </c>
      <c r="B281" s="1" t="n">
        <v>44792</v>
      </c>
      <c r="C281" s="1" t="n">
        <v>45732</v>
      </c>
      <c r="D281" t="inlineStr">
        <is>
          <t>NORRBOTTENS LÄN</t>
        </is>
      </c>
      <c r="E281" t="inlineStr">
        <is>
          <t>ARVIDSJAUR</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34477-2022</t>
        </is>
      </c>
      <c r="B282" s="1" t="n">
        <v>44792</v>
      </c>
      <c r="C282" s="1" t="n">
        <v>45732</v>
      </c>
      <c r="D282" t="inlineStr">
        <is>
          <t>NORRBOTTENS LÄN</t>
        </is>
      </c>
      <c r="E282" t="inlineStr">
        <is>
          <t>ARVIDSJAUR</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36417-2022</t>
        </is>
      </c>
      <c r="B283" s="1" t="n">
        <v>44804</v>
      </c>
      <c r="C283" s="1" t="n">
        <v>45732</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36400-2022</t>
        </is>
      </c>
      <c r="B284" s="1" t="n">
        <v>44804</v>
      </c>
      <c r="C284" s="1" t="n">
        <v>45732</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36405-2022</t>
        </is>
      </c>
      <c r="B285" s="1" t="n">
        <v>44804</v>
      </c>
      <c r="C285" s="1" t="n">
        <v>45732</v>
      </c>
      <c r="D285" t="inlineStr">
        <is>
          <t>NORRBOTTENS LÄN</t>
        </is>
      </c>
      <c r="E285" t="inlineStr">
        <is>
          <t>ARVIDSJAUR</t>
        </is>
      </c>
      <c r="G285" t="n">
        <v>2.3</v>
      </c>
      <c r="H285" t="n">
        <v>0</v>
      </c>
      <c r="I285" t="n">
        <v>0</v>
      </c>
      <c r="J285" t="n">
        <v>0</v>
      </c>
      <c r="K285" t="n">
        <v>0</v>
      </c>
      <c r="L285" t="n">
        <v>0</v>
      </c>
      <c r="M285" t="n">
        <v>0</v>
      </c>
      <c r="N285" t="n">
        <v>0</v>
      </c>
      <c r="O285" t="n">
        <v>0</v>
      </c>
      <c r="P285" t="n">
        <v>0</v>
      </c>
      <c r="Q285" t="n">
        <v>0</v>
      </c>
      <c r="R285" s="2" t="inlineStr"/>
    </row>
    <row r="286" ht="15" customHeight="1">
      <c r="A286" t="inlineStr">
        <is>
          <t>A 36459-2022</t>
        </is>
      </c>
      <c r="B286" s="1" t="n">
        <v>44804</v>
      </c>
      <c r="C286" s="1" t="n">
        <v>45732</v>
      </c>
      <c r="D286" t="inlineStr">
        <is>
          <t>NORRBOTTENS LÄN</t>
        </is>
      </c>
      <c r="E286" t="inlineStr">
        <is>
          <t>ARVIDSJAUR</t>
        </is>
      </c>
      <c r="G286" t="n">
        <v>3.5</v>
      </c>
      <c r="H286" t="n">
        <v>0</v>
      </c>
      <c r="I286" t="n">
        <v>0</v>
      </c>
      <c r="J286" t="n">
        <v>0</v>
      </c>
      <c r="K286" t="n">
        <v>0</v>
      </c>
      <c r="L286" t="n">
        <v>0</v>
      </c>
      <c r="M286" t="n">
        <v>0</v>
      </c>
      <c r="N286" t="n">
        <v>0</v>
      </c>
      <c r="O286" t="n">
        <v>0</v>
      </c>
      <c r="P286" t="n">
        <v>0</v>
      </c>
      <c r="Q286" t="n">
        <v>0</v>
      </c>
      <c r="R286" s="2" t="inlineStr"/>
    </row>
    <row r="287" ht="15" customHeight="1">
      <c r="A287" t="inlineStr">
        <is>
          <t>A 36414-2022</t>
        </is>
      </c>
      <c r="B287" s="1" t="n">
        <v>44804</v>
      </c>
      <c r="C287" s="1" t="n">
        <v>45732</v>
      </c>
      <c r="D287" t="inlineStr">
        <is>
          <t>NORRBOTTENS LÄN</t>
        </is>
      </c>
      <c r="E287" t="inlineStr">
        <is>
          <t>ARVIDSJAUR</t>
        </is>
      </c>
      <c r="G287" t="n">
        <v>3.4</v>
      </c>
      <c r="H287" t="n">
        <v>0</v>
      </c>
      <c r="I287" t="n">
        <v>0</v>
      </c>
      <c r="J287" t="n">
        <v>0</v>
      </c>
      <c r="K287" t="n">
        <v>0</v>
      </c>
      <c r="L287" t="n">
        <v>0</v>
      </c>
      <c r="M287" t="n">
        <v>0</v>
      </c>
      <c r="N287" t="n">
        <v>0</v>
      </c>
      <c r="O287" t="n">
        <v>0</v>
      </c>
      <c r="P287" t="n">
        <v>0</v>
      </c>
      <c r="Q287" t="n">
        <v>0</v>
      </c>
      <c r="R287" s="2" t="inlineStr"/>
    </row>
    <row r="288" ht="15" customHeight="1">
      <c r="A288" t="inlineStr">
        <is>
          <t>A 36483-2022</t>
        </is>
      </c>
      <c r="B288" s="1" t="n">
        <v>44804</v>
      </c>
      <c r="C288" s="1" t="n">
        <v>45732</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37111-2022</t>
        </is>
      </c>
      <c r="B289" s="1" t="n">
        <v>44806</v>
      </c>
      <c r="C289" s="1" t="n">
        <v>45732</v>
      </c>
      <c r="D289" t="inlineStr">
        <is>
          <t>NORRBOTTENS LÄN</t>
        </is>
      </c>
      <c r="E289" t="inlineStr">
        <is>
          <t>ARVIDSJAUR</t>
        </is>
      </c>
      <c r="F289" t="inlineStr">
        <is>
          <t>Sveaskog</t>
        </is>
      </c>
      <c r="G289" t="n">
        <v>15.7</v>
      </c>
      <c r="H289" t="n">
        <v>0</v>
      </c>
      <c r="I289" t="n">
        <v>0</v>
      </c>
      <c r="J289" t="n">
        <v>0</v>
      </c>
      <c r="K289" t="n">
        <v>0</v>
      </c>
      <c r="L289" t="n">
        <v>0</v>
      </c>
      <c r="M289" t="n">
        <v>0</v>
      </c>
      <c r="N289" t="n">
        <v>0</v>
      </c>
      <c r="O289" t="n">
        <v>0</v>
      </c>
      <c r="P289" t="n">
        <v>0</v>
      </c>
      <c r="Q289" t="n">
        <v>0</v>
      </c>
      <c r="R289" s="2" t="inlineStr"/>
    </row>
    <row r="290" ht="15" customHeight="1">
      <c r="A290" t="inlineStr">
        <is>
          <t>A 37119-2022</t>
        </is>
      </c>
      <c r="B290" s="1" t="n">
        <v>44806</v>
      </c>
      <c r="C290" s="1" t="n">
        <v>45732</v>
      </c>
      <c r="D290" t="inlineStr">
        <is>
          <t>NORRBOTTENS LÄN</t>
        </is>
      </c>
      <c r="E290" t="inlineStr">
        <is>
          <t>ARVIDSJAUR</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37125-2022</t>
        </is>
      </c>
      <c r="B291" s="1" t="n">
        <v>44806</v>
      </c>
      <c r="C291" s="1" t="n">
        <v>45732</v>
      </c>
      <c r="D291" t="inlineStr">
        <is>
          <t>NORRBOTTENS LÄN</t>
        </is>
      </c>
      <c r="E291" t="inlineStr">
        <is>
          <t>ARVIDSJAUR</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38183-2022</t>
        </is>
      </c>
      <c r="B292" s="1" t="n">
        <v>44812</v>
      </c>
      <c r="C292" s="1" t="n">
        <v>45732</v>
      </c>
      <c r="D292" t="inlineStr">
        <is>
          <t>NORRBOTTENS LÄN</t>
        </is>
      </c>
      <c r="E292" t="inlineStr">
        <is>
          <t>ARVIDSJAUR</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38360-2022</t>
        </is>
      </c>
      <c r="B293" s="1" t="n">
        <v>44812</v>
      </c>
      <c r="C293" s="1" t="n">
        <v>45732</v>
      </c>
      <c r="D293" t="inlineStr">
        <is>
          <t>NORRBOTTENS LÄN</t>
        </is>
      </c>
      <c r="E293" t="inlineStr">
        <is>
          <t>ARVIDSJAUR</t>
        </is>
      </c>
      <c r="F293" t="inlineStr">
        <is>
          <t>Sveaskog</t>
        </is>
      </c>
      <c r="G293" t="n">
        <v>21.2</v>
      </c>
      <c r="H293" t="n">
        <v>0</v>
      </c>
      <c r="I293" t="n">
        <v>0</v>
      </c>
      <c r="J293" t="n">
        <v>0</v>
      </c>
      <c r="K293" t="n">
        <v>0</v>
      </c>
      <c r="L293" t="n">
        <v>0</v>
      </c>
      <c r="M293" t="n">
        <v>0</v>
      </c>
      <c r="N293" t="n">
        <v>0</v>
      </c>
      <c r="O293" t="n">
        <v>0</v>
      </c>
      <c r="P293" t="n">
        <v>0</v>
      </c>
      <c r="Q293" t="n">
        <v>0</v>
      </c>
      <c r="R293" s="2" t="inlineStr"/>
    </row>
    <row r="294" ht="15" customHeight="1">
      <c r="A294" t="inlineStr">
        <is>
          <t>A 39501-2022</t>
        </is>
      </c>
      <c r="B294" s="1" t="n">
        <v>44817</v>
      </c>
      <c r="C294" s="1" t="n">
        <v>45732</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39619-2022</t>
        </is>
      </c>
      <c r="B295" s="1" t="n">
        <v>44818</v>
      </c>
      <c r="C295" s="1" t="n">
        <v>45732</v>
      </c>
      <c r="D295" t="inlineStr">
        <is>
          <t>NORRBOTTENS LÄN</t>
        </is>
      </c>
      <c r="E295" t="inlineStr">
        <is>
          <t>ARVIDSJAUR</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40080-2022</t>
        </is>
      </c>
      <c r="B296" s="1" t="n">
        <v>44818</v>
      </c>
      <c r="C296" s="1" t="n">
        <v>45732</v>
      </c>
      <c r="D296" t="inlineStr">
        <is>
          <t>NORRBOTTENS LÄN</t>
        </is>
      </c>
      <c r="E296" t="inlineStr">
        <is>
          <t>ARVIDSJAUR</t>
        </is>
      </c>
      <c r="G296" t="n">
        <v>1.7</v>
      </c>
      <c r="H296" t="n">
        <v>0</v>
      </c>
      <c r="I296" t="n">
        <v>0</v>
      </c>
      <c r="J296" t="n">
        <v>0</v>
      </c>
      <c r="K296" t="n">
        <v>0</v>
      </c>
      <c r="L296" t="n">
        <v>0</v>
      </c>
      <c r="M296" t="n">
        <v>0</v>
      </c>
      <c r="N296" t="n">
        <v>0</v>
      </c>
      <c r="O296" t="n">
        <v>0</v>
      </c>
      <c r="P296" t="n">
        <v>0</v>
      </c>
      <c r="Q296" t="n">
        <v>0</v>
      </c>
      <c r="R296" s="2" t="inlineStr"/>
    </row>
    <row r="297" ht="15" customHeight="1">
      <c r="A297" t="inlineStr">
        <is>
          <t>A 39759-2022</t>
        </is>
      </c>
      <c r="B297" s="1" t="n">
        <v>44819</v>
      </c>
      <c r="C297" s="1" t="n">
        <v>45732</v>
      </c>
      <c r="D297" t="inlineStr">
        <is>
          <t>NORRBOTTENS LÄN</t>
        </is>
      </c>
      <c r="E297" t="inlineStr">
        <is>
          <t>ARVIDSJAUR</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39775-2022</t>
        </is>
      </c>
      <c r="B298" s="1" t="n">
        <v>44819</v>
      </c>
      <c r="C298" s="1" t="n">
        <v>45732</v>
      </c>
      <c r="D298" t="inlineStr">
        <is>
          <t>NORRBOTTENS LÄN</t>
        </is>
      </c>
      <c r="E298" t="inlineStr">
        <is>
          <t>ARVIDSJAUR</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39760-2022</t>
        </is>
      </c>
      <c r="B299" s="1" t="n">
        <v>44819</v>
      </c>
      <c r="C299" s="1" t="n">
        <v>45732</v>
      </c>
      <c r="D299" t="inlineStr">
        <is>
          <t>NORRBOTTENS LÄN</t>
        </is>
      </c>
      <c r="E299" t="inlineStr">
        <is>
          <t>ARVIDSJAUR</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40500-2022</t>
        </is>
      </c>
      <c r="B300" s="1" t="n">
        <v>44819</v>
      </c>
      <c r="C300" s="1" t="n">
        <v>45732</v>
      </c>
      <c r="D300" t="inlineStr">
        <is>
          <t>NORRBOTTENS LÄN</t>
        </is>
      </c>
      <c r="E300" t="inlineStr">
        <is>
          <t>ARVIDSJAUR</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40756-2022</t>
        </is>
      </c>
      <c r="B301" s="1" t="n">
        <v>44824</v>
      </c>
      <c r="C301" s="1" t="n">
        <v>45732</v>
      </c>
      <c r="D301" t="inlineStr">
        <is>
          <t>NORRBOTTENS LÄN</t>
        </is>
      </c>
      <c r="E301" t="inlineStr">
        <is>
          <t>ARVIDSJAUR</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41235-2022</t>
        </is>
      </c>
      <c r="B302" s="1" t="n">
        <v>44825</v>
      </c>
      <c r="C302" s="1" t="n">
        <v>45732</v>
      </c>
      <c r="D302" t="inlineStr">
        <is>
          <t>NORRBOTTENS LÄN</t>
        </is>
      </c>
      <c r="E302" t="inlineStr">
        <is>
          <t>ARVIDSJAUR</t>
        </is>
      </c>
      <c r="G302" t="n">
        <v>0.8</v>
      </c>
      <c r="H302" t="n">
        <v>0</v>
      </c>
      <c r="I302" t="n">
        <v>0</v>
      </c>
      <c r="J302" t="n">
        <v>0</v>
      </c>
      <c r="K302" t="n">
        <v>0</v>
      </c>
      <c r="L302" t="n">
        <v>0</v>
      </c>
      <c r="M302" t="n">
        <v>0</v>
      </c>
      <c r="N302" t="n">
        <v>0</v>
      </c>
      <c r="O302" t="n">
        <v>0</v>
      </c>
      <c r="P302" t="n">
        <v>0</v>
      </c>
      <c r="Q302" t="n">
        <v>0</v>
      </c>
      <c r="R302" s="2" t="inlineStr"/>
    </row>
    <row r="303" ht="15" customHeight="1">
      <c r="A303" t="inlineStr">
        <is>
          <t>A 41763-2022</t>
        </is>
      </c>
      <c r="B303" s="1" t="n">
        <v>44827</v>
      </c>
      <c r="C303" s="1" t="n">
        <v>45732</v>
      </c>
      <c r="D303" t="inlineStr">
        <is>
          <t>NORRBOTTENS LÄN</t>
        </is>
      </c>
      <c r="E303" t="inlineStr">
        <is>
          <t>ARVIDSJAUR</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46067-2022</t>
        </is>
      </c>
      <c r="B304" s="1" t="n">
        <v>44845</v>
      </c>
      <c r="C304" s="1" t="n">
        <v>45732</v>
      </c>
      <c r="D304" t="inlineStr">
        <is>
          <t>NORRBOTTENS LÄN</t>
        </is>
      </c>
      <c r="E304" t="inlineStr">
        <is>
          <t>ARVIDSJAUR</t>
        </is>
      </c>
      <c r="G304" t="n">
        <v>0.9</v>
      </c>
      <c r="H304" t="n">
        <v>0</v>
      </c>
      <c r="I304" t="n">
        <v>0</v>
      </c>
      <c r="J304" t="n">
        <v>0</v>
      </c>
      <c r="K304" t="n">
        <v>0</v>
      </c>
      <c r="L304" t="n">
        <v>0</v>
      </c>
      <c r="M304" t="n">
        <v>0</v>
      </c>
      <c r="N304" t="n">
        <v>0</v>
      </c>
      <c r="O304" t="n">
        <v>0</v>
      </c>
      <c r="P304" t="n">
        <v>0</v>
      </c>
      <c r="Q304" t="n">
        <v>0</v>
      </c>
      <c r="R304" s="2" t="inlineStr"/>
    </row>
    <row r="305" ht="15" customHeight="1">
      <c r="A305" t="inlineStr">
        <is>
          <t>A 48048-2022</t>
        </is>
      </c>
      <c r="B305" s="1" t="n">
        <v>44855</v>
      </c>
      <c r="C305" s="1" t="n">
        <v>45732</v>
      </c>
      <c r="D305" t="inlineStr">
        <is>
          <t>NORRBOTTENS LÄN</t>
        </is>
      </c>
      <c r="E305" t="inlineStr">
        <is>
          <t>ARVIDSJAUR</t>
        </is>
      </c>
      <c r="G305" t="n">
        <v>3.2</v>
      </c>
      <c r="H305" t="n">
        <v>0</v>
      </c>
      <c r="I305" t="n">
        <v>0</v>
      </c>
      <c r="J305" t="n">
        <v>0</v>
      </c>
      <c r="K305" t="n">
        <v>0</v>
      </c>
      <c r="L305" t="n">
        <v>0</v>
      </c>
      <c r="M305" t="n">
        <v>0</v>
      </c>
      <c r="N305" t="n">
        <v>0</v>
      </c>
      <c r="O305" t="n">
        <v>0</v>
      </c>
      <c r="P305" t="n">
        <v>0</v>
      </c>
      <c r="Q305" t="n">
        <v>0</v>
      </c>
      <c r="R305" s="2" t="inlineStr"/>
    </row>
    <row r="306" ht="15" customHeight="1">
      <c r="A306" t="inlineStr">
        <is>
          <t>A 49141-2022</t>
        </is>
      </c>
      <c r="B306" s="1" t="n">
        <v>44860</v>
      </c>
      <c r="C306" s="1" t="n">
        <v>45732</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50471-2022</t>
        </is>
      </c>
      <c r="B307" s="1" t="n">
        <v>44861</v>
      </c>
      <c r="C307" s="1" t="n">
        <v>45732</v>
      </c>
      <c r="D307" t="inlineStr">
        <is>
          <t>NORRBOTTENS LÄN</t>
        </is>
      </c>
      <c r="E307" t="inlineStr">
        <is>
          <t>ARVIDSJAUR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50472-2022</t>
        </is>
      </c>
      <c r="B308" s="1" t="n">
        <v>44861</v>
      </c>
      <c r="C308" s="1" t="n">
        <v>45732</v>
      </c>
      <c r="D308" t="inlineStr">
        <is>
          <t>NORRBOTTENS LÄN</t>
        </is>
      </c>
      <c r="E308" t="inlineStr">
        <is>
          <t>ARVIDSJAUR</t>
        </is>
      </c>
      <c r="F308" t="inlineStr">
        <is>
          <t>Allmännings- och besparingsskogar</t>
        </is>
      </c>
      <c r="G308" t="n">
        <v>0.9</v>
      </c>
      <c r="H308" t="n">
        <v>0</v>
      </c>
      <c r="I308" t="n">
        <v>0</v>
      </c>
      <c r="J308" t="n">
        <v>0</v>
      </c>
      <c r="K308" t="n">
        <v>0</v>
      </c>
      <c r="L308" t="n">
        <v>0</v>
      </c>
      <c r="M308" t="n">
        <v>0</v>
      </c>
      <c r="N308" t="n">
        <v>0</v>
      </c>
      <c r="O308" t="n">
        <v>0</v>
      </c>
      <c r="P308" t="n">
        <v>0</v>
      </c>
      <c r="Q308" t="n">
        <v>0</v>
      </c>
      <c r="R308" s="2" t="inlineStr"/>
    </row>
    <row r="309" ht="15" customHeight="1">
      <c r="A309" t="inlineStr">
        <is>
          <t>A 49642-2022</t>
        </is>
      </c>
      <c r="B309" s="1" t="n">
        <v>44862</v>
      </c>
      <c r="C309" s="1" t="n">
        <v>45732</v>
      </c>
      <c r="D309" t="inlineStr">
        <is>
          <t>NORRBOTTENS LÄN</t>
        </is>
      </c>
      <c r="E309" t="inlineStr">
        <is>
          <t>ARVIDSJAUR</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50303-2022</t>
        </is>
      </c>
      <c r="B310" s="1" t="n">
        <v>44865</v>
      </c>
      <c r="C310" s="1" t="n">
        <v>45732</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50575-2022</t>
        </is>
      </c>
      <c r="B311" s="1" t="n">
        <v>44866</v>
      </c>
      <c r="C311" s="1" t="n">
        <v>45732</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50850-2022</t>
        </is>
      </c>
      <c r="B312" s="1" t="n">
        <v>44867</v>
      </c>
      <c r="C312" s="1" t="n">
        <v>45732</v>
      </c>
      <c r="D312" t="inlineStr">
        <is>
          <t>NORRBOTTENS LÄN</t>
        </is>
      </c>
      <c r="E312" t="inlineStr">
        <is>
          <t>ARVIDSJAUR</t>
        </is>
      </c>
      <c r="G312" t="n">
        <v>4.6</v>
      </c>
      <c r="H312" t="n">
        <v>0</v>
      </c>
      <c r="I312" t="n">
        <v>0</v>
      </c>
      <c r="J312" t="n">
        <v>0</v>
      </c>
      <c r="K312" t="n">
        <v>0</v>
      </c>
      <c r="L312" t="n">
        <v>0</v>
      </c>
      <c r="M312" t="n">
        <v>0</v>
      </c>
      <c r="N312" t="n">
        <v>0</v>
      </c>
      <c r="O312" t="n">
        <v>0</v>
      </c>
      <c r="P312" t="n">
        <v>0</v>
      </c>
      <c r="Q312" t="n">
        <v>0</v>
      </c>
      <c r="R312" s="2" t="inlineStr"/>
    </row>
    <row r="313" ht="15" customHeight="1">
      <c r="A313" t="inlineStr">
        <is>
          <t>A 54609-2022</t>
        </is>
      </c>
      <c r="B313" s="1" t="n">
        <v>44883</v>
      </c>
      <c r="C313" s="1" t="n">
        <v>45732</v>
      </c>
      <c r="D313" t="inlineStr">
        <is>
          <t>NORRBOTTENS LÄN</t>
        </is>
      </c>
      <c r="E313" t="inlineStr">
        <is>
          <t>ARVIDSJAUR</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55570-2022</t>
        </is>
      </c>
      <c r="B314" s="1" t="n">
        <v>44883</v>
      </c>
      <c r="C314" s="1" t="n">
        <v>45732</v>
      </c>
      <c r="D314" t="inlineStr">
        <is>
          <t>NORRBOTTENS LÄN</t>
        </is>
      </c>
      <c r="E314" t="inlineStr">
        <is>
          <t>ARVIDSJAUR</t>
        </is>
      </c>
      <c r="G314" t="n">
        <v>5</v>
      </c>
      <c r="H314" t="n">
        <v>0</v>
      </c>
      <c r="I314" t="n">
        <v>0</v>
      </c>
      <c r="J314" t="n">
        <v>0</v>
      </c>
      <c r="K314" t="n">
        <v>0</v>
      </c>
      <c r="L314" t="n">
        <v>0</v>
      </c>
      <c r="M314" t="n">
        <v>0</v>
      </c>
      <c r="N314" t="n">
        <v>0</v>
      </c>
      <c r="O314" t="n">
        <v>0</v>
      </c>
      <c r="P314" t="n">
        <v>0</v>
      </c>
      <c r="Q314" t="n">
        <v>0</v>
      </c>
      <c r="R314" s="2" t="inlineStr"/>
    </row>
    <row r="315" ht="15" customHeight="1">
      <c r="A315" t="inlineStr">
        <is>
          <t>A 55599-2022</t>
        </is>
      </c>
      <c r="B315" s="1" t="n">
        <v>44883</v>
      </c>
      <c r="C315" s="1" t="n">
        <v>45732</v>
      </c>
      <c r="D315" t="inlineStr">
        <is>
          <t>NORRBOTTENS LÄN</t>
        </is>
      </c>
      <c r="E315" t="inlineStr">
        <is>
          <t>ARVIDSJAUR</t>
        </is>
      </c>
      <c r="G315" t="n">
        <v>7</v>
      </c>
      <c r="H315" t="n">
        <v>0</v>
      </c>
      <c r="I315" t="n">
        <v>0</v>
      </c>
      <c r="J315" t="n">
        <v>0</v>
      </c>
      <c r="K315" t="n">
        <v>0</v>
      </c>
      <c r="L315" t="n">
        <v>0</v>
      </c>
      <c r="M315" t="n">
        <v>0</v>
      </c>
      <c r="N315" t="n">
        <v>0</v>
      </c>
      <c r="O315" t="n">
        <v>0</v>
      </c>
      <c r="P315" t="n">
        <v>0</v>
      </c>
      <c r="Q315" t="n">
        <v>0</v>
      </c>
      <c r="R315" s="2" t="inlineStr"/>
    </row>
    <row r="316" ht="15" customHeight="1">
      <c r="A316" t="inlineStr">
        <is>
          <t>A 54866-2022</t>
        </is>
      </c>
      <c r="B316" s="1" t="n">
        <v>44885</v>
      </c>
      <c r="C316" s="1" t="n">
        <v>45732</v>
      </c>
      <c r="D316" t="inlineStr">
        <is>
          <t>NORRBOTTENS LÄN</t>
        </is>
      </c>
      <c r="E316" t="inlineStr">
        <is>
          <t>ARVIDSJAUR</t>
        </is>
      </c>
      <c r="G316" t="n">
        <v>15</v>
      </c>
      <c r="H316" t="n">
        <v>0</v>
      </c>
      <c r="I316" t="n">
        <v>0</v>
      </c>
      <c r="J316" t="n">
        <v>0</v>
      </c>
      <c r="K316" t="n">
        <v>0</v>
      </c>
      <c r="L316" t="n">
        <v>0</v>
      </c>
      <c r="M316" t="n">
        <v>0</v>
      </c>
      <c r="N316" t="n">
        <v>0</v>
      </c>
      <c r="O316" t="n">
        <v>0</v>
      </c>
      <c r="P316" t="n">
        <v>0</v>
      </c>
      <c r="Q316" t="n">
        <v>0</v>
      </c>
      <c r="R316" s="2" t="inlineStr"/>
    </row>
    <row r="317" ht="15" customHeight="1">
      <c r="A317" t="inlineStr">
        <is>
          <t>A 55706-2022</t>
        </is>
      </c>
      <c r="B317" s="1" t="n">
        <v>44888</v>
      </c>
      <c r="C317" s="1" t="n">
        <v>45732</v>
      </c>
      <c r="D317" t="inlineStr">
        <is>
          <t>NORRBOTTENS LÄN</t>
        </is>
      </c>
      <c r="E317" t="inlineStr">
        <is>
          <t>ARVIDSJAUR</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45732</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59086-2022</t>
        </is>
      </c>
      <c r="B319" s="1" t="n">
        <v>44904</v>
      </c>
      <c r="C319" s="1" t="n">
        <v>45732</v>
      </c>
      <c r="D319" t="inlineStr">
        <is>
          <t>NORRBOTTENS LÄN</t>
        </is>
      </c>
      <c r="E319" t="inlineStr">
        <is>
          <t>ARVIDSJAUR</t>
        </is>
      </c>
      <c r="F319" t="inlineStr">
        <is>
          <t>Sveaskog</t>
        </is>
      </c>
      <c r="G319" t="n">
        <v>11.3</v>
      </c>
      <c r="H319" t="n">
        <v>0</v>
      </c>
      <c r="I319" t="n">
        <v>0</v>
      </c>
      <c r="J319" t="n">
        <v>0</v>
      </c>
      <c r="K319" t="n">
        <v>0</v>
      </c>
      <c r="L319" t="n">
        <v>0</v>
      </c>
      <c r="M319" t="n">
        <v>0</v>
      </c>
      <c r="N319" t="n">
        <v>0</v>
      </c>
      <c r="O319" t="n">
        <v>0</v>
      </c>
      <c r="P319" t="n">
        <v>0</v>
      </c>
      <c r="Q319" t="n">
        <v>0</v>
      </c>
      <c r="R319" s="2" t="inlineStr"/>
    </row>
    <row r="320" ht="15" customHeight="1">
      <c r="A320" t="inlineStr">
        <is>
          <t>A 59104-2022</t>
        </is>
      </c>
      <c r="B320" s="1" t="n">
        <v>44904</v>
      </c>
      <c r="C320" s="1" t="n">
        <v>45732</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59325-2022</t>
        </is>
      </c>
      <c r="B321" s="1" t="n">
        <v>44904</v>
      </c>
      <c r="C321" s="1" t="n">
        <v>45732</v>
      </c>
      <c r="D321" t="inlineStr">
        <is>
          <t>NORRBOTTENS LÄN</t>
        </is>
      </c>
      <c r="E321" t="inlineStr">
        <is>
          <t>ARVIDSJAUR</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60038-2022</t>
        </is>
      </c>
      <c r="B322" s="1" t="n">
        <v>44909</v>
      </c>
      <c r="C322" s="1" t="n">
        <v>45732</v>
      </c>
      <c r="D322" t="inlineStr">
        <is>
          <t>NORRBOTTENS LÄN</t>
        </is>
      </c>
      <c r="E322" t="inlineStr">
        <is>
          <t>ARVIDSJAUR</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60374-2022</t>
        </is>
      </c>
      <c r="B323" s="1" t="n">
        <v>44910</v>
      </c>
      <c r="C323" s="1" t="n">
        <v>45732</v>
      </c>
      <c r="D323" t="inlineStr">
        <is>
          <t>NORRBOTTENS LÄN</t>
        </is>
      </c>
      <c r="E323" t="inlineStr">
        <is>
          <t>ARVIDSJAUR</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60516-2022</t>
        </is>
      </c>
      <c r="B324" s="1" t="n">
        <v>44911</v>
      </c>
      <c r="C324" s="1" t="n">
        <v>45732</v>
      </c>
      <c r="D324" t="inlineStr">
        <is>
          <t>NORRBOTTENS LÄN</t>
        </is>
      </c>
      <c r="E324" t="inlineStr">
        <is>
          <t>ARVIDSJAUR</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60466-2022</t>
        </is>
      </c>
      <c r="B325" s="1" t="n">
        <v>44911</v>
      </c>
      <c r="C325" s="1" t="n">
        <v>45732</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60489-2022</t>
        </is>
      </c>
      <c r="B326" s="1" t="n">
        <v>44911</v>
      </c>
      <c r="C326" s="1" t="n">
        <v>45732</v>
      </c>
      <c r="D326" t="inlineStr">
        <is>
          <t>NORRBOTTENS LÄN</t>
        </is>
      </c>
      <c r="E326" t="inlineStr">
        <is>
          <t>ARVIDSJAUR</t>
        </is>
      </c>
      <c r="F326" t="inlineStr">
        <is>
          <t>Sveaskog</t>
        </is>
      </c>
      <c r="G326" t="n">
        <v>4</v>
      </c>
      <c r="H326" t="n">
        <v>0</v>
      </c>
      <c r="I326" t="n">
        <v>0</v>
      </c>
      <c r="J326" t="n">
        <v>0</v>
      </c>
      <c r="K326" t="n">
        <v>0</v>
      </c>
      <c r="L326" t="n">
        <v>0</v>
      </c>
      <c r="M326" t="n">
        <v>0</v>
      </c>
      <c r="N326" t="n">
        <v>0</v>
      </c>
      <c r="O326" t="n">
        <v>0</v>
      </c>
      <c r="P326" t="n">
        <v>0</v>
      </c>
      <c r="Q326" t="n">
        <v>0</v>
      </c>
      <c r="R326" s="2" t="inlineStr"/>
    </row>
    <row r="327" ht="15" customHeight="1">
      <c r="A327" t="inlineStr">
        <is>
          <t>A 61133-2022</t>
        </is>
      </c>
      <c r="B327" s="1" t="n">
        <v>44915</v>
      </c>
      <c r="C327" s="1" t="n">
        <v>45732</v>
      </c>
      <c r="D327" t="inlineStr">
        <is>
          <t>NORRBOTTENS LÄN</t>
        </is>
      </c>
      <c r="E327" t="inlineStr">
        <is>
          <t>ARVIDSJAUR</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61202-2022</t>
        </is>
      </c>
      <c r="B328" s="1" t="n">
        <v>44915</v>
      </c>
      <c r="C328" s="1" t="n">
        <v>45732</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61980-2022</t>
        </is>
      </c>
      <c r="B329" s="1" t="n">
        <v>44918</v>
      </c>
      <c r="C329" s="1" t="n">
        <v>45732</v>
      </c>
      <c r="D329" t="inlineStr">
        <is>
          <t>NORRBOTTENS LÄN</t>
        </is>
      </c>
      <c r="E329" t="inlineStr">
        <is>
          <t>ARVIDSJAUR</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2111-2023</t>
        </is>
      </c>
      <c r="B330" s="1" t="n">
        <v>44939</v>
      </c>
      <c r="C330" s="1" t="n">
        <v>45732</v>
      </c>
      <c r="D330" t="inlineStr">
        <is>
          <t>NORRBOTTENS LÄN</t>
        </is>
      </c>
      <c r="E330" t="inlineStr">
        <is>
          <t>ARVIDSJAUR</t>
        </is>
      </c>
      <c r="G330" t="n">
        <v>6.7</v>
      </c>
      <c r="H330" t="n">
        <v>0</v>
      </c>
      <c r="I330" t="n">
        <v>0</v>
      </c>
      <c r="J330" t="n">
        <v>0</v>
      </c>
      <c r="K330" t="n">
        <v>0</v>
      </c>
      <c r="L330" t="n">
        <v>0</v>
      </c>
      <c r="M330" t="n">
        <v>0</v>
      </c>
      <c r="N330" t="n">
        <v>0</v>
      </c>
      <c r="O330" t="n">
        <v>0</v>
      </c>
      <c r="P330" t="n">
        <v>0</v>
      </c>
      <c r="Q330" t="n">
        <v>0</v>
      </c>
      <c r="R330" s="2" t="inlineStr"/>
    </row>
    <row r="331" ht="15" customHeight="1">
      <c r="A331" t="inlineStr">
        <is>
          <t>A 2113-2023</t>
        </is>
      </c>
      <c r="B331" s="1" t="n">
        <v>44939</v>
      </c>
      <c r="C331" s="1" t="n">
        <v>45732</v>
      </c>
      <c r="D331" t="inlineStr">
        <is>
          <t>NORRBOTTENS LÄN</t>
        </is>
      </c>
      <c r="E331" t="inlineStr">
        <is>
          <t>ARVIDSJAUR</t>
        </is>
      </c>
      <c r="G331" t="n">
        <v>5.9</v>
      </c>
      <c r="H331" t="n">
        <v>0</v>
      </c>
      <c r="I331" t="n">
        <v>0</v>
      </c>
      <c r="J331" t="n">
        <v>0</v>
      </c>
      <c r="K331" t="n">
        <v>0</v>
      </c>
      <c r="L331" t="n">
        <v>0</v>
      </c>
      <c r="M331" t="n">
        <v>0</v>
      </c>
      <c r="N331" t="n">
        <v>0</v>
      </c>
      <c r="O331" t="n">
        <v>0</v>
      </c>
      <c r="P331" t="n">
        <v>0</v>
      </c>
      <c r="Q331" t="n">
        <v>0</v>
      </c>
      <c r="R331" s="2" t="inlineStr"/>
    </row>
    <row r="332" ht="15" customHeight="1">
      <c r="A332" t="inlineStr">
        <is>
          <t>A 2298-2023</t>
        </is>
      </c>
      <c r="B332" s="1" t="n">
        <v>44942</v>
      </c>
      <c r="C332" s="1" t="n">
        <v>45732</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2309-2023</t>
        </is>
      </c>
      <c r="B333" s="1" t="n">
        <v>44942</v>
      </c>
      <c r="C333" s="1" t="n">
        <v>45732</v>
      </c>
      <c r="D333" t="inlineStr">
        <is>
          <t>NORRBOTTENS LÄN</t>
        </is>
      </c>
      <c r="E333" t="inlineStr">
        <is>
          <t>ARVIDSJAUR</t>
        </is>
      </c>
      <c r="G333" t="n">
        <v>0.5</v>
      </c>
      <c r="H333" t="n">
        <v>0</v>
      </c>
      <c r="I333" t="n">
        <v>0</v>
      </c>
      <c r="J333" t="n">
        <v>0</v>
      </c>
      <c r="K333" t="n">
        <v>0</v>
      </c>
      <c r="L333" t="n">
        <v>0</v>
      </c>
      <c r="M333" t="n">
        <v>0</v>
      </c>
      <c r="N333" t="n">
        <v>0</v>
      </c>
      <c r="O333" t="n">
        <v>0</v>
      </c>
      <c r="P333" t="n">
        <v>0</v>
      </c>
      <c r="Q333" t="n">
        <v>0</v>
      </c>
      <c r="R333" s="2" t="inlineStr"/>
    </row>
    <row r="334" ht="15" customHeight="1">
      <c r="A334" t="inlineStr">
        <is>
          <t>A 2323-2023</t>
        </is>
      </c>
      <c r="B334" s="1" t="n">
        <v>44942</v>
      </c>
      <c r="C334" s="1" t="n">
        <v>45732</v>
      </c>
      <c r="D334" t="inlineStr">
        <is>
          <t>NORRBOTTENS LÄN</t>
        </is>
      </c>
      <c r="E334" t="inlineStr">
        <is>
          <t>ARVIDSJAUR</t>
        </is>
      </c>
      <c r="G334" t="n">
        <v>5.5</v>
      </c>
      <c r="H334" t="n">
        <v>0</v>
      </c>
      <c r="I334" t="n">
        <v>0</v>
      </c>
      <c r="J334" t="n">
        <v>0</v>
      </c>
      <c r="K334" t="n">
        <v>0</v>
      </c>
      <c r="L334" t="n">
        <v>0</v>
      </c>
      <c r="M334" t="n">
        <v>0</v>
      </c>
      <c r="N334" t="n">
        <v>0</v>
      </c>
      <c r="O334" t="n">
        <v>0</v>
      </c>
      <c r="P334" t="n">
        <v>0</v>
      </c>
      <c r="Q334" t="n">
        <v>0</v>
      </c>
      <c r="R334" s="2" t="inlineStr"/>
    </row>
    <row r="335" ht="15" customHeight="1">
      <c r="A335" t="inlineStr">
        <is>
          <t>A 2778-2023</t>
        </is>
      </c>
      <c r="B335" s="1" t="n">
        <v>44944</v>
      </c>
      <c r="C335" s="1" t="n">
        <v>45732</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3241-2023</t>
        </is>
      </c>
      <c r="B336" s="1" t="n">
        <v>44946</v>
      </c>
      <c r="C336" s="1" t="n">
        <v>45732</v>
      </c>
      <c r="D336" t="inlineStr">
        <is>
          <t>NORRBOTTENS LÄN</t>
        </is>
      </c>
      <c r="E336" t="inlineStr">
        <is>
          <t>ARVIDSJAUR</t>
        </is>
      </c>
      <c r="G336" t="n">
        <v>1</v>
      </c>
      <c r="H336" t="n">
        <v>0</v>
      </c>
      <c r="I336" t="n">
        <v>0</v>
      </c>
      <c r="J336" t="n">
        <v>0</v>
      </c>
      <c r="K336" t="n">
        <v>0</v>
      </c>
      <c r="L336" t="n">
        <v>0</v>
      </c>
      <c r="M336" t="n">
        <v>0</v>
      </c>
      <c r="N336" t="n">
        <v>0</v>
      </c>
      <c r="O336" t="n">
        <v>0</v>
      </c>
      <c r="P336" t="n">
        <v>0</v>
      </c>
      <c r="Q336" t="n">
        <v>0</v>
      </c>
      <c r="R336" s="2" t="inlineStr"/>
    </row>
    <row r="337" ht="15" customHeight="1">
      <c r="A337" t="inlineStr">
        <is>
          <t>A 4732-2023</t>
        </is>
      </c>
      <c r="B337" s="1" t="n">
        <v>44957</v>
      </c>
      <c r="C337" s="1" t="n">
        <v>45732</v>
      </c>
      <c r="D337" t="inlineStr">
        <is>
          <t>NORRBOTTENS LÄN</t>
        </is>
      </c>
      <c r="E337" t="inlineStr">
        <is>
          <t>ARVIDSJAUR</t>
        </is>
      </c>
      <c r="G337" t="n">
        <v>2.2</v>
      </c>
      <c r="H337" t="n">
        <v>0</v>
      </c>
      <c r="I337" t="n">
        <v>0</v>
      </c>
      <c r="J337" t="n">
        <v>0</v>
      </c>
      <c r="K337" t="n">
        <v>0</v>
      </c>
      <c r="L337" t="n">
        <v>0</v>
      </c>
      <c r="M337" t="n">
        <v>0</v>
      </c>
      <c r="N337" t="n">
        <v>0</v>
      </c>
      <c r="O337" t="n">
        <v>0</v>
      </c>
      <c r="P337" t="n">
        <v>0</v>
      </c>
      <c r="Q337" t="n">
        <v>0</v>
      </c>
      <c r="R337" s="2" t="inlineStr"/>
    </row>
    <row r="338" ht="15" customHeight="1">
      <c r="A338" t="inlineStr">
        <is>
          <t>A 4729-2023</t>
        </is>
      </c>
      <c r="B338" s="1" t="n">
        <v>44957</v>
      </c>
      <c r="C338" s="1" t="n">
        <v>45732</v>
      </c>
      <c r="D338" t="inlineStr">
        <is>
          <t>NORRBOTTENS LÄN</t>
        </is>
      </c>
      <c r="E338" t="inlineStr">
        <is>
          <t>ARVIDSJAUR</t>
        </is>
      </c>
      <c r="G338" t="n">
        <v>3.5</v>
      </c>
      <c r="H338" t="n">
        <v>0</v>
      </c>
      <c r="I338" t="n">
        <v>0</v>
      </c>
      <c r="J338" t="n">
        <v>0</v>
      </c>
      <c r="K338" t="n">
        <v>0</v>
      </c>
      <c r="L338" t="n">
        <v>0</v>
      </c>
      <c r="M338" t="n">
        <v>0</v>
      </c>
      <c r="N338" t="n">
        <v>0</v>
      </c>
      <c r="O338" t="n">
        <v>0</v>
      </c>
      <c r="P338" t="n">
        <v>0</v>
      </c>
      <c r="Q338" t="n">
        <v>0</v>
      </c>
      <c r="R338" s="2" t="inlineStr"/>
    </row>
    <row r="339" ht="15" customHeight="1">
      <c r="A339" t="inlineStr">
        <is>
          <t>A 8626-2023</t>
        </is>
      </c>
      <c r="B339" s="1" t="n">
        <v>44977</v>
      </c>
      <c r="C339" s="1" t="n">
        <v>45732</v>
      </c>
      <c r="D339" t="inlineStr">
        <is>
          <t>NORRBOTTENS LÄN</t>
        </is>
      </c>
      <c r="E339" t="inlineStr">
        <is>
          <t>ARVIDSJAUR</t>
        </is>
      </c>
      <c r="G339" t="n">
        <v>3.4</v>
      </c>
      <c r="H339" t="n">
        <v>0</v>
      </c>
      <c r="I339" t="n">
        <v>0</v>
      </c>
      <c r="J339" t="n">
        <v>0</v>
      </c>
      <c r="K339" t="n">
        <v>0</v>
      </c>
      <c r="L339" t="n">
        <v>0</v>
      </c>
      <c r="M339" t="n">
        <v>0</v>
      </c>
      <c r="N339" t="n">
        <v>0</v>
      </c>
      <c r="O339" t="n">
        <v>0</v>
      </c>
      <c r="P339" t="n">
        <v>0</v>
      </c>
      <c r="Q339" t="n">
        <v>0</v>
      </c>
      <c r="R339" s="2" t="inlineStr"/>
    </row>
    <row r="340" ht="15" customHeight="1">
      <c r="A340" t="inlineStr">
        <is>
          <t>A 8635-2023</t>
        </is>
      </c>
      <c r="B340" s="1" t="n">
        <v>44977</v>
      </c>
      <c r="C340" s="1" t="n">
        <v>45732</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10009-2023</t>
        </is>
      </c>
      <c r="B341" s="1" t="n">
        <v>44979</v>
      </c>
      <c r="C341" s="1" t="n">
        <v>45732</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10022-2023</t>
        </is>
      </c>
      <c r="B342" s="1" t="n">
        <v>44979</v>
      </c>
      <c r="C342" s="1" t="n">
        <v>45732</v>
      </c>
      <c r="D342" t="inlineStr">
        <is>
          <t>NORRBOTTENS LÄN</t>
        </is>
      </c>
      <c r="E342" t="inlineStr">
        <is>
          <t>ARVIDSJAUR</t>
        </is>
      </c>
      <c r="G342" t="n">
        <v>5.6</v>
      </c>
      <c r="H342" t="n">
        <v>0</v>
      </c>
      <c r="I342" t="n">
        <v>0</v>
      </c>
      <c r="J342" t="n">
        <v>0</v>
      </c>
      <c r="K342" t="n">
        <v>0</v>
      </c>
      <c r="L342" t="n">
        <v>0</v>
      </c>
      <c r="M342" t="n">
        <v>0</v>
      </c>
      <c r="N342" t="n">
        <v>0</v>
      </c>
      <c r="O342" t="n">
        <v>0</v>
      </c>
      <c r="P342" t="n">
        <v>0</v>
      </c>
      <c r="Q342" t="n">
        <v>0</v>
      </c>
      <c r="R342" s="2" t="inlineStr"/>
    </row>
    <row r="343" ht="15" customHeight="1">
      <c r="A343" t="inlineStr">
        <is>
          <t>A 9996-2023</t>
        </is>
      </c>
      <c r="B343" s="1" t="n">
        <v>44979</v>
      </c>
      <c r="C343" s="1" t="n">
        <v>45732</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9928-2023</t>
        </is>
      </c>
      <c r="B344" s="1" t="n">
        <v>44985</v>
      </c>
      <c r="C344" s="1" t="n">
        <v>45732</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10859-2023</t>
        </is>
      </c>
      <c r="B345" s="1" t="n">
        <v>44985</v>
      </c>
      <c r="C345" s="1" t="n">
        <v>45732</v>
      </c>
      <c r="D345" t="inlineStr">
        <is>
          <t>NORRBOTTENS LÄN</t>
        </is>
      </c>
      <c r="E345" t="inlineStr">
        <is>
          <t>ARVIDSJAUR</t>
        </is>
      </c>
      <c r="G345" t="n">
        <v>9</v>
      </c>
      <c r="H345" t="n">
        <v>0</v>
      </c>
      <c r="I345" t="n">
        <v>0</v>
      </c>
      <c r="J345" t="n">
        <v>0</v>
      </c>
      <c r="K345" t="n">
        <v>0</v>
      </c>
      <c r="L345" t="n">
        <v>0</v>
      </c>
      <c r="M345" t="n">
        <v>0</v>
      </c>
      <c r="N345" t="n">
        <v>0</v>
      </c>
      <c r="O345" t="n">
        <v>0</v>
      </c>
      <c r="P345" t="n">
        <v>0</v>
      </c>
      <c r="Q345" t="n">
        <v>0</v>
      </c>
      <c r="R345" s="2" t="inlineStr"/>
    </row>
    <row r="346" ht="15" customHeight="1">
      <c r="A346" t="inlineStr">
        <is>
          <t>A 10664-2023</t>
        </is>
      </c>
      <c r="B346" s="1" t="n">
        <v>44988</v>
      </c>
      <c r="C346" s="1" t="n">
        <v>45732</v>
      </c>
      <c r="D346" t="inlineStr">
        <is>
          <t>NORRBOTTENS LÄN</t>
        </is>
      </c>
      <c r="E346" t="inlineStr">
        <is>
          <t>ARVIDSJAUR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11292-2023</t>
        </is>
      </c>
      <c r="B347" s="1" t="n">
        <v>44992</v>
      </c>
      <c r="C347" s="1" t="n">
        <v>45732</v>
      </c>
      <c r="D347" t="inlineStr">
        <is>
          <t>NORRBOTTENS LÄN</t>
        </is>
      </c>
      <c r="E347" t="inlineStr">
        <is>
          <t>ARVIDSJAUR</t>
        </is>
      </c>
      <c r="G347" t="n">
        <v>7.3</v>
      </c>
      <c r="H347" t="n">
        <v>0</v>
      </c>
      <c r="I347" t="n">
        <v>0</v>
      </c>
      <c r="J347" t="n">
        <v>0</v>
      </c>
      <c r="K347" t="n">
        <v>0</v>
      </c>
      <c r="L347" t="n">
        <v>0</v>
      </c>
      <c r="M347" t="n">
        <v>0</v>
      </c>
      <c r="N347" t="n">
        <v>0</v>
      </c>
      <c r="O347" t="n">
        <v>0</v>
      </c>
      <c r="P347" t="n">
        <v>0</v>
      </c>
      <c r="Q347" t="n">
        <v>0</v>
      </c>
      <c r="R347" s="2" t="inlineStr"/>
    </row>
    <row r="348" ht="15" customHeight="1">
      <c r="A348" t="inlineStr">
        <is>
          <t>A 12794-2023</t>
        </is>
      </c>
      <c r="B348" s="1" t="n">
        <v>45001</v>
      </c>
      <c r="C348" s="1" t="n">
        <v>45732</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13395-2023</t>
        </is>
      </c>
      <c r="B349" s="1" t="n">
        <v>45005</v>
      </c>
      <c r="C349" s="1" t="n">
        <v>45732</v>
      </c>
      <c r="D349" t="inlineStr">
        <is>
          <t>NORRBOTTENS LÄN</t>
        </is>
      </c>
      <c r="E349" t="inlineStr">
        <is>
          <t>ARVIDSJAUR</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14613-2023</t>
        </is>
      </c>
      <c r="B350" s="1" t="n">
        <v>45013</v>
      </c>
      <c r="C350" s="1" t="n">
        <v>45732</v>
      </c>
      <c r="D350" t="inlineStr">
        <is>
          <t>NORRBOTTENS LÄN</t>
        </is>
      </c>
      <c r="E350" t="inlineStr">
        <is>
          <t>ARVIDSJAUR</t>
        </is>
      </c>
      <c r="G350" t="n">
        <v>4.5</v>
      </c>
      <c r="H350" t="n">
        <v>0</v>
      </c>
      <c r="I350" t="n">
        <v>0</v>
      </c>
      <c r="J350" t="n">
        <v>0</v>
      </c>
      <c r="K350" t="n">
        <v>0</v>
      </c>
      <c r="L350" t="n">
        <v>0</v>
      </c>
      <c r="M350" t="n">
        <v>0</v>
      </c>
      <c r="N350" t="n">
        <v>0</v>
      </c>
      <c r="O350" t="n">
        <v>0</v>
      </c>
      <c r="P350" t="n">
        <v>0</v>
      </c>
      <c r="Q350" t="n">
        <v>0</v>
      </c>
      <c r="R350" s="2" t="inlineStr"/>
    </row>
    <row r="351" ht="15" customHeight="1">
      <c r="A351" t="inlineStr">
        <is>
          <t>A 15475-2023</t>
        </is>
      </c>
      <c r="B351" s="1" t="n">
        <v>45020</v>
      </c>
      <c r="C351" s="1" t="n">
        <v>45732</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17771-2023</t>
        </is>
      </c>
      <c r="B352" s="1" t="n">
        <v>45036</v>
      </c>
      <c r="C352" s="1" t="n">
        <v>45732</v>
      </c>
      <c r="D352" t="inlineStr">
        <is>
          <t>NORRBOTTENS LÄN</t>
        </is>
      </c>
      <c r="E352" t="inlineStr">
        <is>
          <t>ARVIDSJAUR</t>
        </is>
      </c>
      <c r="G352" t="n">
        <v>5.6</v>
      </c>
      <c r="H352" t="n">
        <v>0</v>
      </c>
      <c r="I352" t="n">
        <v>0</v>
      </c>
      <c r="J352" t="n">
        <v>0</v>
      </c>
      <c r="K352" t="n">
        <v>0</v>
      </c>
      <c r="L352" t="n">
        <v>0</v>
      </c>
      <c r="M352" t="n">
        <v>0</v>
      </c>
      <c r="N352" t="n">
        <v>0</v>
      </c>
      <c r="O352" t="n">
        <v>0</v>
      </c>
      <c r="P352" t="n">
        <v>0</v>
      </c>
      <c r="Q352" t="n">
        <v>0</v>
      </c>
      <c r="R352" s="2" t="inlineStr"/>
    </row>
    <row r="353" ht="15" customHeight="1">
      <c r="A353" t="inlineStr">
        <is>
          <t>A 18935-2023</t>
        </is>
      </c>
      <c r="B353" s="1" t="n">
        <v>45044</v>
      </c>
      <c r="C353" s="1" t="n">
        <v>45732</v>
      </c>
      <c r="D353" t="inlineStr">
        <is>
          <t>NORRBOTTENS LÄN</t>
        </is>
      </c>
      <c r="E353" t="inlineStr">
        <is>
          <t>ARVIDSJAUR</t>
        </is>
      </c>
      <c r="F353" t="inlineStr">
        <is>
          <t>Sveaskog</t>
        </is>
      </c>
      <c r="G353" t="n">
        <v>7.5</v>
      </c>
      <c r="H353" t="n">
        <v>0</v>
      </c>
      <c r="I353" t="n">
        <v>0</v>
      </c>
      <c r="J353" t="n">
        <v>0</v>
      </c>
      <c r="K353" t="n">
        <v>0</v>
      </c>
      <c r="L353" t="n">
        <v>0</v>
      </c>
      <c r="M353" t="n">
        <v>0</v>
      </c>
      <c r="N353" t="n">
        <v>0</v>
      </c>
      <c r="O353" t="n">
        <v>0</v>
      </c>
      <c r="P353" t="n">
        <v>0</v>
      </c>
      <c r="Q353" t="n">
        <v>0</v>
      </c>
      <c r="R353" s="2" t="inlineStr"/>
    </row>
    <row r="354" ht="15" customHeight="1">
      <c r="A354" t="inlineStr">
        <is>
          <t>A 18934-2023</t>
        </is>
      </c>
      <c r="B354" s="1" t="n">
        <v>45044</v>
      </c>
      <c r="C354" s="1" t="n">
        <v>45732</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19537-2023</t>
        </is>
      </c>
      <c r="B355" s="1" t="n">
        <v>45050</v>
      </c>
      <c r="C355" s="1" t="n">
        <v>45732</v>
      </c>
      <c r="D355" t="inlineStr">
        <is>
          <t>NORRBOTTENS LÄN</t>
        </is>
      </c>
      <c r="E355" t="inlineStr">
        <is>
          <t>ARVIDSJAUR</t>
        </is>
      </c>
      <c r="G355" t="n">
        <v>17.3</v>
      </c>
      <c r="H355" t="n">
        <v>0</v>
      </c>
      <c r="I355" t="n">
        <v>0</v>
      </c>
      <c r="J355" t="n">
        <v>0</v>
      </c>
      <c r="K355" t="n">
        <v>0</v>
      </c>
      <c r="L355" t="n">
        <v>0</v>
      </c>
      <c r="M355" t="n">
        <v>0</v>
      </c>
      <c r="N355" t="n">
        <v>0</v>
      </c>
      <c r="O355" t="n">
        <v>0</v>
      </c>
      <c r="P355" t="n">
        <v>0</v>
      </c>
      <c r="Q355" t="n">
        <v>0</v>
      </c>
      <c r="R355" s="2" t="inlineStr"/>
    </row>
    <row r="356" ht="15" customHeight="1">
      <c r="A356" t="inlineStr">
        <is>
          <t>A 20675-2023</t>
        </is>
      </c>
      <c r="B356" s="1" t="n">
        <v>45055</v>
      </c>
      <c r="C356" s="1" t="n">
        <v>45732</v>
      </c>
      <c r="D356" t="inlineStr">
        <is>
          <t>NORRBOTTENS LÄN</t>
        </is>
      </c>
      <c r="E356" t="inlineStr">
        <is>
          <t>ARVIDSJAUR</t>
        </is>
      </c>
      <c r="F356" t="inlineStr">
        <is>
          <t>Allmännings- och besparingsskogar</t>
        </is>
      </c>
      <c r="G356" t="n">
        <v>20</v>
      </c>
      <c r="H356" t="n">
        <v>0</v>
      </c>
      <c r="I356" t="n">
        <v>0</v>
      </c>
      <c r="J356" t="n">
        <v>0</v>
      </c>
      <c r="K356" t="n">
        <v>0</v>
      </c>
      <c r="L356" t="n">
        <v>0</v>
      </c>
      <c r="M356" t="n">
        <v>0</v>
      </c>
      <c r="N356" t="n">
        <v>0</v>
      </c>
      <c r="O356" t="n">
        <v>0</v>
      </c>
      <c r="P356" t="n">
        <v>0</v>
      </c>
      <c r="Q356" t="n">
        <v>0</v>
      </c>
      <c r="R356" s="2" t="inlineStr"/>
    </row>
    <row r="357" ht="15" customHeight="1">
      <c r="A357" t="inlineStr">
        <is>
          <t>A 20691-2023</t>
        </is>
      </c>
      <c r="B357" s="1" t="n">
        <v>45055</v>
      </c>
      <c r="C357" s="1" t="n">
        <v>45732</v>
      </c>
      <c r="D357" t="inlineStr">
        <is>
          <t>NORRBOTTENS LÄN</t>
        </is>
      </c>
      <c r="E357" t="inlineStr">
        <is>
          <t>ARVIDSJAUR</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20684-2023</t>
        </is>
      </c>
      <c r="B358" s="1" t="n">
        <v>45055</v>
      </c>
      <c r="C358" s="1" t="n">
        <v>45732</v>
      </c>
      <c r="D358" t="inlineStr">
        <is>
          <t>NORRBOTTENS LÄN</t>
        </is>
      </c>
      <c r="E358" t="inlineStr">
        <is>
          <t>ARVIDSJAUR</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20698-2023</t>
        </is>
      </c>
      <c r="B359" s="1" t="n">
        <v>45055</v>
      </c>
      <c r="C359" s="1" t="n">
        <v>45732</v>
      </c>
      <c r="D359" t="inlineStr">
        <is>
          <t>NORRBOTTENS LÄN</t>
        </is>
      </c>
      <c r="E359" t="inlineStr">
        <is>
          <t>ARVIDSJAUR</t>
        </is>
      </c>
      <c r="F359" t="inlineStr">
        <is>
          <t>Allmännings- och besparingsskogar</t>
        </is>
      </c>
      <c r="G359" t="n">
        <v>7.6</v>
      </c>
      <c r="H359" t="n">
        <v>0</v>
      </c>
      <c r="I359" t="n">
        <v>0</v>
      </c>
      <c r="J359" t="n">
        <v>0</v>
      </c>
      <c r="K359" t="n">
        <v>0</v>
      </c>
      <c r="L359" t="n">
        <v>0</v>
      </c>
      <c r="M359" t="n">
        <v>0</v>
      </c>
      <c r="N359" t="n">
        <v>0</v>
      </c>
      <c r="O359" t="n">
        <v>0</v>
      </c>
      <c r="P359" t="n">
        <v>0</v>
      </c>
      <c r="Q359" t="n">
        <v>0</v>
      </c>
      <c r="R359" s="2" t="inlineStr"/>
    </row>
    <row r="360" ht="15" customHeight="1">
      <c r="A360" t="inlineStr">
        <is>
          <t>A 20690-2023</t>
        </is>
      </c>
      <c r="B360" s="1" t="n">
        <v>45055</v>
      </c>
      <c r="C360" s="1" t="n">
        <v>45732</v>
      </c>
      <c r="D360" t="inlineStr">
        <is>
          <t>NORRBOTTENS LÄN</t>
        </is>
      </c>
      <c r="E360" t="inlineStr">
        <is>
          <t>ARVIDSJAUR</t>
        </is>
      </c>
      <c r="F360" t="inlineStr">
        <is>
          <t>Allmännings- och besparingsskogar</t>
        </is>
      </c>
      <c r="G360" t="n">
        <v>13.6</v>
      </c>
      <c r="H360" t="n">
        <v>0</v>
      </c>
      <c r="I360" t="n">
        <v>0</v>
      </c>
      <c r="J360" t="n">
        <v>0</v>
      </c>
      <c r="K360" t="n">
        <v>0</v>
      </c>
      <c r="L360" t="n">
        <v>0</v>
      </c>
      <c r="M360" t="n">
        <v>0</v>
      </c>
      <c r="N360" t="n">
        <v>0</v>
      </c>
      <c r="O360" t="n">
        <v>0</v>
      </c>
      <c r="P360" t="n">
        <v>0</v>
      </c>
      <c r="Q360" t="n">
        <v>0</v>
      </c>
      <c r="R360" s="2" t="inlineStr"/>
    </row>
    <row r="361" ht="15" customHeight="1">
      <c r="A361" t="inlineStr">
        <is>
          <t>A 20707-2023</t>
        </is>
      </c>
      <c r="B361" s="1" t="n">
        <v>45055</v>
      </c>
      <c r="C361" s="1" t="n">
        <v>45732</v>
      </c>
      <c r="D361" t="inlineStr">
        <is>
          <t>NORRBOTTENS LÄN</t>
        </is>
      </c>
      <c r="E361" t="inlineStr">
        <is>
          <t>ARVIDSJAUR</t>
        </is>
      </c>
      <c r="F361" t="inlineStr">
        <is>
          <t>Allmännings- och besparingsskogar</t>
        </is>
      </c>
      <c r="G361" t="n">
        <v>11.1</v>
      </c>
      <c r="H361" t="n">
        <v>0</v>
      </c>
      <c r="I361" t="n">
        <v>0</v>
      </c>
      <c r="J361" t="n">
        <v>0</v>
      </c>
      <c r="K361" t="n">
        <v>0</v>
      </c>
      <c r="L361" t="n">
        <v>0</v>
      </c>
      <c r="M361" t="n">
        <v>0</v>
      </c>
      <c r="N361" t="n">
        <v>0</v>
      </c>
      <c r="O361" t="n">
        <v>0</v>
      </c>
      <c r="P361" t="n">
        <v>0</v>
      </c>
      <c r="Q361" t="n">
        <v>0</v>
      </c>
      <c r="R361" s="2" t="inlineStr"/>
    </row>
    <row r="362" ht="15" customHeight="1">
      <c r="A362" t="inlineStr">
        <is>
          <t>A 22895-2023</t>
        </is>
      </c>
      <c r="B362" s="1" t="n">
        <v>45072</v>
      </c>
      <c r="C362" s="1" t="n">
        <v>45732</v>
      </c>
      <c r="D362" t="inlineStr">
        <is>
          <t>NORRBOTTENS LÄN</t>
        </is>
      </c>
      <c r="E362" t="inlineStr">
        <is>
          <t>ARVIDSJAUR</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24165-2023</t>
        </is>
      </c>
      <c r="B363" s="1" t="n">
        <v>45079</v>
      </c>
      <c r="C363" s="1" t="n">
        <v>45732</v>
      </c>
      <c r="D363" t="inlineStr">
        <is>
          <t>NORRBOTTENS LÄN</t>
        </is>
      </c>
      <c r="E363" t="inlineStr">
        <is>
          <t>ARVIDSJAUR</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24563-2023</t>
        </is>
      </c>
      <c r="B364" s="1" t="n">
        <v>45083</v>
      </c>
      <c r="C364" s="1" t="n">
        <v>45732</v>
      </c>
      <c r="D364" t="inlineStr">
        <is>
          <t>NORRBOTTENS LÄN</t>
        </is>
      </c>
      <c r="E364" t="inlineStr">
        <is>
          <t>ARVIDSJAUR</t>
        </is>
      </c>
      <c r="G364" t="n">
        <v>9.4</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45732</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25731-2023</t>
        </is>
      </c>
      <c r="B366" s="1" t="n">
        <v>45084</v>
      </c>
      <c r="C366" s="1" t="n">
        <v>45732</v>
      </c>
      <c r="D366" t="inlineStr">
        <is>
          <t>NORRBOTTENS LÄN</t>
        </is>
      </c>
      <c r="E366" t="inlineStr">
        <is>
          <t>ARVIDSJAUR</t>
        </is>
      </c>
      <c r="G366" t="n">
        <v>5.1</v>
      </c>
      <c r="H366" t="n">
        <v>0</v>
      </c>
      <c r="I366" t="n">
        <v>0</v>
      </c>
      <c r="J366" t="n">
        <v>0</v>
      </c>
      <c r="K366" t="n">
        <v>0</v>
      </c>
      <c r="L366" t="n">
        <v>0</v>
      </c>
      <c r="M366" t="n">
        <v>0</v>
      </c>
      <c r="N366" t="n">
        <v>0</v>
      </c>
      <c r="O366" t="n">
        <v>0</v>
      </c>
      <c r="P366" t="n">
        <v>0</v>
      </c>
      <c r="Q366" t="n">
        <v>0</v>
      </c>
      <c r="R366" s="2" t="inlineStr"/>
    </row>
    <row r="367" ht="15" customHeight="1">
      <c r="A367" t="inlineStr">
        <is>
          <t>A 26591-2023</t>
        </is>
      </c>
      <c r="B367" s="1" t="n">
        <v>45090</v>
      </c>
      <c r="C367" s="1" t="n">
        <v>45732</v>
      </c>
      <c r="D367" t="inlineStr">
        <is>
          <t>NORRBOTTENS LÄN</t>
        </is>
      </c>
      <c r="E367" t="inlineStr">
        <is>
          <t>ARVIDSJAUR</t>
        </is>
      </c>
      <c r="G367" t="n">
        <v>0.5</v>
      </c>
      <c r="H367" t="n">
        <v>0</v>
      </c>
      <c r="I367" t="n">
        <v>0</v>
      </c>
      <c r="J367" t="n">
        <v>0</v>
      </c>
      <c r="K367" t="n">
        <v>0</v>
      </c>
      <c r="L367" t="n">
        <v>0</v>
      </c>
      <c r="M367" t="n">
        <v>0</v>
      </c>
      <c r="N367" t="n">
        <v>0</v>
      </c>
      <c r="O367" t="n">
        <v>0</v>
      </c>
      <c r="P367" t="n">
        <v>0</v>
      </c>
      <c r="Q367" t="n">
        <v>0</v>
      </c>
      <c r="R367" s="2" t="inlineStr"/>
    </row>
    <row r="368" ht="15" customHeight="1">
      <c r="A368" t="inlineStr">
        <is>
          <t>A 26583-2023</t>
        </is>
      </c>
      <c r="B368" s="1" t="n">
        <v>45090</v>
      </c>
      <c r="C368" s="1" t="n">
        <v>45732</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26671-2023</t>
        </is>
      </c>
      <c r="B369" s="1" t="n">
        <v>45093</v>
      </c>
      <c r="C369" s="1" t="n">
        <v>45732</v>
      </c>
      <c r="D369" t="inlineStr">
        <is>
          <t>NORRBOTTENS LÄN</t>
        </is>
      </c>
      <c r="E369" t="inlineStr">
        <is>
          <t>ARVIDSJAUR</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26674-2023</t>
        </is>
      </c>
      <c r="B370" s="1" t="n">
        <v>45093</v>
      </c>
      <c r="C370" s="1" t="n">
        <v>45732</v>
      </c>
      <c r="D370" t="inlineStr">
        <is>
          <t>NORRBOTTENS LÄN</t>
        </is>
      </c>
      <c r="E370" t="inlineStr">
        <is>
          <t>ARVIDSJAUR</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26673-2023</t>
        </is>
      </c>
      <c r="B371" s="1" t="n">
        <v>45093</v>
      </c>
      <c r="C371" s="1" t="n">
        <v>45732</v>
      </c>
      <c r="D371" t="inlineStr">
        <is>
          <t>NORRBOTTENS LÄN</t>
        </is>
      </c>
      <c r="E371" t="inlineStr">
        <is>
          <t>ARVIDSJAUR</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27441-2023</t>
        </is>
      </c>
      <c r="B372" s="1" t="n">
        <v>45097</v>
      </c>
      <c r="C372" s="1" t="n">
        <v>45732</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27439-2023</t>
        </is>
      </c>
      <c r="B373" s="1" t="n">
        <v>45097</v>
      </c>
      <c r="C373" s="1" t="n">
        <v>45732</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27459-2023</t>
        </is>
      </c>
      <c r="B374" s="1" t="n">
        <v>45097</v>
      </c>
      <c r="C374" s="1" t="n">
        <v>45732</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27442-2023</t>
        </is>
      </c>
      <c r="B375" s="1" t="n">
        <v>45097</v>
      </c>
      <c r="C375" s="1" t="n">
        <v>45732</v>
      </c>
      <c r="D375" t="inlineStr">
        <is>
          <t>NORRBOTTENS LÄN</t>
        </is>
      </c>
      <c r="E375" t="inlineStr">
        <is>
          <t>ARVIDSJAUR</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27462-2023</t>
        </is>
      </c>
      <c r="B376" s="1" t="n">
        <v>45097</v>
      </c>
      <c r="C376" s="1" t="n">
        <v>45732</v>
      </c>
      <c r="D376" t="inlineStr">
        <is>
          <t>NORRBOTTENS LÄN</t>
        </is>
      </c>
      <c r="E376" t="inlineStr">
        <is>
          <t>ARVIDSJAUR</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27778-2023</t>
        </is>
      </c>
      <c r="B377" s="1" t="n">
        <v>45098</v>
      </c>
      <c r="C377" s="1" t="n">
        <v>45732</v>
      </c>
      <c r="D377" t="inlineStr">
        <is>
          <t>NORRBOTTENS LÄN</t>
        </is>
      </c>
      <c r="E377" t="inlineStr">
        <is>
          <t>ARVIDSJAUR</t>
        </is>
      </c>
      <c r="F377" t="inlineStr">
        <is>
          <t>Sveaskog</t>
        </is>
      </c>
      <c r="G377" t="n">
        <v>15.2</v>
      </c>
      <c r="H377" t="n">
        <v>0</v>
      </c>
      <c r="I377" t="n">
        <v>0</v>
      </c>
      <c r="J377" t="n">
        <v>0</v>
      </c>
      <c r="K377" t="n">
        <v>0</v>
      </c>
      <c r="L377" t="n">
        <v>0</v>
      </c>
      <c r="M377" t="n">
        <v>0</v>
      </c>
      <c r="N377" t="n">
        <v>0</v>
      </c>
      <c r="O377" t="n">
        <v>0</v>
      </c>
      <c r="P377" t="n">
        <v>0</v>
      </c>
      <c r="Q377" t="n">
        <v>0</v>
      </c>
      <c r="R377" s="2" t="inlineStr"/>
    </row>
    <row r="378" ht="15" customHeight="1">
      <c r="A378" t="inlineStr">
        <is>
          <t>A 29580-2023</t>
        </is>
      </c>
      <c r="B378" s="1" t="n">
        <v>45098</v>
      </c>
      <c r="C378" s="1" t="n">
        <v>45732</v>
      </c>
      <c r="D378" t="inlineStr">
        <is>
          <t>NORRBOTTENS LÄN</t>
        </is>
      </c>
      <c r="E378" t="inlineStr">
        <is>
          <t>ARVIDSJAUR</t>
        </is>
      </c>
      <c r="G378" t="n">
        <v>3.3</v>
      </c>
      <c r="H378" t="n">
        <v>0</v>
      </c>
      <c r="I378" t="n">
        <v>0</v>
      </c>
      <c r="J378" t="n">
        <v>0</v>
      </c>
      <c r="K378" t="n">
        <v>0</v>
      </c>
      <c r="L378" t="n">
        <v>0</v>
      </c>
      <c r="M378" t="n">
        <v>0</v>
      </c>
      <c r="N378" t="n">
        <v>0</v>
      </c>
      <c r="O378" t="n">
        <v>0</v>
      </c>
      <c r="P378" t="n">
        <v>0</v>
      </c>
      <c r="Q378" t="n">
        <v>0</v>
      </c>
      <c r="R378" s="2" t="inlineStr"/>
    </row>
    <row r="379" ht="15" customHeight="1">
      <c r="A379" t="inlineStr">
        <is>
          <t>A 29636-2023</t>
        </is>
      </c>
      <c r="B379" s="1" t="n">
        <v>45098</v>
      </c>
      <c r="C379" s="1" t="n">
        <v>45732</v>
      </c>
      <c r="D379" t="inlineStr">
        <is>
          <t>NORRBOTTENS LÄN</t>
        </is>
      </c>
      <c r="E379" t="inlineStr">
        <is>
          <t>ARVIDSJAUR</t>
        </is>
      </c>
      <c r="G379" t="n">
        <v>6.5</v>
      </c>
      <c r="H379" t="n">
        <v>0</v>
      </c>
      <c r="I379" t="n">
        <v>0</v>
      </c>
      <c r="J379" t="n">
        <v>0</v>
      </c>
      <c r="K379" t="n">
        <v>0</v>
      </c>
      <c r="L379" t="n">
        <v>0</v>
      </c>
      <c r="M379" t="n">
        <v>0</v>
      </c>
      <c r="N379" t="n">
        <v>0</v>
      </c>
      <c r="O379" t="n">
        <v>0</v>
      </c>
      <c r="P379" t="n">
        <v>0</v>
      </c>
      <c r="Q379" t="n">
        <v>0</v>
      </c>
      <c r="R379" s="2" t="inlineStr"/>
    </row>
    <row r="380" ht="15" customHeight="1">
      <c r="A380" t="inlineStr">
        <is>
          <t>A 29639-2023</t>
        </is>
      </c>
      <c r="B380" s="1" t="n">
        <v>45098</v>
      </c>
      <c r="C380" s="1" t="n">
        <v>45732</v>
      </c>
      <c r="D380" t="inlineStr">
        <is>
          <t>NORRBOTTENS LÄN</t>
        </is>
      </c>
      <c r="E380" t="inlineStr">
        <is>
          <t>ARVIDSJAUR</t>
        </is>
      </c>
      <c r="G380" t="n">
        <v>8.1</v>
      </c>
      <c r="H380" t="n">
        <v>0</v>
      </c>
      <c r="I380" t="n">
        <v>0</v>
      </c>
      <c r="J380" t="n">
        <v>0</v>
      </c>
      <c r="K380" t="n">
        <v>0</v>
      </c>
      <c r="L380" t="n">
        <v>0</v>
      </c>
      <c r="M380" t="n">
        <v>0</v>
      </c>
      <c r="N380" t="n">
        <v>0</v>
      </c>
      <c r="O380" t="n">
        <v>0</v>
      </c>
      <c r="P380" t="n">
        <v>0</v>
      </c>
      <c r="Q380" t="n">
        <v>0</v>
      </c>
      <c r="R380" s="2" t="inlineStr"/>
    </row>
    <row r="381" ht="15" customHeight="1">
      <c r="A381" t="inlineStr">
        <is>
          <t>A 29602-2023</t>
        </is>
      </c>
      <c r="B381" s="1" t="n">
        <v>45098</v>
      </c>
      <c r="C381" s="1" t="n">
        <v>45732</v>
      </c>
      <c r="D381" t="inlineStr">
        <is>
          <t>NORRBOTTENS LÄN</t>
        </is>
      </c>
      <c r="E381" t="inlineStr">
        <is>
          <t>ARVIDSJAUR</t>
        </is>
      </c>
      <c r="G381" t="n">
        <v>4.5</v>
      </c>
      <c r="H381" t="n">
        <v>0</v>
      </c>
      <c r="I381" t="n">
        <v>0</v>
      </c>
      <c r="J381" t="n">
        <v>0</v>
      </c>
      <c r="K381" t="n">
        <v>0</v>
      </c>
      <c r="L381" t="n">
        <v>0</v>
      </c>
      <c r="M381" t="n">
        <v>0</v>
      </c>
      <c r="N381" t="n">
        <v>0</v>
      </c>
      <c r="O381" t="n">
        <v>0</v>
      </c>
      <c r="P381" t="n">
        <v>0</v>
      </c>
      <c r="Q381" t="n">
        <v>0</v>
      </c>
      <c r="R381" s="2" t="inlineStr"/>
    </row>
    <row r="382" ht="15" customHeight="1">
      <c r="A382" t="inlineStr">
        <is>
          <t>A 28307-2023</t>
        </is>
      </c>
      <c r="B382" s="1" t="n">
        <v>45099</v>
      </c>
      <c r="C382" s="1" t="n">
        <v>45732</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28311-2023</t>
        </is>
      </c>
      <c r="B383" s="1" t="n">
        <v>45099</v>
      </c>
      <c r="C383" s="1" t="n">
        <v>45732</v>
      </c>
      <c r="D383" t="inlineStr">
        <is>
          <t>NORRBOTTENS LÄN</t>
        </is>
      </c>
      <c r="E383" t="inlineStr">
        <is>
          <t>ARVIDSJAUR</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28313-2023</t>
        </is>
      </c>
      <c r="B384" s="1" t="n">
        <v>45099</v>
      </c>
      <c r="C384" s="1" t="n">
        <v>45732</v>
      </c>
      <c r="D384" t="inlineStr">
        <is>
          <t>NORRBOTTENS LÄN</t>
        </is>
      </c>
      <c r="E384" t="inlineStr">
        <is>
          <t>ARVIDSJAUR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30756-2023</t>
        </is>
      </c>
      <c r="B385" s="1" t="n">
        <v>45103</v>
      </c>
      <c r="C385" s="1" t="n">
        <v>45732</v>
      </c>
      <c r="D385" t="inlineStr">
        <is>
          <t>NORRBOTTENS LÄN</t>
        </is>
      </c>
      <c r="E385" t="inlineStr">
        <is>
          <t>ARVIDSJAUR</t>
        </is>
      </c>
      <c r="G385" t="n">
        <v>1.9</v>
      </c>
      <c r="H385" t="n">
        <v>0</v>
      </c>
      <c r="I385" t="n">
        <v>0</v>
      </c>
      <c r="J385" t="n">
        <v>0</v>
      </c>
      <c r="K385" t="n">
        <v>0</v>
      </c>
      <c r="L385" t="n">
        <v>0</v>
      </c>
      <c r="M385" t="n">
        <v>0</v>
      </c>
      <c r="N385" t="n">
        <v>0</v>
      </c>
      <c r="O385" t="n">
        <v>0</v>
      </c>
      <c r="P385" t="n">
        <v>0</v>
      </c>
      <c r="Q385" t="n">
        <v>0</v>
      </c>
      <c r="R385" s="2" t="inlineStr"/>
    </row>
    <row r="386" ht="15" customHeight="1">
      <c r="A386" t="inlineStr">
        <is>
          <t>A 30757-2023</t>
        </is>
      </c>
      <c r="B386" s="1" t="n">
        <v>45103</v>
      </c>
      <c r="C386" s="1" t="n">
        <v>45732</v>
      </c>
      <c r="D386" t="inlineStr">
        <is>
          <t>NORRBOTTENS LÄN</t>
        </is>
      </c>
      <c r="E386" t="inlineStr">
        <is>
          <t>ARVIDSJAUR</t>
        </is>
      </c>
      <c r="G386" t="n">
        <v>5</v>
      </c>
      <c r="H386" t="n">
        <v>0</v>
      </c>
      <c r="I386" t="n">
        <v>0</v>
      </c>
      <c r="J386" t="n">
        <v>0</v>
      </c>
      <c r="K386" t="n">
        <v>0</v>
      </c>
      <c r="L386" t="n">
        <v>0</v>
      </c>
      <c r="M386" t="n">
        <v>0</v>
      </c>
      <c r="N386" t="n">
        <v>0</v>
      </c>
      <c r="O386" t="n">
        <v>0</v>
      </c>
      <c r="P386" t="n">
        <v>0</v>
      </c>
      <c r="Q386" t="n">
        <v>0</v>
      </c>
      <c r="R386" s="2" t="inlineStr"/>
    </row>
    <row r="387" ht="15" customHeight="1">
      <c r="A387" t="inlineStr">
        <is>
          <t>A 30753-2023</t>
        </is>
      </c>
      <c r="B387" s="1" t="n">
        <v>45103</v>
      </c>
      <c r="C387" s="1" t="n">
        <v>45732</v>
      </c>
      <c r="D387" t="inlineStr">
        <is>
          <t>NORRBOTTENS LÄN</t>
        </is>
      </c>
      <c r="E387" t="inlineStr">
        <is>
          <t>ARVIDSJAUR</t>
        </is>
      </c>
      <c r="G387" t="n">
        <v>2.9</v>
      </c>
      <c r="H387" t="n">
        <v>0</v>
      </c>
      <c r="I387" t="n">
        <v>0</v>
      </c>
      <c r="J387" t="n">
        <v>0</v>
      </c>
      <c r="K387" t="n">
        <v>0</v>
      </c>
      <c r="L387" t="n">
        <v>0</v>
      </c>
      <c r="M387" t="n">
        <v>0</v>
      </c>
      <c r="N387" t="n">
        <v>0</v>
      </c>
      <c r="O387" t="n">
        <v>0</v>
      </c>
      <c r="P387" t="n">
        <v>0</v>
      </c>
      <c r="Q387" t="n">
        <v>0</v>
      </c>
      <c r="R387" s="2" t="inlineStr"/>
    </row>
    <row r="388" ht="15" customHeight="1">
      <c r="A388" t="inlineStr">
        <is>
          <t>A 30752-2023</t>
        </is>
      </c>
      <c r="B388" s="1" t="n">
        <v>45103</v>
      </c>
      <c r="C388" s="1" t="n">
        <v>45732</v>
      </c>
      <c r="D388" t="inlineStr">
        <is>
          <t>NORRBOTTENS LÄN</t>
        </is>
      </c>
      <c r="E388" t="inlineStr">
        <is>
          <t>ARVIDSJAUR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31666-2023</t>
        </is>
      </c>
      <c r="B389" s="1" t="n">
        <v>45105</v>
      </c>
      <c r="C389" s="1" t="n">
        <v>45732</v>
      </c>
      <c r="D389" t="inlineStr">
        <is>
          <t>NORRBOTTENS LÄN</t>
        </is>
      </c>
      <c r="E389" t="inlineStr">
        <is>
          <t>ARVIDSJAUR</t>
        </is>
      </c>
      <c r="G389" t="n">
        <v>6.5</v>
      </c>
      <c r="H389" t="n">
        <v>0</v>
      </c>
      <c r="I389" t="n">
        <v>0</v>
      </c>
      <c r="J389" t="n">
        <v>0</v>
      </c>
      <c r="K389" t="n">
        <v>0</v>
      </c>
      <c r="L389" t="n">
        <v>0</v>
      </c>
      <c r="M389" t="n">
        <v>0</v>
      </c>
      <c r="N389" t="n">
        <v>0</v>
      </c>
      <c r="O389" t="n">
        <v>0</v>
      </c>
      <c r="P389" t="n">
        <v>0</v>
      </c>
      <c r="Q389" t="n">
        <v>0</v>
      </c>
      <c r="R389" s="2" t="inlineStr"/>
    </row>
    <row r="390" ht="15" customHeight="1">
      <c r="A390" t="inlineStr">
        <is>
          <t>A 29693-2023</t>
        </is>
      </c>
      <c r="B390" s="1" t="n">
        <v>45107</v>
      </c>
      <c r="C390" s="1" t="n">
        <v>45732</v>
      </c>
      <c r="D390" t="inlineStr">
        <is>
          <t>NORRBOTTENS LÄN</t>
        </is>
      </c>
      <c r="E390" t="inlineStr">
        <is>
          <t>ARVIDSJAUR</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29709-2023</t>
        </is>
      </c>
      <c r="B391" s="1" t="n">
        <v>45107</v>
      </c>
      <c r="C391" s="1" t="n">
        <v>45732</v>
      </c>
      <c r="D391" t="inlineStr">
        <is>
          <t>NORRBOTTENS LÄN</t>
        </is>
      </c>
      <c r="E391" t="inlineStr">
        <is>
          <t>ARVIDSJAUR</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29695-2023</t>
        </is>
      </c>
      <c r="B392" s="1" t="n">
        <v>45107</v>
      </c>
      <c r="C392" s="1" t="n">
        <v>45732</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32360-2023</t>
        </is>
      </c>
      <c r="B393" s="1" t="n">
        <v>45110</v>
      </c>
      <c r="C393" s="1" t="n">
        <v>45732</v>
      </c>
      <c r="D393" t="inlineStr">
        <is>
          <t>NORRBOTTENS LÄN</t>
        </is>
      </c>
      <c r="E393" t="inlineStr">
        <is>
          <t>ARVIDSJAUR</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30501-2023</t>
        </is>
      </c>
      <c r="B394" s="1" t="n">
        <v>45111</v>
      </c>
      <c r="C394" s="1" t="n">
        <v>45732</v>
      </c>
      <c r="D394" t="inlineStr">
        <is>
          <t>NORRBOTTENS LÄN</t>
        </is>
      </c>
      <c r="E394" t="inlineStr">
        <is>
          <t>ARVIDSJAUR</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30343-2023</t>
        </is>
      </c>
      <c r="B395" s="1" t="n">
        <v>45111</v>
      </c>
      <c r="C395" s="1" t="n">
        <v>45732</v>
      </c>
      <c r="D395" t="inlineStr">
        <is>
          <t>NORRBOTTENS LÄN</t>
        </is>
      </c>
      <c r="E395" t="inlineStr">
        <is>
          <t>ARVIDSJAUR</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30394-2023</t>
        </is>
      </c>
      <c r="B396" s="1" t="n">
        <v>45111</v>
      </c>
      <c r="C396" s="1" t="n">
        <v>45732</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30419-2023</t>
        </is>
      </c>
      <c r="B397" s="1" t="n">
        <v>45111</v>
      </c>
      <c r="C397" s="1" t="n">
        <v>45732</v>
      </c>
      <c r="D397" t="inlineStr">
        <is>
          <t>NORRBOTTENS LÄN</t>
        </is>
      </c>
      <c r="E397" t="inlineStr">
        <is>
          <t>ARVIDSJAUR</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33134-2023</t>
        </is>
      </c>
      <c r="B398" s="1" t="n">
        <v>45114</v>
      </c>
      <c r="C398" s="1" t="n">
        <v>45732</v>
      </c>
      <c r="D398" t="inlineStr">
        <is>
          <t>NORRBOTTENS LÄN</t>
        </is>
      </c>
      <c r="E398" t="inlineStr">
        <is>
          <t>ARVIDSJAUR</t>
        </is>
      </c>
      <c r="G398" t="n">
        <v>16.3</v>
      </c>
      <c r="H398" t="n">
        <v>0</v>
      </c>
      <c r="I398" t="n">
        <v>0</v>
      </c>
      <c r="J398" t="n">
        <v>0</v>
      </c>
      <c r="K398" t="n">
        <v>0</v>
      </c>
      <c r="L398" t="n">
        <v>0</v>
      </c>
      <c r="M398" t="n">
        <v>0</v>
      </c>
      <c r="N398" t="n">
        <v>0</v>
      </c>
      <c r="O398" t="n">
        <v>0</v>
      </c>
      <c r="P398" t="n">
        <v>0</v>
      </c>
      <c r="Q398" t="n">
        <v>0</v>
      </c>
      <c r="R398" s="2" t="inlineStr"/>
    </row>
    <row r="399" ht="15" customHeight="1">
      <c r="A399" t="inlineStr">
        <is>
          <t>A 32263-2023</t>
        </is>
      </c>
      <c r="B399" s="1" t="n">
        <v>45120</v>
      </c>
      <c r="C399" s="1" t="n">
        <v>45732</v>
      </c>
      <c r="D399" t="inlineStr">
        <is>
          <t>NORRBOTTENS LÄN</t>
        </is>
      </c>
      <c r="E399" t="inlineStr">
        <is>
          <t>ARVIDSJAUR</t>
        </is>
      </c>
      <c r="F399" t="inlineStr">
        <is>
          <t>Sveaskog</t>
        </is>
      </c>
      <c r="G399" t="n">
        <v>18.1</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45732</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32264-2023</t>
        </is>
      </c>
      <c r="B401" s="1" t="n">
        <v>45120</v>
      </c>
      <c r="C401" s="1" t="n">
        <v>45732</v>
      </c>
      <c r="D401" t="inlineStr">
        <is>
          <t>NORRBOTTENS LÄN</t>
        </is>
      </c>
      <c r="E401" t="inlineStr">
        <is>
          <t>ARVIDSJAUR</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34277-2023</t>
        </is>
      </c>
      <c r="B402" s="1" t="n">
        <v>45128</v>
      </c>
      <c r="C402" s="1" t="n">
        <v>45732</v>
      </c>
      <c r="D402" t="inlineStr">
        <is>
          <t>NORRBOTTENS LÄN</t>
        </is>
      </c>
      <c r="E402" t="inlineStr">
        <is>
          <t>ARVIDSJAUR</t>
        </is>
      </c>
      <c r="F402" t="inlineStr">
        <is>
          <t>Sveaskog</t>
        </is>
      </c>
      <c r="G402" t="n">
        <v>31.7</v>
      </c>
      <c r="H402" t="n">
        <v>0</v>
      </c>
      <c r="I402" t="n">
        <v>0</v>
      </c>
      <c r="J402" t="n">
        <v>0</v>
      </c>
      <c r="K402" t="n">
        <v>0</v>
      </c>
      <c r="L402" t="n">
        <v>0</v>
      </c>
      <c r="M402" t="n">
        <v>0</v>
      </c>
      <c r="N402" t="n">
        <v>0</v>
      </c>
      <c r="O402" t="n">
        <v>0</v>
      </c>
      <c r="P402" t="n">
        <v>0</v>
      </c>
      <c r="Q402" t="n">
        <v>0</v>
      </c>
      <c r="R402" s="2" t="inlineStr"/>
    </row>
    <row r="403" ht="15" customHeight="1">
      <c r="A403" t="inlineStr">
        <is>
          <t>A 34511-2023</t>
        </is>
      </c>
      <c r="B403" s="1" t="n">
        <v>45140</v>
      </c>
      <c r="C403" s="1" t="n">
        <v>45732</v>
      </c>
      <c r="D403" t="inlineStr">
        <is>
          <t>NORRBOTTENS LÄN</t>
        </is>
      </c>
      <c r="E403" t="inlineStr">
        <is>
          <t>ARVIDSJAUR</t>
        </is>
      </c>
      <c r="G403" t="n">
        <v>4.2</v>
      </c>
      <c r="H403" t="n">
        <v>0</v>
      </c>
      <c r="I403" t="n">
        <v>0</v>
      </c>
      <c r="J403" t="n">
        <v>0</v>
      </c>
      <c r="K403" t="n">
        <v>0</v>
      </c>
      <c r="L403" t="n">
        <v>0</v>
      </c>
      <c r="M403" t="n">
        <v>0</v>
      </c>
      <c r="N403" t="n">
        <v>0</v>
      </c>
      <c r="O403" t="n">
        <v>0</v>
      </c>
      <c r="P403" t="n">
        <v>0</v>
      </c>
      <c r="Q403" t="n">
        <v>0</v>
      </c>
      <c r="R403" s="2" t="inlineStr"/>
    </row>
    <row r="404" ht="15" customHeight="1">
      <c r="A404" t="inlineStr">
        <is>
          <t>A 34997-2023</t>
        </is>
      </c>
      <c r="B404" s="1" t="n">
        <v>45142</v>
      </c>
      <c r="C404" s="1" t="n">
        <v>45732</v>
      </c>
      <c r="D404" t="inlineStr">
        <is>
          <t>NORRBOTTENS LÄN</t>
        </is>
      </c>
      <c r="E404" t="inlineStr">
        <is>
          <t>ARVIDSJAUR</t>
        </is>
      </c>
      <c r="G404" t="n">
        <v>10.8</v>
      </c>
      <c r="H404" t="n">
        <v>0</v>
      </c>
      <c r="I404" t="n">
        <v>0</v>
      </c>
      <c r="J404" t="n">
        <v>0</v>
      </c>
      <c r="K404" t="n">
        <v>0</v>
      </c>
      <c r="L404" t="n">
        <v>0</v>
      </c>
      <c r="M404" t="n">
        <v>0</v>
      </c>
      <c r="N404" t="n">
        <v>0</v>
      </c>
      <c r="O404" t="n">
        <v>0</v>
      </c>
      <c r="P404" t="n">
        <v>0</v>
      </c>
      <c r="Q404" t="n">
        <v>0</v>
      </c>
      <c r="R404" s="2" t="inlineStr"/>
    </row>
    <row r="405" ht="15" customHeight="1">
      <c r="A405" t="inlineStr">
        <is>
          <t>A 34998-2023</t>
        </is>
      </c>
      <c r="B405" s="1" t="n">
        <v>45142</v>
      </c>
      <c r="C405" s="1" t="n">
        <v>45732</v>
      </c>
      <c r="D405" t="inlineStr">
        <is>
          <t>NORRBOTTENS LÄN</t>
        </is>
      </c>
      <c r="E405" t="inlineStr">
        <is>
          <t>ARVIDSJAUR</t>
        </is>
      </c>
      <c r="G405" t="n">
        <v>10.3</v>
      </c>
      <c r="H405" t="n">
        <v>0</v>
      </c>
      <c r="I405" t="n">
        <v>0</v>
      </c>
      <c r="J405" t="n">
        <v>0</v>
      </c>
      <c r="K405" t="n">
        <v>0</v>
      </c>
      <c r="L405" t="n">
        <v>0</v>
      </c>
      <c r="M405" t="n">
        <v>0</v>
      </c>
      <c r="N405" t="n">
        <v>0</v>
      </c>
      <c r="O405" t="n">
        <v>0</v>
      </c>
      <c r="P405" t="n">
        <v>0</v>
      </c>
      <c r="Q405" t="n">
        <v>0</v>
      </c>
      <c r="R405" s="2" t="inlineStr"/>
    </row>
    <row r="406" ht="15" customHeight="1">
      <c r="A406" t="inlineStr">
        <is>
          <t>A 34999-2023</t>
        </is>
      </c>
      <c r="B406" s="1" t="n">
        <v>45142</v>
      </c>
      <c r="C406" s="1" t="n">
        <v>45732</v>
      </c>
      <c r="D406" t="inlineStr">
        <is>
          <t>NORRBOTTENS LÄN</t>
        </is>
      </c>
      <c r="E406" t="inlineStr">
        <is>
          <t>ARVIDSJAUR</t>
        </is>
      </c>
      <c r="G406" t="n">
        <v>5.2</v>
      </c>
      <c r="H406" t="n">
        <v>0</v>
      </c>
      <c r="I406" t="n">
        <v>0</v>
      </c>
      <c r="J406" t="n">
        <v>0</v>
      </c>
      <c r="K406" t="n">
        <v>0</v>
      </c>
      <c r="L406" t="n">
        <v>0</v>
      </c>
      <c r="M406" t="n">
        <v>0</v>
      </c>
      <c r="N406" t="n">
        <v>0</v>
      </c>
      <c r="O406" t="n">
        <v>0</v>
      </c>
      <c r="P406" t="n">
        <v>0</v>
      </c>
      <c r="Q406" t="n">
        <v>0</v>
      </c>
      <c r="R406" s="2" t="inlineStr"/>
    </row>
    <row r="407" ht="15" customHeight="1">
      <c r="A407" t="inlineStr">
        <is>
          <t>A 36129-2023</t>
        </is>
      </c>
      <c r="B407" s="1" t="n">
        <v>45149</v>
      </c>
      <c r="C407" s="1" t="n">
        <v>45732</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36076-2023</t>
        </is>
      </c>
      <c r="B408" s="1" t="n">
        <v>45149</v>
      </c>
      <c r="C408" s="1" t="n">
        <v>45732</v>
      </c>
      <c r="D408" t="inlineStr">
        <is>
          <t>NORRBOTTENS LÄN</t>
        </is>
      </c>
      <c r="E408" t="inlineStr">
        <is>
          <t>ARVIDSJAUR</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36109-2023</t>
        </is>
      </c>
      <c r="B409" s="1" t="n">
        <v>45149</v>
      </c>
      <c r="C409" s="1" t="n">
        <v>45732</v>
      </c>
      <c r="D409" t="inlineStr">
        <is>
          <t>NORRBOTTENS LÄN</t>
        </is>
      </c>
      <c r="E409" t="inlineStr">
        <is>
          <t>ARVIDSJAUR</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36154-2023</t>
        </is>
      </c>
      <c r="B410" s="1" t="n">
        <v>45149</v>
      </c>
      <c r="C410" s="1" t="n">
        <v>45732</v>
      </c>
      <c r="D410" t="inlineStr">
        <is>
          <t>NORRBOTTENS LÄN</t>
        </is>
      </c>
      <c r="E410" t="inlineStr">
        <is>
          <t>ARVIDSJAUR</t>
        </is>
      </c>
      <c r="F410" t="inlineStr">
        <is>
          <t>Sveaskog</t>
        </is>
      </c>
      <c r="G410" t="n">
        <v>38.8</v>
      </c>
      <c r="H410" t="n">
        <v>0</v>
      </c>
      <c r="I410" t="n">
        <v>0</v>
      </c>
      <c r="J410" t="n">
        <v>0</v>
      </c>
      <c r="K410" t="n">
        <v>0</v>
      </c>
      <c r="L410" t="n">
        <v>0</v>
      </c>
      <c r="M410" t="n">
        <v>0</v>
      </c>
      <c r="N410" t="n">
        <v>0</v>
      </c>
      <c r="O410" t="n">
        <v>0</v>
      </c>
      <c r="P410" t="n">
        <v>0</v>
      </c>
      <c r="Q410" t="n">
        <v>0</v>
      </c>
      <c r="R410" s="2" t="inlineStr"/>
    </row>
    <row r="411" ht="15" customHeight="1">
      <c r="A411" t="inlineStr">
        <is>
          <t>A 36090-2023</t>
        </is>
      </c>
      <c r="B411" s="1" t="n">
        <v>45149</v>
      </c>
      <c r="C411" s="1" t="n">
        <v>45732</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36094-2023</t>
        </is>
      </c>
      <c r="B412" s="1" t="n">
        <v>45149</v>
      </c>
      <c r="C412" s="1" t="n">
        <v>45732</v>
      </c>
      <c r="D412" t="inlineStr">
        <is>
          <t>NORRBOTTENS LÄN</t>
        </is>
      </c>
      <c r="E412" t="inlineStr">
        <is>
          <t>ARVIDSJAUR</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36398-2023</t>
        </is>
      </c>
      <c r="B413" s="1" t="n">
        <v>45152</v>
      </c>
      <c r="C413" s="1" t="n">
        <v>45732</v>
      </c>
      <c r="D413" t="inlineStr">
        <is>
          <t>NORRBOTTENS LÄN</t>
        </is>
      </c>
      <c r="E413" t="inlineStr">
        <is>
          <t>ARVIDSJAUR</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36403-2023</t>
        </is>
      </c>
      <c r="B414" s="1" t="n">
        <v>45152</v>
      </c>
      <c r="C414" s="1" t="n">
        <v>45732</v>
      </c>
      <c r="D414" t="inlineStr">
        <is>
          <t>NORRBOTTENS LÄN</t>
        </is>
      </c>
      <c r="E414" t="inlineStr">
        <is>
          <t>ARVIDSJAUR</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36443-2023</t>
        </is>
      </c>
      <c r="B415" s="1" t="n">
        <v>45152</v>
      </c>
      <c r="C415" s="1" t="n">
        <v>45732</v>
      </c>
      <c r="D415" t="inlineStr">
        <is>
          <t>NORRBOTTENS LÄN</t>
        </is>
      </c>
      <c r="E415" t="inlineStr">
        <is>
          <t>ARVIDSJAUR</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36664-2023</t>
        </is>
      </c>
      <c r="B416" s="1" t="n">
        <v>45153</v>
      </c>
      <c r="C416" s="1" t="n">
        <v>45732</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36954-2023</t>
        </is>
      </c>
      <c r="B417" s="1" t="n">
        <v>45154</v>
      </c>
      <c r="C417" s="1" t="n">
        <v>45732</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37041-2023</t>
        </is>
      </c>
      <c r="B418" s="1" t="n">
        <v>45155</v>
      </c>
      <c r="C418" s="1" t="n">
        <v>45732</v>
      </c>
      <c r="D418" t="inlineStr">
        <is>
          <t>NORRBOTTENS LÄN</t>
        </is>
      </c>
      <c r="E418" t="inlineStr">
        <is>
          <t>ARVIDSJAUR</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37039-2023</t>
        </is>
      </c>
      <c r="B419" s="1" t="n">
        <v>45155</v>
      </c>
      <c r="C419" s="1" t="n">
        <v>45732</v>
      </c>
      <c r="D419" t="inlineStr">
        <is>
          <t>NORRBOTTENS LÄN</t>
        </is>
      </c>
      <c r="E419" t="inlineStr">
        <is>
          <t>ARVIDSJAUR</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39328-2023</t>
        </is>
      </c>
      <c r="B420" s="1" t="n">
        <v>45166</v>
      </c>
      <c r="C420" s="1" t="n">
        <v>45732</v>
      </c>
      <c r="D420" t="inlineStr">
        <is>
          <t>NORRBOTTENS LÄN</t>
        </is>
      </c>
      <c r="E420" t="inlineStr">
        <is>
          <t>ARVIDSJAUR</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39845-2023</t>
        </is>
      </c>
      <c r="B421" s="1" t="n">
        <v>45166</v>
      </c>
      <c r="C421" s="1" t="n">
        <v>45732</v>
      </c>
      <c r="D421" t="inlineStr">
        <is>
          <t>NORRBOTTENS LÄN</t>
        </is>
      </c>
      <c r="E421" t="inlineStr">
        <is>
          <t>ARVIDSJAUR</t>
        </is>
      </c>
      <c r="G421" t="n">
        <v>1.1</v>
      </c>
      <c r="H421" t="n">
        <v>0</v>
      </c>
      <c r="I421" t="n">
        <v>0</v>
      </c>
      <c r="J421" t="n">
        <v>0</v>
      </c>
      <c r="K421" t="n">
        <v>0</v>
      </c>
      <c r="L421" t="n">
        <v>0</v>
      </c>
      <c r="M421" t="n">
        <v>0</v>
      </c>
      <c r="N421" t="n">
        <v>0</v>
      </c>
      <c r="O421" t="n">
        <v>0</v>
      </c>
      <c r="P421" t="n">
        <v>0</v>
      </c>
      <c r="Q421" t="n">
        <v>0</v>
      </c>
      <c r="R421" s="2" t="inlineStr"/>
    </row>
    <row r="422" ht="15" customHeight="1">
      <c r="A422" t="inlineStr">
        <is>
          <t>A 39591-2023</t>
        </is>
      </c>
      <c r="B422" s="1" t="n">
        <v>45167</v>
      </c>
      <c r="C422" s="1" t="n">
        <v>45732</v>
      </c>
      <c r="D422" t="inlineStr">
        <is>
          <t>NORRBOTTENS LÄN</t>
        </is>
      </c>
      <c r="E422" t="inlineStr">
        <is>
          <t>ARVIDSJAUR</t>
        </is>
      </c>
      <c r="F422" t="inlineStr">
        <is>
          <t>Sveaskog</t>
        </is>
      </c>
      <c r="G422" t="n">
        <v>3.6</v>
      </c>
      <c r="H422" t="n">
        <v>0</v>
      </c>
      <c r="I422" t="n">
        <v>0</v>
      </c>
      <c r="J422" t="n">
        <v>0</v>
      </c>
      <c r="K422" t="n">
        <v>0</v>
      </c>
      <c r="L422" t="n">
        <v>0</v>
      </c>
      <c r="M422" t="n">
        <v>0</v>
      </c>
      <c r="N422" t="n">
        <v>0</v>
      </c>
      <c r="O422" t="n">
        <v>0</v>
      </c>
      <c r="P422" t="n">
        <v>0</v>
      </c>
      <c r="Q422" t="n">
        <v>0</v>
      </c>
      <c r="R422" s="2" t="inlineStr"/>
    </row>
    <row r="423" ht="15" customHeight="1">
      <c r="A423" t="inlineStr">
        <is>
          <t>A 40937-2023</t>
        </is>
      </c>
      <c r="B423" s="1" t="n">
        <v>45173</v>
      </c>
      <c r="C423" s="1" t="n">
        <v>45732</v>
      </c>
      <c r="D423" t="inlineStr">
        <is>
          <t>NORRBOTTENS LÄN</t>
        </is>
      </c>
      <c r="E423" t="inlineStr">
        <is>
          <t>ARVIDSJAUR</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42687-2023</t>
        </is>
      </c>
      <c r="B424" s="1" t="n">
        <v>45176</v>
      </c>
      <c r="C424" s="1" t="n">
        <v>45732</v>
      </c>
      <c r="D424" t="inlineStr">
        <is>
          <t>NORRBOTTENS LÄN</t>
        </is>
      </c>
      <c r="E424" t="inlineStr">
        <is>
          <t>ARVIDSJAUR</t>
        </is>
      </c>
      <c r="G424" t="n">
        <v>2.2</v>
      </c>
      <c r="H424" t="n">
        <v>0</v>
      </c>
      <c r="I424" t="n">
        <v>0</v>
      </c>
      <c r="J424" t="n">
        <v>0</v>
      </c>
      <c r="K424" t="n">
        <v>0</v>
      </c>
      <c r="L424" t="n">
        <v>0</v>
      </c>
      <c r="M424" t="n">
        <v>0</v>
      </c>
      <c r="N424" t="n">
        <v>0</v>
      </c>
      <c r="O424" t="n">
        <v>0</v>
      </c>
      <c r="P424" t="n">
        <v>0</v>
      </c>
      <c r="Q424" t="n">
        <v>0</v>
      </c>
      <c r="R424" s="2" t="inlineStr"/>
    </row>
    <row r="425" ht="15" customHeight="1">
      <c r="A425" t="inlineStr">
        <is>
          <t>A 42633-2023</t>
        </is>
      </c>
      <c r="B425" s="1" t="n">
        <v>45176</v>
      </c>
      <c r="C425" s="1" t="n">
        <v>45732</v>
      </c>
      <c r="D425" t="inlineStr">
        <is>
          <t>NORRBOTTENS LÄN</t>
        </is>
      </c>
      <c r="E425" t="inlineStr">
        <is>
          <t>ARVIDSJAUR</t>
        </is>
      </c>
      <c r="G425" t="n">
        <v>2.5</v>
      </c>
      <c r="H425" t="n">
        <v>0</v>
      </c>
      <c r="I425" t="n">
        <v>0</v>
      </c>
      <c r="J425" t="n">
        <v>0</v>
      </c>
      <c r="K425" t="n">
        <v>0</v>
      </c>
      <c r="L425" t="n">
        <v>0</v>
      </c>
      <c r="M425" t="n">
        <v>0</v>
      </c>
      <c r="N425" t="n">
        <v>0</v>
      </c>
      <c r="O425" t="n">
        <v>0</v>
      </c>
      <c r="P425" t="n">
        <v>0</v>
      </c>
      <c r="Q425" t="n">
        <v>0</v>
      </c>
      <c r="R425" s="2" t="inlineStr"/>
    </row>
    <row r="426" ht="15" customHeight="1">
      <c r="A426" t="inlineStr">
        <is>
          <t>A 42683-2023</t>
        </is>
      </c>
      <c r="B426" s="1" t="n">
        <v>45176</v>
      </c>
      <c r="C426" s="1" t="n">
        <v>45732</v>
      </c>
      <c r="D426" t="inlineStr">
        <is>
          <t>NORRBOTTENS LÄN</t>
        </is>
      </c>
      <c r="E426" t="inlineStr">
        <is>
          <t>ARVIDSJAUR</t>
        </is>
      </c>
      <c r="G426" t="n">
        <v>0.7</v>
      </c>
      <c r="H426" t="n">
        <v>0</v>
      </c>
      <c r="I426" t="n">
        <v>0</v>
      </c>
      <c r="J426" t="n">
        <v>0</v>
      </c>
      <c r="K426" t="n">
        <v>0</v>
      </c>
      <c r="L426" t="n">
        <v>0</v>
      </c>
      <c r="M426" t="n">
        <v>0</v>
      </c>
      <c r="N426" t="n">
        <v>0</v>
      </c>
      <c r="O426" t="n">
        <v>0</v>
      </c>
      <c r="P426" t="n">
        <v>0</v>
      </c>
      <c r="Q426" t="n">
        <v>0</v>
      </c>
      <c r="R426" s="2" t="inlineStr"/>
    </row>
    <row r="427" ht="15" customHeight="1">
      <c r="A427" t="inlineStr">
        <is>
          <t>A 42695-2023</t>
        </is>
      </c>
      <c r="B427" s="1" t="n">
        <v>45176</v>
      </c>
      <c r="C427" s="1" t="n">
        <v>45732</v>
      </c>
      <c r="D427" t="inlineStr">
        <is>
          <t>NORRBOTTENS LÄN</t>
        </is>
      </c>
      <c r="E427" t="inlineStr">
        <is>
          <t>ARVIDSJAUR</t>
        </is>
      </c>
      <c r="G427" t="n">
        <v>2.7</v>
      </c>
      <c r="H427" t="n">
        <v>0</v>
      </c>
      <c r="I427" t="n">
        <v>0</v>
      </c>
      <c r="J427" t="n">
        <v>0</v>
      </c>
      <c r="K427" t="n">
        <v>0</v>
      </c>
      <c r="L427" t="n">
        <v>0</v>
      </c>
      <c r="M427" t="n">
        <v>0</v>
      </c>
      <c r="N427" t="n">
        <v>0</v>
      </c>
      <c r="O427" t="n">
        <v>0</v>
      </c>
      <c r="P427" t="n">
        <v>0</v>
      </c>
      <c r="Q427" t="n">
        <v>0</v>
      </c>
      <c r="R427" s="2" t="inlineStr"/>
    </row>
    <row r="428" ht="15" customHeight="1">
      <c r="A428" t="inlineStr">
        <is>
          <t>A 42798-2023</t>
        </is>
      </c>
      <c r="B428" s="1" t="n">
        <v>45182</v>
      </c>
      <c r="C428" s="1" t="n">
        <v>45732</v>
      </c>
      <c r="D428" t="inlineStr">
        <is>
          <t>NORRBOTTENS LÄN</t>
        </is>
      </c>
      <c r="E428" t="inlineStr">
        <is>
          <t>ARVIDSJAUR</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43847-2023</t>
        </is>
      </c>
      <c r="B429" s="1" t="n">
        <v>45182</v>
      </c>
      <c r="C429" s="1" t="n">
        <v>45732</v>
      </c>
      <c r="D429" t="inlineStr">
        <is>
          <t>NORRBOTTENS LÄN</t>
        </is>
      </c>
      <c r="E429" t="inlineStr">
        <is>
          <t>ARVIDSJAUR</t>
        </is>
      </c>
      <c r="G429" t="n">
        <v>3.9</v>
      </c>
      <c r="H429" t="n">
        <v>0</v>
      </c>
      <c r="I429" t="n">
        <v>0</v>
      </c>
      <c r="J429" t="n">
        <v>0</v>
      </c>
      <c r="K429" t="n">
        <v>0</v>
      </c>
      <c r="L429" t="n">
        <v>0</v>
      </c>
      <c r="M429" t="n">
        <v>0</v>
      </c>
      <c r="N429" t="n">
        <v>0</v>
      </c>
      <c r="O429" t="n">
        <v>0</v>
      </c>
      <c r="P429" t="n">
        <v>0</v>
      </c>
      <c r="Q429" t="n">
        <v>0</v>
      </c>
      <c r="R429" s="2" t="inlineStr"/>
    </row>
    <row r="430" ht="15" customHeight="1">
      <c r="A430" t="inlineStr">
        <is>
          <t>A 43850-2023</t>
        </is>
      </c>
      <c r="B430" s="1" t="n">
        <v>45182</v>
      </c>
      <c r="C430" s="1" t="n">
        <v>45732</v>
      </c>
      <c r="D430" t="inlineStr">
        <is>
          <t>NORRBOTTENS LÄN</t>
        </is>
      </c>
      <c r="E430" t="inlineStr">
        <is>
          <t>ARVIDSJAUR</t>
        </is>
      </c>
      <c r="G430" t="n">
        <v>4.3</v>
      </c>
      <c r="H430" t="n">
        <v>0</v>
      </c>
      <c r="I430" t="n">
        <v>0</v>
      </c>
      <c r="J430" t="n">
        <v>0</v>
      </c>
      <c r="K430" t="n">
        <v>0</v>
      </c>
      <c r="L430" t="n">
        <v>0</v>
      </c>
      <c r="M430" t="n">
        <v>0</v>
      </c>
      <c r="N430" t="n">
        <v>0</v>
      </c>
      <c r="O430" t="n">
        <v>0</v>
      </c>
      <c r="P430" t="n">
        <v>0</v>
      </c>
      <c r="Q430" t="n">
        <v>0</v>
      </c>
      <c r="R430" s="2" t="inlineStr"/>
    </row>
    <row r="431" ht="15" customHeight="1">
      <c r="A431" t="inlineStr">
        <is>
          <t>A 43842-2023</t>
        </is>
      </c>
      <c r="B431" s="1" t="n">
        <v>45182</v>
      </c>
      <c r="C431" s="1" t="n">
        <v>45732</v>
      </c>
      <c r="D431" t="inlineStr">
        <is>
          <t>NORRBOTTENS LÄN</t>
        </is>
      </c>
      <c r="E431" t="inlineStr">
        <is>
          <t>ARVIDSJAUR</t>
        </is>
      </c>
      <c r="G431" t="n">
        <v>5.6</v>
      </c>
      <c r="H431" t="n">
        <v>0</v>
      </c>
      <c r="I431" t="n">
        <v>0</v>
      </c>
      <c r="J431" t="n">
        <v>0</v>
      </c>
      <c r="K431" t="n">
        <v>0</v>
      </c>
      <c r="L431" t="n">
        <v>0</v>
      </c>
      <c r="M431" t="n">
        <v>0</v>
      </c>
      <c r="N431" t="n">
        <v>0</v>
      </c>
      <c r="O431" t="n">
        <v>0</v>
      </c>
      <c r="P431" t="n">
        <v>0</v>
      </c>
      <c r="Q431" t="n">
        <v>0</v>
      </c>
      <c r="R431" s="2" t="inlineStr"/>
    </row>
    <row r="432" ht="15" customHeight="1">
      <c r="A432" t="inlineStr">
        <is>
          <t>A 44179-2023</t>
        </is>
      </c>
      <c r="B432" s="1" t="n">
        <v>45188</v>
      </c>
      <c r="C432" s="1" t="n">
        <v>45732</v>
      </c>
      <c r="D432" t="inlineStr">
        <is>
          <t>NORRBOTTENS LÄN</t>
        </is>
      </c>
      <c r="E432" t="inlineStr">
        <is>
          <t>ARVIDSJAUR</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44557-2023</t>
        </is>
      </c>
      <c r="B433" s="1" t="n">
        <v>45189</v>
      </c>
      <c r="C433" s="1" t="n">
        <v>45732</v>
      </c>
      <c r="D433" t="inlineStr">
        <is>
          <t>NORRBOTTENS LÄN</t>
        </is>
      </c>
      <c r="E433" t="inlineStr">
        <is>
          <t>ARVIDSJAUR</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45778-2023</t>
        </is>
      </c>
      <c r="B434" s="1" t="n">
        <v>45189</v>
      </c>
      <c r="C434" s="1" t="n">
        <v>45732</v>
      </c>
      <c r="D434" t="inlineStr">
        <is>
          <t>NORRBOTTENS LÄN</t>
        </is>
      </c>
      <c r="E434" t="inlineStr">
        <is>
          <t>ARVIDSJAUR</t>
        </is>
      </c>
      <c r="G434" t="n">
        <v>7.9</v>
      </c>
      <c r="H434" t="n">
        <v>0</v>
      </c>
      <c r="I434" t="n">
        <v>0</v>
      </c>
      <c r="J434" t="n">
        <v>0</v>
      </c>
      <c r="K434" t="n">
        <v>0</v>
      </c>
      <c r="L434" t="n">
        <v>0</v>
      </c>
      <c r="M434" t="n">
        <v>0</v>
      </c>
      <c r="N434" t="n">
        <v>0</v>
      </c>
      <c r="O434" t="n">
        <v>0</v>
      </c>
      <c r="P434" t="n">
        <v>0</v>
      </c>
      <c r="Q434" t="n">
        <v>0</v>
      </c>
      <c r="R434" s="2" t="inlineStr"/>
    </row>
    <row r="435" ht="15" customHeight="1">
      <c r="A435" t="inlineStr">
        <is>
          <t>A 45757-2023</t>
        </is>
      </c>
      <c r="B435" s="1" t="n">
        <v>45189</v>
      </c>
      <c r="C435" s="1" t="n">
        <v>45732</v>
      </c>
      <c r="D435" t="inlineStr">
        <is>
          <t>NORRBOTTENS LÄN</t>
        </is>
      </c>
      <c r="E435" t="inlineStr">
        <is>
          <t>ARVIDSJAUR</t>
        </is>
      </c>
      <c r="G435" t="n">
        <v>7.8</v>
      </c>
      <c r="H435" t="n">
        <v>0</v>
      </c>
      <c r="I435" t="n">
        <v>0</v>
      </c>
      <c r="J435" t="n">
        <v>0</v>
      </c>
      <c r="K435" t="n">
        <v>0</v>
      </c>
      <c r="L435" t="n">
        <v>0</v>
      </c>
      <c r="M435" t="n">
        <v>0</v>
      </c>
      <c r="N435" t="n">
        <v>0</v>
      </c>
      <c r="O435" t="n">
        <v>0</v>
      </c>
      <c r="P435" t="n">
        <v>0</v>
      </c>
      <c r="Q435" t="n">
        <v>0</v>
      </c>
      <c r="R435" s="2" t="inlineStr"/>
    </row>
    <row r="436" ht="15" customHeight="1">
      <c r="A436" t="inlineStr">
        <is>
          <t>A 45100-2023</t>
        </is>
      </c>
      <c r="B436" s="1" t="n">
        <v>45191</v>
      </c>
      <c r="C436" s="1" t="n">
        <v>45732</v>
      </c>
      <c r="D436" t="inlineStr">
        <is>
          <t>NORRBOTTENS LÄN</t>
        </is>
      </c>
      <c r="E436" t="inlineStr">
        <is>
          <t>ARVIDSJAUR</t>
        </is>
      </c>
      <c r="G436" t="n">
        <v>8.4</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v>
      </c>
      <c r="C437" s="1" t="n">
        <v>45732</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45962-2023</t>
        </is>
      </c>
      <c r="B438" s="1" t="n">
        <v>45195</v>
      </c>
      <c r="C438" s="1" t="n">
        <v>45732</v>
      </c>
      <c r="D438" t="inlineStr">
        <is>
          <t>NORRBOTTENS LÄN</t>
        </is>
      </c>
      <c r="E438" t="inlineStr">
        <is>
          <t>ARVIDSJAUR</t>
        </is>
      </c>
      <c r="F438" t="inlineStr">
        <is>
          <t>SCA</t>
        </is>
      </c>
      <c r="G438" t="n">
        <v>12.3</v>
      </c>
      <c r="H438" t="n">
        <v>0</v>
      </c>
      <c r="I438" t="n">
        <v>0</v>
      </c>
      <c r="J438" t="n">
        <v>0</v>
      </c>
      <c r="K438" t="n">
        <v>0</v>
      </c>
      <c r="L438" t="n">
        <v>0</v>
      </c>
      <c r="M438" t="n">
        <v>0</v>
      </c>
      <c r="N438" t="n">
        <v>0</v>
      </c>
      <c r="O438" t="n">
        <v>0</v>
      </c>
      <c r="P438" t="n">
        <v>0</v>
      </c>
      <c r="Q438" t="n">
        <v>0</v>
      </c>
      <c r="R438" s="2" t="inlineStr"/>
    </row>
    <row r="439" ht="15" customHeight="1">
      <c r="A439" t="inlineStr">
        <is>
          <t>A 45961-2023</t>
        </is>
      </c>
      <c r="B439" s="1" t="n">
        <v>45195</v>
      </c>
      <c r="C439" s="1" t="n">
        <v>45732</v>
      </c>
      <c r="D439" t="inlineStr">
        <is>
          <t>NORRBOTTENS LÄN</t>
        </is>
      </c>
      <c r="E439" t="inlineStr">
        <is>
          <t>ARVIDSJAUR</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45960-2023</t>
        </is>
      </c>
      <c r="B440" s="1" t="n">
        <v>45195</v>
      </c>
      <c r="C440" s="1" t="n">
        <v>45732</v>
      </c>
      <c r="D440" t="inlineStr">
        <is>
          <t>NORRBOTTENS LÄN</t>
        </is>
      </c>
      <c r="E440" t="inlineStr">
        <is>
          <t>ARVIDSJAUR</t>
        </is>
      </c>
      <c r="F440" t="inlineStr">
        <is>
          <t>SCA</t>
        </is>
      </c>
      <c r="G440" t="n">
        <v>12.3</v>
      </c>
      <c r="H440" t="n">
        <v>0</v>
      </c>
      <c r="I440" t="n">
        <v>0</v>
      </c>
      <c r="J440" t="n">
        <v>0</v>
      </c>
      <c r="K440" t="n">
        <v>0</v>
      </c>
      <c r="L440" t="n">
        <v>0</v>
      </c>
      <c r="M440" t="n">
        <v>0</v>
      </c>
      <c r="N440" t="n">
        <v>0</v>
      </c>
      <c r="O440" t="n">
        <v>0</v>
      </c>
      <c r="P440" t="n">
        <v>0</v>
      </c>
      <c r="Q440" t="n">
        <v>0</v>
      </c>
      <c r="R440" s="2" t="inlineStr"/>
    </row>
    <row r="441" ht="15" customHeight="1">
      <c r="A441" t="inlineStr">
        <is>
          <t>A 48291-2023</t>
        </is>
      </c>
      <c r="B441" s="1" t="n">
        <v>45201</v>
      </c>
      <c r="C441" s="1" t="n">
        <v>45732</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48250-2023</t>
        </is>
      </c>
      <c r="B442" s="1" t="n">
        <v>45205</v>
      </c>
      <c r="C442" s="1" t="n">
        <v>45732</v>
      </c>
      <c r="D442" t="inlineStr">
        <is>
          <t>NORRBOTTENS LÄN</t>
        </is>
      </c>
      <c r="E442" t="inlineStr">
        <is>
          <t>ARVIDSJAUR</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49734-2023</t>
        </is>
      </c>
      <c r="B443" s="1" t="n">
        <v>45208</v>
      </c>
      <c r="C443" s="1" t="n">
        <v>45732</v>
      </c>
      <c r="D443" t="inlineStr">
        <is>
          <t>NORRBOTTENS LÄN</t>
        </is>
      </c>
      <c r="E443" t="inlineStr">
        <is>
          <t>ARVIDSJAUR</t>
        </is>
      </c>
      <c r="G443" t="n">
        <v>6.3</v>
      </c>
      <c r="H443" t="n">
        <v>0</v>
      </c>
      <c r="I443" t="n">
        <v>0</v>
      </c>
      <c r="J443" t="n">
        <v>0</v>
      </c>
      <c r="K443" t="n">
        <v>0</v>
      </c>
      <c r="L443" t="n">
        <v>0</v>
      </c>
      <c r="M443" t="n">
        <v>0</v>
      </c>
      <c r="N443" t="n">
        <v>0</v>
      </c>
      <c r="O443" t="n">
        <v>0</v>
      </c>
      <c r="P443" t="n">
        <v>0</v>
      </c>
      <c r="Q443" t="n">
        <v>0</v>
      </c>
      <c r="R443" s="2" t="inlineStr"/>
    </row>
    <row r="444" ht="15" customHeight="1">
      <c r="A444" t="inlineStr">
        <is>
          <t>A 49737-2023</t>
        </is>
      </c>
      <c r="B444" s="1" t="n">
        <v>45208</v>
      </c>
      <c r="C444" s="1" t="n">
        <v>45732</v>
      </c>
      <c r="D444" t="inlineStr">
        <is>
          <t>NORRBOTTENS LÄN</t>
        </is>
      </c>
      <c r="E444" t="inlineStr">
        <is>
          <t>ARVIDSJAUR</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49103-2023</t>
        </is>
      </c>
      <c r="B445" s="1" t="n">
        <v>45210</v>
      </c>
      <c r="C445" s="1" t="n">
        <v>45732</v>
      </c>
      <c r="D445" t="inlineStr">
        <is>
          <t>NORRBOTTENS LÄN</t>
        </is>
      </c>
      <c r="E445" t="inlineStr">
        <is>
          <t>ARVIDSJAUR</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50731-2023</t>
        </is>
      </c>
      <c r="B446" s="1" t="n">
        <v>45210</v>
      </c>
      <c r="C446" s="1" t="n">
        <v>45732</v>
      </c>
      <c r="D446" t="inlineStr">
        <is>
          <t>NORRBOTTENS LÄN</t>
        </is>
      </c>
      <c r="E446" t="inlineStr">
        <is>
          <t>ARVIDSJAUR</t>
        </is>
      </c>
      <c r="G446" t="n">
        <v>5.6</v>
      </c>
      <c r="H446" t="n">
        <v>0</v>
      </c>
      <c r="I446" t="n">
        <v>0</v>
      </c>
      <c r="J446" t="n">
        <v>0</v>
      </c>
      <c r="K446" t="n">
        <v>0</v>
      </c>
      <c r="L446" t="n">
        <v>0</v>
      </c>
      <c r="M446" t="n">
        <v>0</v>
      </c>
      <c r="N446" t="n">
        <v>0</v>
      </c>
      <c r="O446" t="n">
        <v>0</v>
      </c>
      <c r="P446" t="n">
        <v>0</v>
      </c>
      <c r="Q446" t="n">
        <v>0</v>
      </c>
      <c r="R446" s="2" t="inlineStr"/>
    </row>
    <row r="447" ht="15" customHeight="1">
      <c r="A447" t="inlineStr">
        <is>
          <t>A 51627-2023</t>
        </is>
      </c>
      <c r="B447" s="1" t="n">
        <v>45222</v>
      </c>
      <c r="C447" s="1" t="n">
        <v>45732</v>
      </c>
      <c r="D447" t="inlineStr">
        <is>
          <t>NORRBOTTENS LÄN</t>
        </is>
      </c>
      <c r="E447" t="inlineStr">
        <is>
          <t>ARVIDSJAUR</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51631-2023</t>
        </is>
      </c>
      <c r="B448" s="1" t="n">
        <v>45222</v>
      </c>
      <c r="C448" s="1" t="n">
        <v>45732</v>
      </c>
      <c r="D448" t="inlineStr">
        <is>
          <t>NORRBOTTENS LÄN</t>
        </is>
      </c>
      <c r="E448" t="inlineStr">
        <is>
          <t>ARVIDSJAUR</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51629-2023</t>
        </is>
      </c>
      <c r="B449" s="1" t="n">
        <v>45222</v>
      </c>
      <c r="C449" s="1" t="n">
        <v>45732</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53271-2023</t>
        </is>
      </c>
      <c r="B450" s="1" t="n">
        <v>45222</v>
      </c>
      <c r="C450" s="1" t="n">
        <v>45732</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52642-2023</t>
        </is>
      </c>
      <c r="B451" s="1" t="n">
        <v>45225</v>
      </c>
      <c r="C451" s="1" t="n">
        <v>45732</v>
      </c>
      <c r="D451" t="inlineStr">
        <is>
          <t>NORRBOTTENS LÄN</t>
        </is>
      </c>
      <c r="E451" t="inlineStr">
        <is>
          <t>ARVIDSJAUR</t>
        </is>
      </c>
      <c r="G451" t="n">
        <v>0.9</v>
      </c>
      <c r="H451" t="n">
        <v>0</v>
      </c>
      <c r="I451" t="n">
        <v>0</v>
      </c>
      <c r="J451" t="n">
        <v>0</v>
      </c>
      <c r="K451" t="n">
        <v>0</v>
      </c>
      <c r="L451" t="n">
        <v>0</v>
      </c>
      <c r="M451" t="n">
        <v>0</v>
      </c>
      <c r="N451" t="n">
        <v>0</v>
      </c>
      <c r="O451" t="n">
        <v>0</v>
      </c>
      <c r="P451" t="n">
        <v>0</v>
      </c>
      <c r="Q451" t="n">
        <v>0</v>
      </c>
      <c r="R451" s="2" t="inlineStr"/>
    </row>
    <row r="452" ht="15" customHeight="1">
      <c r="A452" t="inlineStr">
        <is>
          <t>A 52649-2023</t>
        </is>
      </c>
      <c r="B452" s="1" t="n">
        <v>45225</v>
      </c>
      <c r="C452" s="1" t="n">
        <v>45732</v>
      </c>
      <c r="D452" t="inlineStr">
        <is>
          <t>NORRBOTTENS LÄN</t>
        </is>
      </c>
      <c r="E452" t="inlineStr">
        <is>
          <t>ARVIDSJAUR</t>
        </is>
      </c>
      <c r="G452" t="n">
        <v>1.9</v>
      </c>
      <c r="H452" t="n">
        <v>0</v>
      </c>
      <c r="I452" t="n">
        <v>0</v>
      </c>
      <c r="J452" t="n">
        <v>0</v>
      </c>
      <c r="K452" t="n">
        <v>0</v>
      </c>
      <c r="L452" t="n">
        <v>0</v>
      </c>
      <c r="M452" t="n">
        <v>0</v>
      </c>
      <c r="N452" t="n">
        <v>0</v>
      </c>
      <c r="O452" t="n">
        <v>0</v>
      </c>
      <c r="P452" t="n">
        <v>0</v>
      </c>
      <c r="Q452" t="n">
        <v>0</v>
      </c>
      <c r="R452" s="2" t="inlineStr"/>
    </row>
    <row r="453" ht="15" customHeight="1">
      <c r="A453" t="inlineStr">
        <is>
          <t>A 52635-2023</t>
        </is>
      </c>
      <c r="B453" s="1" t="n">
        <v>45225</v>
      </c>
      <c r="C453" s="1" t="n">
        <v>45732</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52640-2023</t>
        </is>
      </c>
      <c r="B454" s="1" t="n">
        <v>45225</v>
      </c>
      <c r="C454" s="1" t="n">
        <v>45732</v>
      </c>
      <c r="D454" t="inlineStr">
        <is>
          <t>NORRBOTTENS LÄN</t>
        </is>
      </c>
      <c r="E454" t="inlineStr">
        <is>
          <t>ARVIDSJAUR</t>
        </is>
      </c>
      <c r="G454" t="n">
        <v>2.2</v>
      </c>
      <c r="H454" t="n">
        <v>0</v>
      </c>
      <c r="I454" t="n">
        <v>0</v>
      </c>
      <c r="J454" t="n">
        <v>0</v>
      </c>
      <c r="K454" t="n">
        <v>0</v>
      </c>
      <c r="L454" t="n">
        <v>0</v>
      </c>
      <c r="M454" t="n">
        <v>0</v>
      </c>
      <c r="N454" t="n">
        <v>0</v>
      </c>
      <c r="O454" t="n">
        <v>0</v>
      </c>
      <c r="P454" t="n">
        <v>0</v>
      </c>
      <c r="Q454" t="n">
        <v>0</v>
      </c>
      <c r="R454" s="2" t="inlineStr"/>
    </row>
    <row r="455" ht="15" customHeight="1">
      <c r="A455" t="inlineStr">
        <is>
          <t>A 52645-2023</t>
        </is>
      </c>
      <c r="B455" s="1" t="n">
        <v>45225</v>
      </c>
      <c r="C455" s="1" t="n">
        <v>45732</v>
      </c>
      <c r="D455" t="inlineStr">
        <is>
          <t>NORRBOTTENS LÄN</t>
        </is>
      </c>
      <c r="E455" t="inlineStr">
        <is>
          <t>ARVIDSJAUR</t>
        </is>
      </c>
      <c r="G455" t="n">
        <v>2.7</v>
      </c>
      <c r="H455" t="n">
        <v>0</v>
      </c>
      <c r="I455" t="n">
        <v>0</v>
      </c>
      <c r="J455" t="n">
        <v>0</v>
      </c>
      <c r="K455" t="n">
        <v>0</v>
      </c>
      <c r="L455" t="n">
        <v>0</v>
      </c>
      <c r="M455" t="n">
        <v>0</v>
      </c>
      <c r="N455" t="n">
        <v>0</v>
      </c>
      <c r="O455" t="n">
        <v>0</v>
      </c>
      <c r="P455" t="n">
        <v>0</v>
      </c>
      <c r="Q455" t="n">
        <v>0</v>
      </c>
      <c r="R455" s="2" t="inlineStr"/>
    </row>
    <row r="456" ht="15" customHeight="1">
      <c r="A456" t="inlineStr">
        <is>
          <t>A 52638-2023</t>
        </is>
      </c>
      <c r="B456" s="1" t="n">
        <v>45225</v>
      </c>
      <c r="C456" s="1" t="n">
        <v>45732</v>
      </c>
      <c r="D456" t="inlineStr">
        <is>
          <t>NORRBOTTENS LÄN</t>
        </is>
      </c>
      <c r="E456" t="inlineStr">
        <is>
          <t>ARVIDSJAUR</t>
        </is>
      </c>
      <c r="G456" t="n">
        <v>7.1</v>
      </c>
      <c r="H456" t="n">
        <v>0</v>
      </c>
      <c r="I456" t="n">
        <v>0</v>
      </c>
      <c r="J456" t="n">
        <v>0</v>
      </c>
      <c r="K456" t="n">
        <v>0</v>
      </c>
      <c r="L456" t="n">
        <v>0</v>
      </c>
      <c r="M456" t="n">
        <v>0</v>
      </c>
      <c r="N456" t="n">
        <v>0</v>
      </c>
      <c r="O456" t="n">
        <v>0</v>
      </c>
      <c r="P456" t="n">
        <v>0</v>
      </c>
      <c r="Q456" t="n">
        <v>0</v>
      </c>
      <c r="R456" s="2" t="inlineStr"/>
    </row>
    <row r="457" ht="15" customHeight="1">
      <c r="A457" t="inlineStr">
        <is>
          <t>A 52644-2023</t>
        </is>
      </c>
      <c r="B457" s="1" t="n">
        <v>45225</v>
      </c>
      <c r="C457" s="1" t="n">
        <v>45732</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52646-2023</t>
        </is>
      </c>
      <c r="B458" s="1" t="n">
        <v>45225</v>
      </c>
      <c r="C458" s="1" t="n">
        <v>45732</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52650-2023</t>
        </is>
      </c>
      <c r="B459" s="1" t="n">
        <v>45225</v>
      </c>
      <c r="C459" s="1" t="n">
        <v>45732</v>
      </c>
      <c r="D459" t="inlineStr">
        <is>
          <t>NORRBOTTENS LÄN</t>
        </is>
      </c>
      <c r="E459" t="inlineStr">
        <is>
          <t>ARVIDSJAUR</t>
        </is>
      </c>
      <c r="G459" t="n">
        <v>0.9</v>
      </c>
      <c r="H459" t="n">
        <v>0</v>
      </c>
      <c r="I459" t="n">
        <v>0</v>
      </c>
      <c r="J459" t="n">
        <v>0</v>
      </c>
      <c r="K459" t="n">
        <v>0</v>
      </c>
      <c r="L459" t="n">
        <v>0</v>
      </c>
      <c r="M459" t="n">
        <v>0</v>
      </c>
      <c r="N459" t="n">
        <v>0</v>
      </c>
      <c r="O459" t="n">
        <v>0</v>
      </c>
      <c r="P459" t="n">
        <v>0</v>
      </c>
      <c r="Q459" t="n">
        <v>0</v>
      </c>
      <c r="R459" s="2" t="inlineStr"/>
    </row>
    <row r="460" ht="15" customHeight="1">
      <c r="A460" t="inlineStr">
        <is>
          <t>A 54311-2023</t>
        </is>
      </c>
      <c r="B460" s="1" t="n">
        <v>45225</v>
      </c>
      <c r="C460" s="1" t="n">
        <v>45732</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54524-2023</t>
        </is>
      </c>
      <c r="B461" s="1" t="n">
        <v>45226</v>
      </c>
      <c r="C461" s="1" t="n">
        <v>45732</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54529-2023</t>
        </is>
      </c>
      <c r="B462" s="1" t="n">
        <v>45226</v>
      </c>
      <c r="C462" s="1" t="n">
        <v>45732</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45732</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53535-2023</t>
        </is>
      </c>
      <c r="B464" s="1" t="n">
        <v>45230</v>
      </c>
      <c r="C464" s="1" t="n">
        <v>45732</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53534-2023</t>
        </is>
      </c>
      <c r="B465" s="1" t="n">
        <v>45230</v>
      </c>
      <c r="C465" s="1" t="n">
        <v>45732</v>
      </c>
      <c r="D465" t="inlineStr">
        <is>
          <t>NORRBOTTENS LÄN</t>
        </is>
      </c>
      <c r="E465" t="inlineStr">
        <is>
          <t>ARVIDSJAUR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55568-2023</t>
        </is>
      </c>
      <c r="B466" s="1" t="n">
        <v>45232</v>
      </c>
      <c r="C466" s="1" t="n">
        <v>45732</v>
      </c>
      <c r="D466" t="inlineStr">
        <is>
          <t>NORRBOTTENS LÄN</t>
        </is>
      </c>
      <c r="E466" t="inlineStr">
        <is>
          <t>ARVIDSJAUR</t>
        </is>
      </c>
      <c r="G466" t="n">
        <v>2.3</v>
      </c>
      <c r="H466" t="n">
        <v>0</v>
      </c>
      <c r="I466" t="n">
        <v>0</v>
      </c>
      <c r="J466" t="n">
        <v>0</v>
      </c>
      <c r="K466" t="n">
        <v>0</v>
      </c>
      <c r="L466" t="n">
        <v>0</v>
      </c>
      <c r="M466" t="n">
        <v>0</v>
      </c>
      <c r="N466" t="n">
        <v>0</v>
      </c>
      <c r="O466" t="n">
        <v>0</v>
      </c>
      <c r="P466" t="n">
        <v>0</v>
      </c>
      <c r="Q466" t="n">
        <v>0</v>
      </c>
      <c r="R466" s="2" t="inlineStr"/>
    </row>
    <row r="467" ht="15" customHeight="1">
      <c r="A467" t="inlineStr">
        <is>
          <t>A 55564-2023</t>
        </is>
      </c>
      <c r="B467" s="1" t="n">
        <v>45232</v>
      </c>
      <c r="C467" s="1" t="n">
        <v>45732</v>
      </c>
      <c r="D467" t="inlineStr">
        <is>
          <t>NORRBOTTENS LÄN</t>
        </is>
      </c>
      <c r="E467" t="inlineStr">
        <is>
          <t>ARVIDSJAUR</t>
        </is>
      </c>
      <c r="G467" t="n">
        <v>4.6</v>
      </c>
      <c r="H467" t="n">
        <v>0</v>
      </c>
      <c r="I467" t="n">
        <v>0</v>
      </c>
      <c r="J467" t="n">
        <v>0</v>
      </c>
      <c r="K467" t="n">
        <v>0</v>
      </c>
      <c r="L467" t="n">
        <v>0</v>
      </c>
      <c r="M467" t="n">
        <v>0</v>
      </c>
      <c r="N467" t="n">
        <v>0</v>
      </c>
      <c r="O467" t="n">
        <v>0</v>
      </c>
      <c r="P467" t="n">
        <v>0</v>
      </c>
      <c r="Q467" t="n">
        <v>0</v>
      </c>
      <c r="R467" s="2" t="inlineStr"/>
    </row>
    <row r="468" ht="15" customHeight="1">
      <c r="A468" t="inlineStr">
        <is>
          <t>A 55577-2023</t>
        </is>
      </c>
      <c r="B468" s="1" t="n">
        <v>45232</v>
      </c>
      <c r="C468" s="1" t="n">
        <v>45732</v>
      </c>
      <c r="D468" t="inlineStr">
        <is>
          <t>NORRBOTTENS LÄN</t>
        </is>
      </c>
      <c r="E468" t="inlineStr">
        <is>
          <t>ARVIDSJAUR</t>
        </is>
      </c>
      <c r="G468" t="n">
        <v>2.9</v>
      </c>
      <c r="H468" t="n">
        <v>0</v>
      </c>
      <c r="I468" t="n">
        <v>0</v>
      </c>
      <c r="J468" t="n">
        <v>0</v>
      </c>
      <c r="K468" t="n">
        <v>0</v>
      </c>
      <c r="L468" t="n">
        <v>0</v>
      </c>
      <c r="M468" t="n">
        <v>0</v>
      </c>
      <c r="N468" t="n">
        <v>0</v>
      </c>
      <c r="O468" t="n">
        <v>0</v>
      </c>
      <c r="P468" t="n">
        <v>0</v>
      </c>
      <c r="Q468" t="n">
        <v>0</v>
      </c>
      <c r="R468" s="2" t="inlineStr"/>
    </row>
    <row r="469" ht="15" customHeight="1">
      <c r="A469" t="inlineStr">
        <is>
          <t>A 55557-2023</t>
        </is>
      </c>
      <c r="B469" s="1" t="n">
        <v>45232</v>
      </c>
      <c r="C469" s="1" t="n">
        <v>45732</v>
      </c>
      <c r="D469" t="inlineStr">
        <is>
          <t>NORRBOTTENS LÄN</t>
        </is>
      </c>
      <c r="E469" t="inlineStr">
        <is>
          <t>ARVIDSJAUR</t>
        </is>
      </c>
      <c r="G469" t="n">
        <v>6.3</v>
      </c>
      <c r="H469" t="n">
        <v>0</v>
      </c>
      <c r="I469" t="n">
        <v>0</v>
      </c>
      <c r="J469" t="n">
        <v>0</v>
      </c>
      <c r="K469" t="n">
        <v>0</v>
      </c>
      <c r="L469" t="n">
        <v>0</v>
      </c>
      <c r="M469" t="n">
        <v>0</v>
      </c>
      <c r="N469" t="n">
        <v>0</v>
      </c>
      <c r="O469" t="n">
        <v>0</v>
      </c>
      <c r="P469" t="n">
        <v>0</v>
      </c>
      <c r="Q469" t="n">
        <v>0</v>
      </c>
      <c r="R469" s="2" t="inlineStr"/>
    </row>
    <row r="470" ht="15" customHeight="1">
      <c r="A470" t="inlineStr">
        <is>
          <t>A 58010-2023</t>
        </is>
      </c>
      <c r="B470" s="1" t="n">
        <v>45244</v>
      </c>
      <c r="C470" s="1" t="n">
        <v>45732</v>
      </c>
      <c r="D470" t="inlineStr">
        <is>
          <t>NORRBOTTENS LÄN</t>
        </is>
      </c>
      <c r="E470" t="inlineStr">
        <is>
          <t>ARVIDSJAUR</t>
        </is>
      </c>
      <c r="G470" t="n">
        <v>3.3</v>
      </c>
      <c r="H470" t="n">
        <v>0</v>
      </c>
      <c r="I470" t="n">
        <v>0</v>
      </c>
      <c r="J470" t="n">
        <v>0</v>
      </c>
      <c r="K470" t="n">
        <v>0</v>
      </c>
      <c r="L470" t="n">
        <v>0</v>
      </c>
      <c r="M470" t="n">
        <v>0</v>
      </c>
      <c r="N470" t="n">
        <v>0</v>
      </c>
      <c r="O470" t="n">
        <v>0</v>
      </c>
      <c r="P470" t="n">
        <v>0</v>
      </c>
      <c r="Q470" t="n">
        <v>0</v>
      </c>
      <c r="R470" s="2" t="inlineStr"/>
    </row>
    <row r="471" ht="15" customHeight="1">
      <c r="A471" t="inlineStr">
        <is>
          <t>A 57988-2023</t>
        </is>
      </c>
      <c r="B471" s="1" t="n">
        <v>45244</v>
      </c>
      <c r="C471" s="1" t="n">
        <v>45732</v>
      </c>
      <c r="D471" t="inlineStr">
        <is>
          <t>NORRBOTTENS LÄN</t>
        </is>
      </c>
      <c r="E471" t="inlineStr">
        <is>
          <t>ARVIDSJAUR</t>
        </is>
      </c>
      <c r="G471" t="n">
        <v>1.7</v>
      </c>
      <c r="H471" t="n">
        <v>0</v>
      </c>
      <c r="I471" t="n">
        <v>0</v>
      </c>
      <c r="J471" t="n">
        <v>0</v>
      </c>
      <c r="K471" t="n">
        <v>0</v>
      </c>
      <c r="L471" t="n">
        <v>0</v>
      </c>
      <c r="M471" t="n">
        <v>0</v>
      </c>
      <c r="N471" t="n">
        <v>0</v>
      </c>
      <c r="O471" t="n">
        <v>0</v>
      </c>
      <c r="P471" t="n">
        <v>0</v>
      </c>
      <c r="Q471" t="n">
        <v>0</v>
      </c>
      <c r="R471" s="2" t="inlineStr"/>
    </row>
    <row r="472" ht="15" customHeight="1">
      <c r="A472" t="inlineStr">
        <is>
          <t>A 58006-2023</t>
        </is>
      </c>
      <c r="B472" s="1" t="n">
        <v>45244</v>
      </c>
      <c r="C472" s="1" t="n">
        <v>45732</v>
      </c>
      <c r="D472" t="inlineStr">
        <is>
          <t>NORRBOTTENS LÄN</t>
        </is>
      </c>
      <c r="E472" t="inlineStr">
        <is>
          <t>ARVIDSJAUR</t>
        </is>
      </c>
      <c r="G472" t="n">
        <v>4.7</v>
      </c>
      <c r="H472" t="n">
        <v>0</v>
      </c>
      <c r="I472" t="n">
        <v>0</v>
      </c>
      <c r="J472" t="n">
        <v>0</v>
      </c>
      <c r="K472" t="n">
        <v>0</v>
      </c>
      <c r="L472" t="n">
        <v>0</v>
      </c>
      <c r="M472" t="n">
        <v>0</v>
      </c>
      <c r="N472" t="n">
        <v>0</v>
      </c>
      <c r="O472" t="n">
        <v>0</v>
      </c>
      <c r="P472" t="n">
        <v>0</v>
      </c>
      <c r="Q472" t="n">
        <v>0</v>
      </c>
      <c r="R472" s="2" t="inlineStr"/>
    </row>
    <row r="473" ht="15" customHeight="1">
      <c r="A473" t="inlineStr">
        <is>
          <t>A 58004-2023</t>
        </is>
      </c>
      <c r="B473" s="1" t="n">
        <v>45244</v>
      </c>
      <c r="C473" s="1" t="n">
        <v>45732</v>
      </c>
      <c r="D473" t="inlineStr">
        <is>
          <t>NORRBOTTENS LÄN</t>
        </is>
      </c>
      <c r="E473" t="inlineStr">
        <is>
          <t>ARVIDSJAUR</t>
        </is>
      </c>
      <c r="G473" t="n">
        <v>11.3</v>
      </c>
      <c r="H473" t="n">
        <v>0</v>
      </c>
      <c r="I473" t="n">
        <v>0</v>
      </c>
      <c r="J473" t="n">
        <v>0</v>
      </c>
      <c r="K473" t="n">
        <v>0</v>
      </c>
      <c r="L473" t="n">
        <v>0</v>
      </c>
      <c r="M473" t="n">
        <v>0</v>
      </c>
      <c r="N473" t="n">
        <v>0</v>
      </c>
      <c r="O473" t="n">
        <v>0</v>
      </c>
      <c r="P473" t="n">
        <v>0</v>
      </c>
      <c r="Q473" t="n">
        <v>0</v>
      </c>
      <c r="R473" s="2" t="inlineStr"/>
    </row>
    <row r="474" ht="15" customHeight="1">
      <c r="A474" t="inlineStr">
        <is>
          <t>A 58025-2023</t>
        </is>
      </c>
      <c r="B474" s="1" t="n">
        <v>45244</v>
      </c>
      <c r="C474" s="1" t="n">
        <v>45732</v>
      </c>
      <c r="D474" t="inlineStr">
        <is>
          <t>NORRBOTTENS LÄN</t>
        </is>
      </c>
      <c r="E474" t="inlineStr">
        <is>
          <t>ARVIDSJAUR</t>
        </is>
      </c>
      <c r="G474" t="n">
        <v>4.2</v>
      </c>
      <c r="H474" t="n">
        <v>0</v>
      </c>
      <c r="I474" t="n">
        <v>0</v>
      </c>
      <c r="J474" t="n">
        <v>0</v>
      </c>
      <c r="K474" t="n">
        <v>0</v>
      </c>
      <c r="L474" t="n">
        <v>0</v>
      </c>
      <c r="M474" t="n">
        <v>0</v>
      </c>
      <c r="N474" t="n">
        <v>0</v>
      </c>
      <c r="O474" t="n">
        <v>0</v>
      </c>
      <c r="P474" t="n">
        <v>0</v>
      </c>
      <c r="Q474" t="n">
        <v>0</v>
      </c>
      <c r="R474" s="2" t="inlineStr"/>
    </row>
    <row r="475" ht="15" customHeight="1">
      <c r="A475" t="inlineStr">
        <is>
          <t>A 57903-2023</t>
        </is>
      </c>
      <c r="B475" s="1" t="n">
        <v>45244</v>
      </c>
      <c r="C475" s="1" t="n">
        <v>45732</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58253-2023</t>
        </is>
      </c>
      <c r="B476" s="1" t="n">
        <v>45245</v>
      </c>
      <c r="C476" s="1" t="n">
        <v>45732</v>
      </c>
      <c r="D476" t="inlineStr">
        <is>
          <t>NORRBOTTENS LÄN</t>
        </is>
      </c>
      <c r="E476" t="inlineStr">
        <is>
          <t>ARVIDSJAUR</t>
        </is>
      </c>
      <c r="G476" t="n">
        <v>1.1</v>
      </c>
      <c r="H476" t="n">
        <v>0</v>
      </c>
      <c r="I476" t="n">
        <v>0</v>
      </c>
      <c r="J476" t="n">
        <v>0</v>
      </c>
      <c r="K476" t="n">
        <v>0</v>
      </c>
      <c r="L476" t="n">
        <v>0</v>
      </c>
      <c r="M476" t="n">
        <v>0</v>
      </c>
      <c r="N476" t="n">
        <v>0</v>
      </c>
      <c r="O476" t="n">
        <v>0</v>
      </c>
      <c r="P476" t="n">
        <v>0</v>
      </c>
      <c r="Q476" t="n">
        <v>0</v>
      </c>
      <c r="R476" s="2" t="inlineStr"/>
    </row>
    <row r="477" ht="15" customHeight="1">
      <c r="A477" t="inlineStr">
        <is>
          <t>A 58063-2023</t>
        </is>
      </c>
      <c r="B477" s="1" t="n">
        <v>45247</v>
      </c>
      <c r="C477" s="1" t="n">
        <v>45732</v>
      </c>
      <c r="D477" t="inlineStr">
        <is>
          <t>NORRBOTTENS LÄN</t>
        </is>
      </c>
      <c r="E477" t="inlineStr">
        <is>
          <t>ARVIDSJAUR</t>
        </is>
      </c>
      <c r="G477" t="n">
        <v>5.3</v>
      </c>
      <c r="H477" t="n">
        <v>0</v>
      </c>
      <c r="I477" t="n">
        <v>0</v>
      </c>
      <c r="J477" t="n">
        <v>0</v>
      </c>
      <c r="K477" t="n">
        <v>0</v>
      </c>
      <c r="L477" t="n">
        <v>0</v>
      </c>
      <c r="M477" t="n">
        <v>0</v>
      </c>
      <c r="N477" t="n">
        <v>0</v>
      </c>
      <c r="O477" t="n">
        <v>0</v>
      </c>
      <c r="P477" t="n">
        <v>0</v>
      </c>
      <c r="Q477" t="n">
        <v>0</v>
      </c>
      <c r="R477" s="2" t="inlineStr"/>
    </row>
    <row r="478" ht="15" customHeight="1">
      <c r="A478" t="inlineStr">
        <is>
          <t>A 63382-2023</t>
        </is>
      </c>
      <c r="B478" s="1" t="n">
        <v>45274</v>
      </c>
      <c r="C478" s="1" t="n">
        <v>45732</v>
      </c>
      <c r="D478" t="inlineStr">
        <is>
          <t>NORRBOTTENS LÄN</t>
        </is>
      </c>
      <c r="E478" t="inlineStr">
        <is>
          <t>ARVIDSJAUR</t>
        </is>
      </c>
      <c r="G478" t="n">
        <v>1.2</v>
      </c>
      <c r="H478" t="n">
        <v>0</v>
      </c>
      <c r="I478" t="n">
        <v>0</v>
      </c>
      <c r="J478" t="n">
        <v>0</v>
      </c>
      <c r="K478" t="n">
        <v>0</v>
      </c>
      <c r="L478" t="n">
        <v>0</v>
      </c>
      <c r="M478" t="n">
        <v>0</v>
      </c>
      <c r="N478" t="n">
        <v>0</v>
      </c>
      <c r="O478" t="n">
        <v>0</v>
      </c>
      <c r="P478" t="n">
        <v>0</v>
      </c>
      <c r="Q478" t="n">
        <v>0</v>
      </c>
      <c r="R478" s="2" t="inlineStr"/>
    </row>
    <row r="479" ht="15" customHeight="1">
      <c r="A479" t="inlineStr">
        <is>
          <t>A 63828-2023</t>
        </is>
      </c>
      <c r="B479" s="1" t="n">
        <v>45278</v>
      </c>
      <c r="C479" s="1" t="n">
        <v>45732</v>
      </c>
      <c r="D479" t="inlineStr">
        <is>
          <t>NORRBOTTENS LÄN</t>
        </is>
      </c>
      <c r="E479" t="inlineStr">
        <is>
          <t>ARVIDSJAUR</t>
        </is>
      </c>
      <c r="F479" t="inlineStr">
        <is>
          <t>Sveaskog</t>
        </is>
      </c>
      <c r="G479" t="n">
        <v>28.4</v>
      </c>
      <c r="H479" t="n">
        <v>0</v>
      </c>
      <c r="I479" t="n">
        <v>0</v>
      </c>
      <c r="J479" t="n">
        <v>0</v>
      </c>
      <c r="K479" t="n">
        <v>0</v>
      </c>
      <c r="L479" t="n">
        <v>0</v>
      </c>
      <c r="M479" t="n">
        <v>0</v>
      </c>
      <c r="N479" t="n">
        <v>0</v>
      </c>
      <c r="O479" t="n">
        <v>0</v>
      </c>
      <c r="P479" t="n">
        <v>0</v>
      </c>
      <c r="Q479" t="n">
        <v>0</v>
      </c>
      <c r="R479" s="2" t="inlineStr"/>
    </row>
    <row r="480" ht="15" customHeight="1">
      <c r="A480" t="inlineStr">
        <is>
          <t>A 218-2024</t>
        </is>
      </c>
      <c r="B480" s="1" t="n">
        <v>45293</v>
      </c>
      <c r="C480" s="1" t="n">
        <v>45732</v>
      </c>
      <c r="D480" t="inlineStr">
        <is>
          <t>NORRBOTTENS LÄN</t>
        </is>
      </c>
      <c r="E480" t="inlineStr">
        <is>
          <t>ARVIDSJAUR</t>
        </is>
      </c>
      <c r="G480" t="n">
        <v>6.8</v>
      </c>
      <c r="H480" t="n">
        <v>0</v>
      </c>
      <c r="I480" t="n">
        <v>0</v>
      </c>
      <c r="J480" t="n">
        <v>0</v>
      </c>
      <c r="K480" t="n">
        <v>0</v>
      </c>
      <c r="L480" t="n">
        <v>0</v>
      </c>
      <c r="M480" t="n">
        <v>0</v>
      </c>
      <c r="N480" t="n">
        <v>0</v>
      </c>
      <c r="O480" t="n">
        <v>0</v>
      </c>
      <c r="P480" t="n">
        <v>0</v>
      </c>
      <c r="Q480" t="n">
        <v>0</v>
      </c>
      <c r="R480" s="2" t="inlineStr"/>
    </row>
    <row r="481" ht="15" customHeight="1">
      <c r="A481" t="inlineStr">
        <is>
          <t>A 217-2024</t>
        </is>
      </c>
      <c r="B481" s="1" t="n">
        <v>45293</v>
      </c>
      <c r="C481" s="1" t="n">
        <v>45732</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1355-2024</t>
        </is>
      </c>
      <c r="B482" s="1" t="n">
        <v>45303</v>
      </c>
      <c r="C482" s="1" t="n">
        <v>45732</v>
      </c>
      <c r="D482" t="inlineStr">
        <is>
          <t>NORRBOTTENS LÄN</t>
        </is>
      </c>
      <c r="E482" t="inlineStr">
        <is>
          <t>ARVIDSJAUR</t>
        </is>
      </c>
      <c r="G482" t="n">
        <v>1</v>
      </c>
      <c r="H482" t="n">
        <v>0</v>
      </c>
      <c r="I482" t="n">
        <v>0</v>
      </c>
      <c r="J482" t="n">
        <v>0</v>
      </c>
      <c r="K482" t="n">
        <v>0</v>
      </c>
      <c r="L482" t="n">
        <v>0</v>
      </c>
      <c r="M482" t="n">
        <v>0</v>
      </c>
      <c r="N482" t="n">
        <v>0</v>
      </c>
      <c r="O482" t="n">
        <v>0</v>
      </c>
      <c r="P482" t="n">
        <v>0</v>
      </c>
      <c r="Q482" t="n">
        <v>0</v>
      </c>
      <c r="R482" s="2" t="inlineStr"/>
    </row>
    <row r="483" ht="15" customHeight="1">
      <c r="A483" t="inlineStr">
        <is>
          <t>A 1845-2024</t>
        </is>
      </c>
      <c r="B483" s="1" t="n">
        <v>45307</v>
      </c>
      <c r="C483" s="1" t="n">
        <v>45732</v>
      </c>
      <c r="D483" t="inlineStr">
        <is>
          <t>NORRBOTTENS LÄN</t>
        </is>
      </c>
      <c r="E483" t="inlineStr">
        <is>
          <t>ARVIDSJAUR</t>
        </is>
      </c>
      <c r="G483" t="n">
        <v>4.8</v>
      </c>
      <c r="H483" t="n">
        <v>0</v>
      </c>
      <c r="I483" t="n">
        <v>0</v>
      </c>
      <c r="J483" t="n">
        <v>0</v>
      </c>
      <c r="K483" t="n">
        <v>0</v>
      </c>
      <c r="L483" t="n">
        <v>0</v>
      </c>
      <c r="M483" t="n">
        <v>0</v>
      </c>
      <c r="N483" t="n">
        <v>0</v>
      </c>
      <c r="O483" t="n">
        <v>0</v>
      </c>
      <c r="P483" t="n">
        <v>0</v>
      </c>
      <c r="Q483" t="n">
        <v>0</v>
      </c>
      <c r="R483" s="2" t="inlineStr"/>
    </row>
    <row r="484" ht="15" customHeight="1">
      <c r="A484" t="inlineStr">
        <is>
          <t>A 2037-2024</t>
        </is>
      </c>
      <c r="B484" s="1" t="n">
        <v>45308</v>
      </c>
      <c r="C484" s="1" t="n">
        <v>45732</v>
      </c>
      <c r="D484" t="inlineStr">
        <is>
          <t>NORRBOTTENS LÄN</t>
        </is>
      </c>
      <c r="E484" t="inlineStr">
        <is>
          <t>ARVIDSJAUR</t>
        </is>
      </c>
      <c r="G484" t="n">
        <v>2.1</v>
      </c>
      <c r="H484" t="n">
        <v>0</v>
      </c>
      <c r="I484" t="n">
        <v>0</v>
      </c>
      <c r="J484" t="n">
        <v>0</v>
      </c>
      <c r="K484" t="n">
        <v>0</v>
      </c>
      <c r="L484" t="n">
        <v>0</v>
      </c>
      <c r="M484" t="n">
        <v>0</v>
      </c>
      <c r="N484" t="n">
        <v>0</v>
      </c>
      <c r="O484" t="n">
        <v>0</v>
      </c>
      <c r="P484" t="n">
        <v>0</v>
      </c>
      <c r="Q484" t="n">
        <v>0</v>
      </c>
      <c r="R484" s="2" t="inlineStr"/>
    </row>
    <row r="485" ht="15" customHeight="1">
      <c r="A485" t="inlineStr">
        <is>
          <t>A 2116-2024</t>
        </is>
      </c>
      <c r="B485" s="1" t="n">
        <v>45309</v>
      </c>
      <c r="C485" s="1" t="n">
        <v>45732</v>
      </c>
      <c r="D485" t="inlineStr">
        <is>
          <t>NORRBOTTENS LÄN</t>
        </is>
      </c>
      <c r="E485" t="inlineStr">
        <is>
          <t>ARVIDSJAUR</t>
        </is>
      </c>
      <c r="G485" t="n">
        <v>0.9</v>
      </c>
      <c r="H485" t="n">
        <v>0</v>
      </c>
      <c r="I485" t="n">
        <v>0</v>
      </c>
      <c r="J485" t="n">
        <v>0</v>
      </c>
      <c r="K485" t="n">
        <v>0</v>
      </c>
      <c r="L485" t="n">
        <v>0</v>
      </c>
      <c r="M485" t="n">
        <v>0</v>
      </c>
      <c r="N485" t="n">
        <v>0</v>
      </c>
      <c r="O485" t="n">
        <v>0</v>
      </c>
      <c r="P485" t="n">
        <v>0</v>
      </c>
      <c r="Q485" t="n">
        <v>0</v>
      </c>
      <c r="R485" s="2" t="inlineStr"/>
    </row>
    <row r="486" ht="15" customHeight="1">
      <c r="A486" t="inlineStr">
        <is>
          <t>A 2286-2024</t>
        </is>
      </c>
      <c r="B486" s="1" t="n">
        <v>45310</v>
      </c>
      <c r="C486" s="1" t="n">
        <v>45732</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2898-2024</t>
        </is>
      </c>
      <c r="B487" s="1" t="n">
        <v>45315</v>
      </c>
      <c r="C487" s="1" t="n">
        <v>45732</v>
      </c>
      <c r="D487" t="inlineStr">
        <is>
          <t>NORRBOTTENS LÄN</t>
        </is>
      </c>
      <c r="E487" t="inlineStr">
        <is>
          <t>ARVIDSJAUR</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45732</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2970-2024</t>
        </is>
      </c>
      <c r="B489" s="1" t="n">
        <v>45315</v>
      </c>
      <c r="C489" s="1" t="n">
        <v>45732</v>
      </c>
      <c r="D489" t="inlineStr">
        <is>
          <t>NORRBOTTENS LÄN</t>
        </is>
      </c>
      <c r="E489" t="inlineStr">
        <is>
          <t>ARVIDSJAUR</t>
        </is>
      </c>
      <c r="F489" t="inlineStr">
        <is>
          <t>Allmännings- och besparingsskogar</t>
        </is>
      </c>
      <c r="G489" t="n">
        <v>1.5</v>
      </c>
      <c r="H489" t="n">
        <v>0</v>
      </c>
      <c r="I489" t="n">
        <v>0</v>
      </c>
      <c r="J489" t="n">
        <v>0</v>
      </c>
      <c r="K489" t="n">
        <v>0</v>
      </c>
      <c r="L489" t="n">
        <v>0</v>
      </c>
      <c r="M489" t="n">
        <v>0</v>
      </c>
      <c r="N489" t="n">
        <v>0</v>
      </c>
      <c r="O489" t="n">
        <v>0</v>
      </c>
      <c r="P489" t="n">
        <v>0</v>
      </c>
      <c r="Q489" t="n">
        <v>0</v>
      </c>
      <c r="R489" s="2" t="inlineStr"/>
    </row>
    <row r="490" ht="15" customHeight="1">
      <c r="A490" t="inlineStr">
        <is>
          <t>A 2962-2024</t>
        </is>
      </c>
      <c r="B490" s="1" t="n">
        <v>45315</v>
      </c>
      <c r="C490" s="1" t="n">
        <v>45732</v>
      </c>
      <c r="D490" t="inlineStr">
        <is>
          <t>NORRBOTTENS LÄN</t>
        </is>
      </c>
      <c r="E490" t="inlineStr">
        <is>
          <t>ARVIDSJAUR</t>
        </is>
      </c>
      <c r="F490" t="inlineStr">
        <is>
          <t>Allmännings- och besparingsskogar</t>
        </is>
      </c>
      <c r="G490" t="n">
        <v>4</v>
      </c>
      <c r="H490" t="n">
        <v>0</v>
      </c>
      <c r="I490" t="n">
        <v>0</v>
      </c>
      <c r="J490" t="n">
        <v>0</v>
      </c>
      <c r="K490" t="n">
        <v>0</v>
      </c>
      <c r="L490" t="n">
        <v>0</v>
      </c>
      <c r="M490" t="n">
        <v>0</v>
      </c>
      <c r="N490" t="n">
        <v>0</v>
      </c>
      <c r="O490" t="n">
        <v>0</v>
      </c>
      <c r="P490" t="n">
        <v>0</v>
      </c>
      <c r="Q490" t="n">
        <v>0</v>
      </c>
      <c r="R490" s="2" t="inlineStr"/>
    </row>
    <row r="491" ht="15" customHeight="1">
      <c r="A491" t="inlineStr">
        <is>
          <t>A 2905-2024</t>
        </is>
      </c>
      <c r="B491" s="1" t="n">
        <v>45315</v>
      </c>
      <c r="C491" s="1" t="n">
        <v>45732</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2895-2024</t>
        </is>
      </c>
      <c r="B492" s="1" t="n">
        <v>45315</v>
      </c>
      <c r="C492" s="1" t="n">
        <v>45732</v>
      </c>
      <c r="D492" t="inlineStr">
        <is>
          <t>NORRBOTTENS LÄN</t>
        </is>
      </c>
      <c r="E492" t="inlineStr">
        <is>
          <t>ARVIDSJAUR</t>
        </is>
      </c>
      <c r="F492" t="inlineStr">
        <is>
          <t>Allmännings- och besparingsskogar</t>
        </is>
      </c>
      <c r="G492" t="n">
        <v>6</v>
      </c>
      <c r="H492" t="n">
        <v>0</v>
      </c>
      <c r="I492" t="n">
        <v>0</v>
      </c>
      <c r="J492" t="n">
        <v>0</v>
      </c>
      <c r="K492" t="n">
        <v>0</v>
      </c>
      <c r="L492" t="n">
        <v>0</v>
      </c>
      <c r="M492" t="n">
        <v>0</v>
      </c>
      <c r="N492" t="n">
        <v>0</v>
      </c>
      <c r="O492" t="n">
        <v>0</v>
      </c>
      <c r="P492" t="n">
        <v>0</v>
      </c>
      <c r="Q492" t="n">
        <v>0</v>
      </c>
      <c r="R492" s="2" t="inlineStr"/>
    </row>
    <row r="493" ht="15" customHeight="1">
      <c r="A493" t="inlineStr">
        <is>
          <t>A 3034-2024</t>
        </is>
      </c>
      <c r="B493" s="1" t="n">
        <v>45316</v>
      </c>
      <c r="C493" s="1" t="n">
        <v>45732</v>
      </c>
      <c r="D493" t="inlineStr">
        <is>
          <t>NORRBOTTENS LÄN</t>
        </is>
      </c>
      <c r="E493" t="inlineStr">
        <is>
          <t>ARVIDSJAUR</t>
        </is>
      </c>
      <c r="F493" t="inlineStr">
        <is>
          <t>Allmännings- och besparingsskogar</t>
        </is>
      </c>
      <c r="G493" t="n">
        <v>3.9</v>
      </c>
      <c r="H493" t="n">
        <v>0</v>
      </c>
      <c r="I493" t="n">
        <v>0</v>
      </c>
      <c r="J493" t="n">
        <v>0</v>
      </c>
      <c r="K493" t="n">
        <v>0</v>
      </c>
      <c r="L493" t="n">
        <v>0</v>
      </c>
      <c r="M493" t="n">
        <v>0</v>
      </c>
      <c r="N493" t="n">
        <v>0</v>
      </c>
      <c r="O493" t="n">
        <v>0</v>
      </c>
      <c r="P493" t="n">
        <v>0</v>
      </c>
      <c r="Q493" t="n">
        <v>0</v>
      </c>
      <c r="R493" s="2" t="inlineStr"/>
    </row>
    <row r="494" ht="15" customHeight="1">
      <c r="A494" t="inlineStr">
        <is>
          <t>A 3203-2024</t>
        </is>
      </c>
      <c r="B494" s="1" t="n">
        <v>45316</v>
      </c>
      <c r="C494" s="1" t="n">
        <v>45732</v>
      </c>
      <c r="D494" t="inlineStr">
        <is>
          <t>NORRBOTTENS LÄN</t>
        </is>
      </c>
      <c r="E494" t="inlineStr">
        <is>
          <t>ARVIDSJAUR</t>
        </is>
      </c>
      <c r="F494" t="inlineStr">
        <is>
          <t>Allmännings- och besparingsskogar</t>
        </is>
      </c>
      <c r="G494" t="n">
        <v>6.3</v>
      </c>
      <c r="H494" t="n">
        <v>0</v>
      </c>
      <c r="I494" t="n">
        <v>0</v>
      </c>
      <c r="J494" t="n">
        <v>0</v>
      </c>
      <c r="K494" t="n">
        <v>0</v>
      </c>
      <c r="L494" t="n">
        <v>0</v>
      </c>
      <c r="M494" t="n">
        <v>0</v>
      </c>
      <c r="N494" t="n">
        <v>0</v>
      </c>
      <c r="O494" t="n">
        <v>0</v>
      </c>
      <c r="P494" t="n">
        <v>0</v>
      </c>
      <c r="Q494" t="n">
        <v>0</v>
      </c>
      <c r="R494" s="2" t="inlineStr"/>
    </row>
    <row r="495" ht="15" customHeight="1">
      <c r="A495" t="inlineStr">
        <is>
          <t>A 3207-2024</t>
        </is>
      </c>
      <c r="B495" s="1" t="n">
        <v>45316</v>
      </c>
      <c r="C495" s="1" t="n">
        <v>45732</v>
      </c>
      <c r="D495" t="inlineStr">
        <is>
          <t>NORRBOTTENS LÄN</t>
        </is>
      </c>
      <c r="E495" t="inlineStr">
        <is>
          <t>ARVIDSJAUR</t>
        </is>
      </c>
      <c r="F495" t="inlineStr">
        <is>
          <t>Allmännings- och besparingsskogar</t>
        </is>
      </c>
      <c r="G495" t="n">
        <v>6.6</v>
      </c>
      <c r="H495" t="n">
        <v>0</v>
      </c>
      <c r="I495" t="n">
        <v>0</v>
      </c>
      <c r="J495" t="n">
        <v>0</v>
      </c>
      <c r="K495" t="n">
        <v>0</v>
      </c>
      <c r="L495" t="n">
        <v>0</v>
      </c>
      <c r="M495" t="n">
        <v>0</v>
      </c>
      <c r="N495" t="n">
        <v>0</v>
      </c>
      <c r="O495" t="n">
        <v>0</v>
      </c>
      <c r="P495" t="n">
        <v>0</v>
      </c>
      <c r="Q495" t="n">
        <v>0</v>
      </c>
      <c r="R495" s="2" t="inlineStr"/>
    </row>
    <row r="496" ht="15" customHeight="1">
      <c r="A496" t="inlineStr">
        <is>
          <t>A 3201-2024</t>
        </is>
      </c>
      <c r="B496" s="1" t="n">
        <v>45316</v>
      </c>
      <c r="C496" s="1" t="n">
        <v>45732</v>
      </c>
      <c r="D496" t="inlineStr">
        <is>
          <t>NORRBOTTENS LÄN</t>
        </is>
      </c>
      <c r="E496" t="inlineStr">
        <is>
          <t>ARVIDSJAUR</t>
        </is>
      </c>
      <c r="F496" t="inlineStr">
        <is>
          <t>Allmännings- och besparingsskogar</t>
        </is>
      </c>
      <c r="G496" t="n">
        <v>1.9</v>
      </c>
      <c r="H496" t="n">
        <v>0</v>
      </c>
      <c r="I496" t="n">
        <v>0</v>
      </c>
      <c r="J496" t="n">
        <v>0</v>
      </c>
      <c r="K496" t="n">
        <v>0</v>
      </c>
      <c r="L496" t="n">
        <v>0</v>
      </c>
      <c r="M496" t="n">
        <v>0</v>
      </c>
      <c r="N496" t="n">
        <v>0</v>
      </c>
      <c r="O496" t="n">
        <v>0</v>
      </c>
      <c r="P496" t="n">
        <v>0</v>
      </c>
      <c r="Q496" t="n">
        <v>0</v>
      </c>
      <c r="R496" s="2" t="inlineStr"/>
    </row>
    <row r="497" ht="15" customHeight="1">
      <c r="A497" t="inlineStr">
        <is>
          <t>A 3165-2024</t>
        </is>
      </c>
      <c r="B497" s="1" t="n">
        <v>45316</v>
      </c>
      <c r="C497" s="1" t="n">
        <v>45732</v>
      </c>
      <c r="D497" t="inlineStr">
        <is>
          <t>NORRBOTTENS LÄN</t>
        </is>
      </c>
      <c r="E497" t="inlineStr">
        <is>
          <t>ARVIDSJAUR</t>
        </is>
      </c>
      <c r="F497" t="inlineStr">
        <is>
          <t>Allmännings- och besparingsskogar</t>
        </is>
      </c>
      <c r="G497" t="n">
        <v>6.9</v>
      </c>
      <c r="H497" t="n">
        <v>0</v>
      </c>
      <c r="I497" t="n">
        <v>0</v>
      </c>
      <c r="J497" t="n">
        <v>0</v>
      </c>
      <c r="K497" t="n">
        <v>0</v>
      </c>
      <c r="L497" t="n">
        <v>0</v>
      </c>
      <c r="M497" t="n">
        <v>0</v>
      </c>
      <c r="N497" t="n">
        <v>0</v>
      </c>
      <c r="O497" t="n">
        <v>0</v>
      </c>
      <c r="P497" t="n">
        <v>0</v>
      </c>
      <c r="Q497" t="n">
        <v>0</v>
      </c>
      <c r="R497" s="2" t="inlineStr"/>
    </row>
    <row r="498" ht="15" customHeight="1">
      <c r="A498" t="inlineStr">
        <is>
          <t>A 3206-2024</t>
        </is>
      </c>
      <c r="B498" s="1" t="n">
        <v>45316</v>
      </c>
      <c r="C498" s="1" t="n">
        <v>45732</v>
      </c>
      <c r="D498" t="inlineStr">
        <is>
          <t>NORRBOTTENS LÄN</t>
        </is>
      </c>
      <c r="E498" t="inlineStr">
        <is>
          <t>ARVIDSJAUR</t>
        </is>
      </c>
      <c r="F498" t="inlineStr">
        <is>
          <t>Allmännings- och besparingsskogar</t>
        </is>
      </c>
      <c r="G498" t="n">
        <v>15.1</v>
      </c>
      <c r="H498" t="n">
        <v>0</v>
      </c>
      <c r="I498" t="n">
        <v>0</v>
      </c>
      <c r="J498" t="n">
        <v>0</v>
      </c>
      <c r="K498" t="n">
        <v>0</v>
      </c>
      <c r="L498" t="n">
        <v>0</v>
      </c>
      <c r="M498" t="n">
        <v>0</v>
      </c>
      <c r="N498" t="n">
        <v>0</v>
      </c>
      <c r="O498" t="n">
        <v>0</v>
      </c>
      <c r="P498" t="n">
        <v>0</v>
      </c>
      <c r="Q498" t="n">
        <v>0</v>
      </c>
      <c r="R498" s="2" t="inlineStr"/>
    </row>
    <row r="499" ht="15" customHeight="1">
      <c r="A499" t="inlineStr">
        <is>
          <t>A 3258-2024</t>
        </is>
      </c>
      <c r="B499" s="1" t="n">
        <v>45316</v>
      </c>
      <c r="C499" s="1" t="n">
        <v>45732</v>
      </c>
      <c r="D499" t="inlineStr">
        <is>
          <t>NORRBOTTENS LÄN</t>
        </is>
      </c>
      <c r="E499" t="inlineStr">
        <is>
          <t>ARVIDSJAUR</t>
        </is>
      </c>
      <c r="F499" t="inlineStr">
        <is>
          <t>Allmännings- och besparingsskogar</t>
        </is>
      </c>
      <c r="G499" t="n">
        <v>9.1</v>
      </c>
      <c r="H499" t="n">
        <v>0</v>
      </c>
      <c r="I499" t="n">
        <v>0</v>
      </c>
      <c r="J499" t="n">
        <v>0</v>
      </c>
      <c r="K499" t="n">
        <v>0</v>
      </c>
      <c r="L499" t="n">
        <v>0</v>
      </c>
      <c r="M499" t="n">
        <v>0</v>
      </c>
      <c r="N499" t="n">
        <v>0</v>
      </c>
      <c r="O499" t="n">
        <v>0</v>
      </c>
      <c r="P499" t="n">
        <v>0</v>
      </c>
      <c r="Q499" t="n">
        <v>0</v>
      </c>
      <c r="R499" s="2" t="inlineStr"/>
    </row>
    <row r="500" ht="15" customHeight="1">
      <c r="A500" t="inlineStr">
        <is>
          <t>A 3274-2024</t>
        </is>
      </c>
      <c r="B500" s="1" t="n">
        <v>45316</v>
      </c>
      <c r="C500" s="1" t="n">
        <v>45732</v>
      </c>
      <c r="D500" t="inlineStr">
        <is>
          <t>NORRBOTTENS LÄN</t>
        </is>
      </c>
      <c r="E500" t="inlineStr">
        <is>
          <t>ARVIDSJAUR</t>
        </is>
      </c>
      <c r="F500" t="inlineStr">
        <is>
          <t>Allmännings- och besparingsskogar</t>
        </is>
      </c>
      <c r="G500" t="n">
        <v>1.8</v>
      </c>
      <c r="H500" t="n">
        <v>0</v>
      </c>
      <c r="I500" t="n">
        <v>0</v>
      </c>
      <c r="J500" t="n">
        <v>0</v>
      </c>
      <c r="K500" t="n">
        <v>0</v>
      </c>
      <c r="L500" t="n">
        <v>0</v>
      </c>
      <c r="M500" t="n">
        <v>0</v>
      </c>
      <c r="N500" t="n">
        <v>0</v>
      </c>
      <c r="O500" t="n">
        <v>0</v>
      </c>
      <c r="P500" t="n">
        <v>0</v>
      </c>
      <c r="Q500" t="n">
        <v>0</v>
      </c>
      <c r="R500" s="2" t="inlineStr"/>
    </row>
    <row r="501" ht="15" customHeight="1">
      <c r="A501" t="inlineStr">
        <is>
          <t>A 3266-2024</t>
        </is>
      </c>
      <c r="B501" s="1" t="n">
        <v>45316</v>
      </c>
      <c r="C501" s="1" t="n">
        <v>45732</v>
      </c>
      <c r="D501" t="inlineStr">
        <is>
          <t>NORRBOTTENS LÄN</t>
        </is>
      </c>
      <c r="E501" t="inlineStr">
        <is>
          <t>ARVIDSJAUR</t>
        </is>
      </c>
      <c r="F501" t="inlineStr">
        <is>
          <t>Allmännings- och besparingsskogar</t>
        </is>
      </c>
      <c r="G501" t="n">
        <v>2.8</v>
      </c>
      <c r="H501" t="n">
        <v>0</v>
      </c>
      <c r="I501" t="n">
        <v>0</v>
      </c>
      <c r="J501" t="n">
        <v>0</v>
      </c>
      <c r="K501" t="n">
        <v>0</v>
      </c>
      <c r="L501" t="n">
        <v>0</v>
      </c>
      <c r="M501" t="n">
        <v>0</v>
      </c>
      <c r="N501" t="n">
        <v>0</v>
      </c>
      <c r="O501" t="n">
        <v>0</v>
      </c>
      <c r="P501" t="n">
        <v>0</v>
      </c>
      <c r="Q501" t="n">
        <v>0</v>
      </c>
      <c r="R501" s="2" t="inlineStr"/>
    </row>
    <row r="502" ht="15" customHeight="1">
      <c r="A502" t="inlineStr">
        <is>
          <t>A 3262-2024</t>
        </is>
      </c>
      <c r="B502" s="1" t="n">
        <v>45316</v>
      </c>
      <c r="C502" s="1" t="n">
        <v>45732</v>
      </c>
      <c r="D502" t="inlineStr">
        <is>
          <t>NORRBOTTENS LÄN</t>
        </is>
      </c>
      <c r="E502" t="inlineStr">
        <is>
          <t>ARVIDSJAUR</t>
        </is>
      </c>
      <c r="F502" t="inlineStr">
        <is>
          <t>Allmännings- och besparingsskogar</t>
        </is>
      </c>
      <c r="G502" t="n">
        <v>13.7</v>
      </c>
      <c r="H502" t="n">
        <v>0</v>
      </c>
      <c r="I502" t="n">
        <v>0</v>
      </c>
      <c r="J502" t="n">
        <v>0</v>
      </c>
      <c r="K502" t="n">
        <v>0</v>
      </c>
      <c r="L502" t="n">
        <v>0</v>
      </c>
      <c r="M502" t="n">
        <v>0</v>
      </c>
      <c r="N502" t="n">
        <v>0</v>
      </c>
      <c r="O502" t="n">
        <v>0</v>
      </c>
      <c r="P502" t="n">
        <v>0</v>
      </c>
      <c r="Q502" t="n">
        <v>0</v>
      </c>
      <c r="R502" s="2" t="inlineStr"/>
    </row>
    <row r="503" ht="15" customHeight="1">
      <c r="A503" t="inlineStr">
        <is>
          <t>A 3265-2024</t>
        </is>
      </c>
      <c r="B503" s="1" t="n">
        <v>45316</v>
      </c>
      <c r="C503" s="1" t="n">
        <v>45732</v>
      </c>
      <c r="D503" t="inlineStr">
        <is>
          <t>NORRBOTTENS LÄN</t>
        </is>
      </c>
      <c r="E503" t="inlineStr">
        <is>
          <t>ARVIDSJAUR</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3299-2024</t>
        </is>
      </c>
      <c r="B504" s="1" t="n">
        <v>45316</v>
      </c>
      <c r="C504" s="1" t="n">
        <v>45732</v>
      </c>
      <c r="D504" t="inlineStr">
        <is>
          <t>NORRBOTTENS LÄN</t>
        </is>
      </c>
      <c r="E504" t="inlineStr">
        <is>
          <t>ARVIDSJAUR</t>
        </is>
      </c>
      <c r="F504" t="inlineStr">
        <is>
          <t>Allmännings- och besparingsskogar</t>
        </is>
      </c>
      <c r="G504" t="n">
        <v>5</v>
      </c>
      <c r="H504" t="n">
        <v>0</v>
      </c>
      <c r="I504" t="n">
        <v>0</v>
      </c>
      <c r="J504" t="n">
        <v>0</v>
      </c>
      <c r="K504" t="n">
        <v>0</v>
      </c>
      <c r="L504" t="n">
        <v>0</v>
      </c>
      <c r="M504" t="n">
        <v>0</v>
      </c>
      <c r="N504" t="n">
        <v>0</v>
      </c>
      <c r="O504" t="n">
        <v>0</v>
      </c>
      <c r="P504" t="n">
        <v>0</v>
      </c>
      <c r="Q504" t="n">
        <v>0</v>
      </c>
      <c r="R504" s="2" t="inlineStr"/>
    </row>
    <row r="505" ht="15" customHeight="1">
      <c r="A505" t="inlineStr">
        <is>
          <t>A 3343-2024</t>
        </is>
      </c>
      <c r="B505" s="1" t="n">
        <v>45317</v>
      </c>
      <c r="C505" s="1" t="n">
        <v>45732</v>
      </c>
      <c r="D505" t="inlineStr">
        <is>
          <t>NORRBOTTENS LÄN</t>
        </is>
      </c>
      <c r="E505" t="inlineStr">
        <is>
          <t>ARVIDSJAUR</t>
        </is>
      </c>
      <c r="G505" t="n">
        <v>10.9</v>
      </c>
      <c r="H505" t="n">
        <v>0</v>
      </c>
      <c r="I505" t="n">
        <v>0</v>
      </c>
      <c r="J505" t="n">
        <v>0</v>
      </c>
      <c r="K505" t="n">
        <v>0</v>
      </c>
      <c r="L505" t="n">
        <v>0</v>
      </c>
      <c r="M505" t="n">
        <v>0</v>
      </c>
      <c r="N505" t="n">
        <v>0</v>
      </c>
      <c r="O505" t="n">
        <v>0</v>
      </c>
      <c r="P505" t="n">
        <v>0</v>
      </c>
      <c r="Q505" t="n">
        <v>0</v>
      </c>
      <c r="R505" s="2" t="inlineStr"/>
    </row>
    <row r="506" ht="15" customHeight="1">
      <c r="A506" t="inlineStr">
        <is>
          <t>A 4539-2024</t>
        </is>
      </c>
      <c r="B506" s="1" t="n">
        <v>45327</v>
      </c>
      <c r="C506" s="1" t="n">
        <v>45732</v>
      </c>
      <c r="D506" t="inlineStr">
        <is>
          <t>NORRBOTTENS LÄN</t>
        </is>
      </c>
      <c r="E506" t="inlineStr">
        <is>
          <t>ARVIDSJAUR</t>
        </is>
      </c>
      <c r="G506" t="n">
        <v>5.4</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45732</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4937-2024</t>
        </is>
      </c>
      <c r="B508" s="1" t="n">
        <v>45329</v>
      </c>
      <c r="C508" s="1" t="n">
        <v>45732</v>
      </c>
      <c r="D508" t="inlineStr">
        <is>
          <t>NORRBOTTENS LÄN</t>
        </is>
      </c>
      <c r="E508" t="inlineStr">
        <is>
          <t>ARVIDSJAUR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4989-2024</t>
        </is>
      </c>
      <c r="B509" s="1" t="n">
        <v>45329</v>
      </c>
      <c r="C509" s="1" t="n">
        <v>45732</v>
      </c>
      <c r="D509" t="inlineStr">
        <is>
          <t>NORRBOTTENS LÄN</t>
        </is>
      </c>
      <c r="E509" t="inlineStr">
        <is>
          <t>ARVIDSJAUR</t>
        </is>
      </c>
      <c r="F509" t="inlineStr">
        <is>
          <t>Sveaskog</t>
        </is>
      </c>
      <c r="G509" t="n">
        <v>57.4</v>
      </c>
      <c r="H509" t="n">
        <v>0</v>
      </c>
      <c r="I509" t="n">
        <v>0</v>
      </c>
      <c r="J509" t="n">
        <v>0</v>
      </c>
      <c r="K509" t="n">
        <v>0</v>
      </c>
      <c r="L509" t="n">
        <v>0</v>
      </c>
      <c r="M509" t="n">
        <v>0</v>
      </c>
      <c r="N509" t="n">
        <v>0</v>
      </c>
      <c r="O509" t="n">
        <v>0</v>
      </c>
      <c r="P509" t="n">
        <v>0</v>
      </c>
      <c r="Q509" t="n">
        <v>0</v>
      </c>
      <c r="R509" s="2" t="inlineStr"/>
    </row>
    <row r="510" ht="15" customHeight="1">
      <c r="A510" t="inlineStr">
        <is>
          <t>A 4935-2024</t>
        </is>
      </c>
      <c r="B510" s="1" t="n">
        <v>45329</v>
      </c>
      <c r="C510" s="1" t="n">
        <v>45732</v>
      </c>
      <c r="D510" t="inlineStr">
        <is>
          <t>NORRBOTTENS LÄN</t>
        </is>
      </c>
      <c r="E510" t="inlineStr">
        <is>
          <t>ARVIDSJAUR</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5210-2024</t>
        </is>
      </c>
      <c r="B511" s="1" t="n">
        <v>45330</v>
      </c>
      <c r="C511" s="1" t="n">
        <v>45732</v>
      </c>
      <c r="D511" t="inlineStr">
        <is>
          <t>NORRBOTTENS LÄN</t>
        </is>
      </c>
      <c r="E511" t="inlineStr">
        <is>
          <t>ARVIDSJAUR</t>
        </is>
      </c>
      <c r="G511" t="n">
        <v>1.1</v>
      </c>
      <c r="H511" t="n">
        <v>0</v>
      </c>
      <c r="I511" t="n">
        <v>0</v>
      </c>
      <c r="J511" t="n">
        <v>0</v>
      </c>
      <c r="K511" t="n">
        <v>0</v>
      </c>
      <c r="L511" t="n">
        <v>0</v>
      </c>
      <c r="M511" t="n">
        <v>0</v>
      </c>
      <c r="N511" t="n">
        <v>0</v>
      </c>
      <c r="O511" t="n">
        <v>0</v>
      </c>
      <c r="P511" t="n">
        <v>0</v>
      </c>
      <c r="Q511" t="n">
        <v>0</v>
      </c>
      <c r="R511" s="2" t="inlineStr"/>
    </row>
    <row r="512" ht="15" customHeight="1">
      <c r="A512" t="inlineStr">
        <is>
          <t>A 5197-2024</t>
        </is>
      </c>
      <c r="B512" s="1" t="n">
        <v>45330</v>
      </c>
      <c r="C512" s="1" t="n">
        <v>45732</v>
      </c>
      <c r="D512" t="inlineStr">
        <is>
          <t>NORRBOTTENS LÄN</t>
        </is>
      </c>
      <c r="E512" t="inlineStr">
        <is>
          <t>ARVIDSJAUR</t>
        </is>
      </c>
      <c r="G512" t="n">
        <v>4.1</v>
      </c>
      <c r="H512" t="n">
        <v>0</v>
      </c>
      <c r="I512" t="n">
        <v>0</v>
      </c>
      <c r="J512" t="n">
        <v>0</v>
      </c>
      <c r="K512" t="n">
        <v>0</v>
      </c>
      <c r="L512" t="n">
        <v>0</v>
      </c>
      <c r="M512" t="n">
        <v>0</v>
      </c>
      <c r="N512" t="n">
        <v>0</v>
      </c>
      <c r="O512" t="n">
        <v>0</v>
      </c>
      <c r="P512" t="n">
        <v>0</v>
      </c>
      <c r="Q512" t="n">
        <v>0</v>
      </c>
      <c r="R512" s="2" t="inlineStr"/>
    </row>
    <row r="513" ht="15" customHeight="1">
      <c r="A513" t="inlineStr">
        <is>
          <t>A 5702-2024</t>
        </is>
      </c>
      <c r="B513" s="1" t="n">
        <v>45334</v>
      </c>
      <c r="C513" s="1" t="n">
        <v>45732</v>
      </c>
      <c r="D513" t="inlineStr">
        <is>
          <t>NORRBOTTENS LÄN</t>
        </is>
      </c>
      <c r="E513" t="inlineStr">
        <is>
          <t>ARVIDSJAUR</t>
        </is>
      </c>
      <c r="G513" t="n">
        <v>1</v>
      </c>
      <c r="H513" t="n">
        <v>0</v>
      </c>
      <c r="I513" t="n">
        <v>0</v>
      </c>
      <c r="J513" t="n">
        <v>0</v>
      </c>
      <c r="K513" t="n">
        <v>0</v>
      </c>
      <c r="L513" t="n">
        <v>0</v>
      </c>
      <c r="M513" t="n">
        <v>0</v>
      </c>
      <c r="N513" t="n">
        <v>0</v>
      </c>
      <c r="O513" t="n">
        <v>0</v>
      </c>
      <c r="P513" t="n">
        <v>0</v>
      </c>
      <c r="Q513" t="n">
        <v>0</v>
      </c>
      <c r="R513" s="2" t="inlineStr"/>
    </row>
    <row r="514" ht="15" customHeight="1">
      <c r="A514" t="inlineStr">
        <is>
          <t>A 6574-2024</t>
        </is>
      </c>
      <c r="B514" s="1" t="n">
        <v>45341</v>
      </c>
      <c r="C514" s="1" t="n">
        <v>45732</v>
      </c>
      <c r="D514" t="inlineStr">
        <is>
          <t>NORRBOTTENS LÄN</t>
        </is>
      </c>
      <c r="E514" t="inlineStr">
        <is>
          <t>ARVIDSJAUR</t>
        </is>
      </c>
      <c r="F514" t="inlineStr">
        <is>
          <t>Sveaskog</t>
        </is>
      </c>
      <c r="G514" t="n">
        <v>27.1</v>
      </c>
      <c r="H514" t="n">
        <v>0</v>
      </c>
      <c r="I514" t="n">
        <v>0</v>
      </c>
      <c r="J514" t="n">
        <v>0</v>
      </c>
      <c r="K514" t="n">
        <v>0</v>
      </c>
      <c r="L514" t="n">
        <v>0</v>
      </c>
      <c r="M514" t="n">
        <v>0</v>
      </c>
      <c r="N514" t="n">
        <v>0</v>
      </c>
      <c r="O514" t="n">
        <v>0</v>
      </c>
      <c r="P514" t="n">
        <v>0</v>
      </c>
      <c r="Q514" t="n">
        <v>0</v>
      </c>
      <c r="R514" s="2" t="inlineStr"/>
    </row>
    <row r="515" ht="15" customHeight="1">
      <c r="A515" t="inlineStr">
        <is>
          <t>A 6862-2024</t>
        </is>
      </c>
      <c r="B515" s="1" t="n">
        <v>45342</v>
      </c>
      <c r="C515" s="1" t="n">
        <v>45732</v>
      </c>
      <c r="D515" t="inlineStr">
        <is>
          <t>NORRBOTTENS LÄN</t>
        </is>
      </c>
      <c r="E515" t="inlineStr">
        <is>
          <t>ARVIDSJAUR</t>
        </is>
      </c>
      <c r="G515" t="n">
        <v>8.5</v>
      </c>
      <c r="H515" t="n">
        <v>0</v>
      </c>
      <c r="I515" t="n">
        <v>0</v>
      </c>
      <c r="J515" t="n">
        <v>0</v>
      </c>
      <c r="K515" t="n">
        <v>0</v>
      </c>
      <c r="L515" t="n">
        <v>0</v>
      </c>
      <c r="M515" t="n">
        <v>0</v>
      </c>
      <c r="N515" t="n">
        <v>0</v>
      </c>
      <c r="O515" t="n">
        <v>0</v>
      </c>
      <c r="P515" t="n">
        <v>0</v>
      </c>
      <c r="Q515" t="n">
        <v>0</v>
      </c>
      <c r="R515" s="2" t="inlineStr"/>
    </row>
    <row r="516" ht="15" customHeight="1">
      <c r="A516" t="inlineStr">
        <is>
          <t>A 7790-2024</t>
        </is>
      </c>
      <c r="B516" s="1" t="n">
        <v>45348</v>
      </c>
      <c r="C516" s="1" t="n">
        <v>45732</v>
      </c>
      <c r="D516" t="inlineStr">
        <is>
          <t>NORRBOTTENS LÄN</t>
        </is>
      </c>
      <c r="E516" t="inlineStr">
        <is>
          <t>ARVIDSJAUR</t>
        </is>
      </c>
      <c r="G516" t="n">
        <v>7.7</v>
      </c>
      <c r="H516" t="n">
        <v>0</v>
      </c>
      <c r="I516" t="n">
        <v>0</v>
      </c>
      <c r="J516" t="n">
        <v>0</v>
      </c>
      <c r="K516" t="n">
        <v>0</v>
      </c>
      <c r="L516" t="n">
        <v>0</v>
      </c>
      <c r="M516" t="n">
        <v>0</v>
      </c>
      <c r="N516" t="n">
        <v>0</v>
      </c>
      <c r="O516" t="n">
        <v>0</v>
      </c>
      <c r="P516" t="n">
        <v>0</v>
      </c>
      <c r="Q516" t="n">
        <v>0</v>
      </c>
      <c r="R516" s="2" t="inlineStr"/>
    </row>
    <row r="517" ht="15" customHeight="1">
      <c r="A517" t="inlineStr">
        <is>
          <t>A 9621-2024</t>
        </is>
      </c>
      <c r="B517" s="1" t="n">
        <v>45361</v>
      </c>
      <c r="C517" s="1" t="n">
        <v>45732</v>
      </c>
      <c r="D517" t="inlineStr">
        <is>
          <t>NORRBOTTENS LÄN</t>
        </is>
      </c>
      <c r="E517" t="inlineStr">
        <is>
          <t>ARVIDSJAUR</t>
        </is>
      </c>
      <c r="G517" t="n">
        <v>0.4</v>
      </c>
      <c r="H517" t="n">
        <v>0</v>
      </c>
      <c r="I517" t="n">
        <v>0</v>
      </c>
      <c r="J517" t="n">
        <v>0</v>
      </c>
      <c r="K517" t="n">
        <v>0</v>
      </c>
      <c r="L517" t="n">
        <v>0</v>
      </c>
      <c r="M517" t="n">
        <v>0</v>
      </c>
      <c r="N517" t="n">
        <v>0</v>
      </c>
      <c r="O517" t="n">
        <v>0</v>
      </c>
      <c r="P517" t="n">
        <v>0</v>
      </c>
      <c r="Q517" t="n">
        <v>0</v>
      </c>
      <c r="R517" s="2" t="inlineStr"/>
    </row>
    <row r="518" ht="15" customHeight="1">
      <c r="A518" t="inlineStr">
        <is>
          <t>A 10130-2024</t>
        </is>
      </c>
      <c r="B518" s="1" t="n">
        <v>45364</v>
      </c>
      <c r="C518" s="1" t="n">
        <v>45732</v>
      </c>
      <c r="D518" t="inlineStr">
        <is>
          <t>NORRBOTTENS LÄN</t>
        </is>
      </c>
      <c r="E518" t="inlineStr">
        <is>
          <t>ARVIDSJAUR</t>
        </is>
      </c>
      <c r="F518" t="inlineStr">
        <is>
          <t>Sveaskog</t>
        </is>
      </c>
      <c r="G518" t="n">
        <v>22.5</v>
      </c>
      <c r="H518" t="n">
        <v>0</v>
      </c>
      <c r="I518" t="n">
        <v>0</v>
      </c>
      <c r="J518" t="n">
        <v>0</v>
      </c>
      <c r="K518" t="n">
        <v>0</v>
      </c>
      <c r="L518" t="n">
        <v>0</v>
      </c>
      <c r="M518" t="n">
        <v>0</v>
      </c>
      <c r="N518" t="n">
        <v>0</v>
      </c>
      <c r="O518" t="n">
        <v>0</v>
      </c>
      <c r="P518" t="n">
        <v>0</v>
      </c>
      <c r="Q518" t="n">
        <v>0</v>
      </c>
      <c r="R518" s="2" t="inlineStr"/>
    </row>
    <row r="519" ht="15" customHeight="1">
      <c r="A519" t="inlineStr">
        <is>
          <t>A 10126-2024</t>
        </is>
      </c>
      <c r="B519" s="1" t="n">
        <v>45364</v>
      </c>
      <c r="C519" s="1" t="n">
        <v>45732</v>
      </c>
      <c r="D519" t="inlineStr">
        <is>
          <t>NORRBOTTENS LÄN</t>
        </is>
      </c>
      <c r="E519" t="inlineStr">
        <is>
          <t>ARVIDSJAUR</t>
        </is>
      </c>
      <c r="F519" t="inlineStr">
        <is>
          <t>Sveaskog</t>
        </is>
      </c>
      <c r="G519" t="n">
        <v>19.8</v>
      </c>
      <c r="H519" t="n">
        <v>0</v>
      </c>
      <c r="I519" t="n">
        <v>0</v>
      </c>
      <c r="J519" t="n">
        <v>0</v>
      </c>
      <c r="K519" t="n">
        <v>0</v>
      </c>
      <c r="L519" t="n">
        <v>0</v>
      </c>
      <c r="M519" t="n">
        <v>0</v>
      </c>
      <c r="N519" t="n">
        <v>0</v>
      </c>
      <c r="O519" t="n">
        <v>0</v>
      </c>
      <c r="P519" t="n">
        <v>0</v>
      </c>
      <c r="Q519" t="n">
        <v>0</v>
      </c>
      <c r="R519" s="2" t="inlineStr"/>
    </row>
    <row r="520" ht="15" customHeight="1">
      <c r="A520" t="inlineStr">
        <is>
          <t>A 10243-2024</t>
        </is>
      </c>
      <c r="B520" s="1" t="n">
        <v>45365</v>
      </c>
      <c r="C520" s="1" t="n">
        <v>45732</v>
      </c>
      <c r="D520" t="inlineStr">
        <is>
          <t>NORRBOTTENS LÄN</t>
        </is>
      </c>
      <c r="E520" t="inlineStr">
        <is>
          <t>ARVIDSJAUR</t>
        </is>
      </c>
      <c r="F520" t="inlineStr">
        <is>
          <t>Sveaskog</t>
        </is>
      </c>
      <c r="G520" t="n">
        <v>7.5</v>
      </c>
      <c r="H520" t="n">
        <v>0</v>
      </c>
      <c r="I520" t="n">
        <v>0</v>
      </c>
      <c r="J520" t="n">
        <v>0</v>
      </c>
      <c r="K520" t="n">
        <v>0</v>
      </c>
      <c r="L520" t="n">
        <v>0</v>
      </c>
      <c r="M520" t="n">
        <v>0</v>
      </c>
      <c r="N520" t="n">
        <v>0</v>
      </c>
      <c r="O520" t="n">
        <v>0</v>
      </c>
      <c r="P520" t="n">
        <v>0</v>
      </c>
      <c r="Q520" t="n">
        <v>0</v>
      </c>
      <c r="R520" s="2" t="inlineStr"/>
    </row>
    <row r="521" ht="15" customHeight="1">
      <c r="A521" t="inlineStr">
        <is>
          <t>A 10538-2024</t>
        </is>
      </c>
      <c r="B521" s="1" t="n">
        <v>45366</v>
      </c>
      <c r="C521" s="1" t="n">
        <v>45732</v>
      </c>
      <c r="D521" t="inlineStr">
        <is>
          <t>NORRBOTTENS LÄN</t>
        </is>
      </c>
      <c r="E521" t="inlineStr">
        <is>
          <t>ARVIDSJAUR</t>
        </is>
      </c>
      <c r="G521" t="n">
        <v>4.8</v>
      </c>
      <c r="H521" t="n">
        <v>0</v>
      </c>
      <c r="I521" t="n">
        <v>0</v>
      </c>
      <c r="J521" t="n">
        <v>0</v>
      </c>
      <c r="K521" t="n">
        <v>0</v>
      </c>
      <c r="L521" t="n">
        <v>0</v>
      </c>
      <c r="M521" t="n">
        <v>0</v>
      </c>
      <c r="N521" t="n">
        <v>0</v>
      </c>
      <c r="O521" t="n">
        <v>0</v>
      </c>
      <c r="P521" t="n">
        <v>0</v>
      </c>
      <c r="Q521" t="n">
        <v>0</v>
      </c>
      <c r="R521" s="2" t="inlineStr"/>
    </row>
    <row r="522" ht="15" customHeight="1">
      <c r="A522" t="inlineStr">
        <is>
          <t>A 10846-2024</t>
        </is>
      </c>
      <c r="B522" s="1" t="n">
        <v>45369</v>
      </c>
      <c r="C522" s="1" t="n">
        <v>45732</v>
      </c>
      <c r="D522" t="inlineStr">
        <is>
          <t>NORRBOTTENS LÄN</t>
        </is>
      </c>
      <c r="E522" t="inlineStr">
        <is>
          <t>ARVIDSJAUR</t>
        </is>
      </c>
      <c r="G522" t="n">
        <v>5.9</v>
      </c>
      <c r="H522" t="n">
        <v>0</v>
      </c>
      <c r="I522" t="n">
        <v>0</v>
      </c>
      <c r="J522" t="n">
        <v>0</v>
      </c>
      <c r="K522" t="n">
        <v>0</v>
      </c>
      <c r="L522" t="n">
        <v>0</v>
      </c>
      <c r="M522" t="n">
        <v>0</v>
      </c>
      <c r="N522" t="n">
        <v>0</v>
      </c>
      <c r="O522" t="n">
        <v>0</v>
      </c>
      <c r="P522" t="n">
        <v>0</v>
      </c>
      <c r="Q522" t="n">
        <v>0</v>
      </c>
      <c r="R522" s="2" t="inlineStr"/>
    </row>
    <row r="523" ht="15" customHeight="1">
      <c r="A523" t="inlineStr">
        <is>
          <t>A 10845-2024</t>
        </is>
      </c>
      <c r="B523" s="1" t="n">
        <v>45369</v>
      </c>
      <c r="C523" s="1" t="n">
        <v>45732</v>
      </c>
      <c r="D523" t="inlineStr">
        <is>
          <t>NORRBOTTENS LÄN</t>
        </is>
      </c>
      <c r="E523" t="inlineStr">
        <is>
          <t>ARVIDSJAUR</t>
        </is>
      </c>
      <c r="G523" t="n">
        <v>1.9</v>
      </c>
      <c r="H523" t="n">
        <v>0</v>
      </c>
      <c r="I523" t="n">
        <v>0</v>
      </c>
      <c r="J523" t="n">
        <v>0</v>
      </c>
      <c r="K523" t="n">
        <v>0</v>
      </c>
      <c r="L523" t="n">
        <v>0</v>
      </c>
      <c r="M523" t="n">
        <v>0</v>
      </c>
      <c r="N523" t="n">
        <v>0</v>
      </c>
      <c r="O523" t="n">
        <v>0</v>
      </c>
      <c r="P523" t="n">
        <v>0</v>
      </c>
      <c r="Q523" t="n">
        <v>0</v>
      </c>
      <c r="R523" s="2" t="inlineStr"/>
    </row>
    <row r="524" ht="15" customHeight="1">
      <c r="A524" t="inlineStr">
        <is>
          <t>A 10848-2024</t>
        </is>
      </c>
      <c r="B524" s="1" t="n">
        <v>45369</v>
      </c>
      <c r="C524" s="1" t="n">
        <v>45732</v>
      </c>
      <c r="D524" t="inlineStr">
        <is>
          <t>NORRBOTTENS LÄN</t>
        </is>
      </c>
      <c r="E524" t="inlineStr">
        <is>
          <t>ARVIDSJAUR</t>
        </is>
      </c>
      <c r="G524" t="n">
        <v>3.5</v>
      </c>
      <c r="H524" t="n">
        <v>0</v>
      </c>
      <c r="I524" t="n">
        <v>0</v>
      </c>
      <c r="J524" t="n">
        <v>0</v>
      </c>
      <c r="K524" t="n">
        <v>0</v>
      </c>
      <c r="L524" t="n">
        <v>0</v>
      </c>
      <c r="M524" t="n">
        <v>0</v>
      </c>
      <c r="N524" t="n">
        <v>0</v>
      </c>
      <c r="O524" t="n">
        <v>0</v>
      </c>
      <c r="P524" t="n">
        <v>0</v>
      </c>
      <c r="Q524" t="n">
        <v>0</v>
      </c>
      <c r="R524" s="2" t="inlineStr"/>
    </row>
    <row r="525" ht="15" customHeight="1">
      <c r="A525" t="inlineStr">
        <is>
          <t>A 12062-2024</t>
        </is>
      </c>
      <c r="B525" s="1" t="n">
        <v>45376</v>
      </c>
      <c r="C525" s="1" t="n">
        <v>45732</v>
      </c>
      <c r="D525" t="inlineStr">
        <is>
          <t>NORRBOTTENS LÄN</t>
        </is>
      </c>
      <c r="E525" t="inlineStr">
        <is>
          <t>ARVIDSJAUR</t>
        </is>
      </c>
      <c r="F525" t="inlineStr">
        <is>
          <t>Allmännings- och besparingsskogar</t>
        </is>
      </c>
      <c r="G525" t="n">
        <v>3.3</v>
      </c>
      <c r="H525" t="n">
        <v>0</v>
      </c>
      <c r="I525" t="n">
        <v>0</v>
      </c>
      <c r="J525" t="n">
        <v>0</v>
      </c>
      <c r="K525" t="n">
        <v>0</v>
      </c>
      <c r="L525" t="n">
        <v>0</v>
      </c>
      <c r="M525" t="n">
        <v>0</v>
      </c>
      <c r="N525" t="n">
        <v>0</v>
      </c>
      <c r="O525" t="n">
        <v>0</v>
      </c>
      <c r="P525" t="n">
        <v>0</v>
      </c>
      <c r="Q525" t="n">
        <v>0</v>
      </c>
      <c r="R525" s="2" t="inlineStr"/>
    </row>
    <row r="526" ht="15" customHeight="1">
      <c r="A526" t="inlineStr">
        <is>
          <t>A 14977-2024</t>
        </is>
      </c>
      <c r="B526" s="1" t="n">
        <v>45398</v>
      </c>
      <c r="C526" s="1" t="n">
        <v>45732</v>
      </c>
      <c r="D526" t="inlineStr">
        <is>
          <t>NORRBOTTENS LÄN</t>
        </is>
      </c>
      <c r="E526" t="inlineStr">
        <is>
          <t>ARVIDSJAUR</t>
        </is>
      </c>
      <c r="F526" t="inlineStr">
        <is>
          <t>SCA</t>
        </is>
      </c>
      <c r="G526" t="n">
        <v>55.7</v>
      </c>
      <c r="H526" t="n">
        <v>0</v>
      </c>
      <c r="I526" t="n">
        <v>0</v>
      </c>
      <c r="J526" t="n">
        <v>0</v>
      </c>
      <c r="K526" t="n">
        <v>0</v>
      </c>
      <c r="L526" t="n">
        <v>0</v>
      </c>
      <c r="M526" t="n">
        <v>0</v>
      </c>
      <c r="N526" t="n">
        <v>0</v>
      </c>
      <c r="O526" t="n">
        <v>0</v>
      </c>
      <c r="P526" t="n">
        <v>0</v>
      </c>
      <c r="Q526" t="n">
        <v>0</v>
      </c>
      <c r="R526" s="2" t="inlineStr"/>
    </row>
    <row r="527" ht="15" customHeight="1">
      <c r="A527" t="inlineStr">
        <is>
          <t>A 15091-2024</t>
        </is>
      </c>
      <c r="B527" s="1" t="n">
        <v>45399</v>
      </c>
      <c r="C527" s="1" t="n">
        <v>45732</v>
      </c>
      <c r="D527" t="inlineStr">
        <is>
          <t>NORRBOTTENS LÄN</t>
        </is>
      </c>
      <c r="E527" t="inlineStr">
        <is>
          <t>ARVIDSJAUR</t>
        </is>
      </c>
      <c r="F527" t="inlineStr">
        <is>
          <t>Sveaskog</t>
        </is>
      </c>
      <c r="G527" t="n">
        <v>41.6</v>
      </c>
      <c r="H527" t="n">
        <v>0</v>
      </c>
      <c r="I527" t="n">
        <v>0</v>
      </c>
      <c r="J527" t="n">
        <v>0</v>
      </c>
      <c r="K527" t="n">
        <v>0</v>
      </c>
      <c r="L527" t="n">
        <v>0</v>
      </c>
      <c r="M527" t="n">
        <v>0</v>
      </c>
      <c r="N527" t="n">
        <v>0</v>
      </c>
      <c r="O527" t="n">
        <v>0</v>
      </c>
      <c r="P527" t="n">
        <v>0</v>
      </c>
      <c r="Q527" t="n">
        <v>0</v>
      </c>
      <c r="R527" s="2" t="inlineStr"/>
    </row>
    <row r="528" ht="15" customHeight="1">
      <c r="A528" t="inlineStr">
        <is>
          <t>A 15715-2024</t>
        </is>
      </c>
      <c r="B528" s="1" t="n">
        <v>45404</v>
      </c>
      <c r="C528" s="1" t="n">
        <v>45732</v>
      </c>
      <c r="D528" t="inlineStr">
        <is>
          <t>NORRBOTTENS LÄN</t>
        </is>
      </c>
      <c r="E528" t="inlineStr">
        <is>
          <t>ARVIDSJAUR</t>
        </is>
      </c>
      <c r="G528" t="n">
        <v>7.5</v>
      </c>
      <c r="H528" t="n">
        <v>0</v>
      </c>
      <c r="I528" t="n">
        <v>0</v>
      </c>
      <c r="J528" t="n">
        <v>0</v>
      </c>
      <c r="K528" t="n">
        <v>0</v>
      </c>
      <c r="L528" t="n">
        <v>0</v>
      </c>
      <c r="M528" t="n">
        <v>0</v>
      </c>
      <c r="N528" t="n">
        <v>0</v>
      </c>
      <c r="O528" t="n">
        <v>0</v>
      </c>
      <c r="P528" t="n">
        <v>0</v>
      </c>
      <c r="Q528" t="n">
        <v>0</v>
      </c>
      <c r="R528" s="2" t="inlineStr"/>
    </row>
    <row r="529" ht="15" customHeight="1">
      <c r="A529" t="inlineStr">
        <is>
          <t>A 16911-2024</t>
        </is>
      </c>
      <c r="B529" s="1" t="n">
        <v>45411</v>
      </c>
      <c r="C529" s="1" t="n">
        <v>45732</v>
      </c>
      <c r="D529" t="inlineStr">
        <is>
          <t>NORRBOTTENS LÄN</t>
        </is>
      </c>
      <c r="E529" t="inlineStr">
        <is>
          <t>ARVIDSJAUR</t>
        </is>
      </c>
      <c r="F529" t="inlineStr">
        <is>
          <t>Sveaskog</t>
        </is>
      </c>
      <c r="G529" t="n">
        <v>34.1</v>
      </c>
      <c r="H529" t="n">
        <v>0</v>
      </c>
      <c r="I529" t="n">
        <v>0</v>
      </c>
      <c r="J529" t="n">
        <v>0</v>
      </c>
      <c r="K529" t="n">
        <v>0</v>
      </c>
      <c r="L529" t="n">
        <v>0</v>
      </c>
      <c r="M529" t="n">
        <v>0</v>
      </c>
      <c r="N529" t="n">
        <v>0</v>
      </c>
      <c r="O529" t="n">
        <v>0</v>
      </c>
      <c r="P529" t="n">
        <v>0</v>
      </c>
      <c r="Q529" t="n">
        <v>0</v>
      </c>
      <c r="R529" s="2" t="inlineStr"/>
    </row>
    <row r="530" ht="15" customHeight="1">
      <c r="A530" t="inlineStr">
        <is>
          <t>A 17453-2024</t>
        </is>
      </c>
      <c r="B530" s="1" t="n">
        <v>45415</v>
      </c>
      <c r="C530" s="1" t="n">
        <v>45732</v>
      </c>
      <c r="D530" t="inlineStr">
        <is>
          <t>NORRBOTTENS LÄN</t>
        </is>
      </c>
      <c r="E530" t="inlineStr">
        <is>
          <t>ARVIDSJAUR</t>
        </is>
      </c>
      <c r="G530" t="n">
        <v>3.7</v>
      </c>
      <c r="H530" t="n">
        <v>0</v>
      </c>
      <c r="I530" t="n">
        <v>0</v>
      </c>
      <c r="J530" t="n">
        <v>0</v>
      </c>
      <c r="K530" t="n">
        <v>0</v>
      </c>
      <c r="L530" t="n">
        <v>0</v>
      </c>
      <c r="M530" t="n">
        <v>0</v>
      </c>
      <c r="N530" t="n">
        <v>0</v>
      </c>
      <c r="O530" t="n">
        <v>0</v>
      </c>
      <c r="P530" t="n">
        <v>0</v>
      </c>
      <c r="Q530" t="n">
        <v>0</v>
      </c>
      <c r="R530" s="2" t="inlineStr"/>
    </row>
    <row r="531" ht="15" customHeight="1">
      <c r="A531" t="inlineStr">
        <is>
          <t>A 18785-2024</t>
        </is>
      </c>
      <c r="B531" s="1" t="n">
        <v>45426</v>
      </c>
      <c r="C531" s="1" t="n">
        <v>45732</v>
      </c>
      <c r="D531" t="inlineStr">
        <is>
          <t>NORRBOTTENS LÄN</t>
        </is>
      </c>
      <c r="E531" t="inlineStr">
        <is>
          <t>ARVIDSJAUR</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18780-2024</t>
        </is>
      </c>
      <c r="B532" s="1" t="n">
        <v>45426</v>
      </c>
      <c r="C532" s="1" t="n">
        <v>45732</v>
      </c>
      <c r="D532" t="inlineStr">
        <is>
          <t>NORRBOTTENS LÄN</t>
        </is>
      </c>
      <c r="E532" t="inlineStr">
        <is>
          <t>ARVIDSJAUR</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20582-2024</t>
        </is>
      </c>
      <c r="B533" s="1" t="n">
        <v>45436</v>
      </c>
      <c r="C533" s="1" t="n">
        <v>45732</v>
      </c>
      <c r="D533" t="inlineStr">
        <is>
          <t>NORRBOTTENS LÄN</t>
        </is>
      </c>
      <c r="E533" t="inlineStr">
        <is>
          <t>ARVIDSJAUR</t>
        </is>
      </c>
      <c r="F533" t="inlineStr">
        <is>
          <t>Sveaskog</t>
        </is>
      </c>
      <c r="G533" t="n">
        <v>12.4</v>
      </c>
      <c r="H533" t="n">
        <v>0</v>
      </c>
      <c r="I533" t="n">
        <v>0</v>
      </c>
      <c r="J533" t="n">
        <v>0</v>
      </c>
      <c r="K533" t="n">
        <v>0</v>
      </c>
      <c r="L533" t="n">
        <v>0</v>
      </c>
      <c r="M533" t="n">
        <v>0</v>
      </c>
      <c r="N533" t="n">
        <v>0</v>
      </c>
      <c r="O533" t="n">
        <v>0</v>
      </c>
      <c r="P533" t="n">
        <v>0</v>
      </c>
      <c r="Q533" t="n">
        <v>0</v>
      </c>
      <c r="R533" s="2" t="inlineStr"/>
    </row>
    <row r="534" ht="15" customHeight="1">
      <c r="A534" t="inlineStr">
        <is>
          <t>A 20574-2024</t>
        </is>
      </c>
      <c r="B534" s="1" t="n">
        <v>45436</v>
      </c>
      <c r="C534" s="1" t="n">
        <v>45732</v>
      </c>
      <c r="D534" t="inlineStr">
        <is>
          <t>NORRBOTTENS LÄN</t>
        </is>
      </c>
      <c r="E534" t="inlineStr">
        <is>
          <t>ARVIDSJAUR</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20573-2024</t>
        </is>
      </c>
      <c r="B535" s="1" t="n">
        <v>45436</v>
      </c>
      <c r="C535" s="1" t="n">
        <v>45732</v>
      </c>
      <c r="D535" t="inlineStr">
        <is>
          <t>NORRBOTTENS LÄN</t>
        </is>
      </c>
      <c r="E535" t="inlineStr">
        <is>
          <t>ARVIDSJAUR</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20811-2024</t>
        </is>
      </c>
      <c r="B536" s="1" t="n">
        <v>45439</v>
      </c>
      <c r="C536" s="1" t="n">
        <v>45732</v>
      </c>
      <c r="D536" t="inlineStr">
        <is>
          <t>NORRBOTTENS LÄN</t>
        </is>
      </c>
      <c r="E536" t="inlineStr">
        <is>
          <t>ARVIDSJAUR</t>
        </is>
      </c>
      <c r="G536" t="n">
        <v>1.6</v>
      </c>
      <c r="H536" t="n">
        <v>0</v>
      </c>
      <c r="I536" t="n">
        <v>0</v>
      </c>
      <c r="J536" t="n">
        <v>0</v>
      </c>
      <c r="K536" t="n">
        <v>0</v>
      </c>
      <c r="L536" t="n">
        <v>0</v>
      </c>
      <c r="M536" t="n">
        <v>0</v>
      </c>
      <c r="N536" t="n">
        <v>0</v>
      </c>
      <c r="O536" t="n">
        <v>0</v>
      </c>
      <c r="P536" t="n">
        <v>0</v>
      </c>
      <c r="Q536" t="n">
        <v>0</v>
      </c>
      <c r="R536" s="2" t="inlineStr"/>
    </row>
    <row r="537" ht="15" customHeight="1">
      <c r="A537" t="inlineStr">
        <is>
          <t>A 21358-2024</t>
        </is>
      </c>
      <c r="B537" s="1" t="n">
        <v>45440</v>
      </c>
      <c r="C537" s="1" t="n">
        <v>45732</v>
      </c>
      <c r="D537" t="inlineStr">
        <is>
          <t>NORRBOTTENS LÄN</t>
        </is>
      </c>
      <c r="E537" t="inlineStr">
        <is>
          <t>ARVIDSJAUR</t>
        </is>
      </c>
      <c r="F537" t="inlineStr">
        <is>
          <t>SCA</t>
        </is>
      </c>
      <c r="G537" t="n">
        <v>5.9</v>
      </c>
      <c r="H537" t="n">
        <v>0</v>
      </c>
      <c r="I537" t="n">
        <v>0</v>
      </c>
      <c r="J537" t="n">
        <v>0</v>
      </c>
      <c r="K537" t="n">
        <v>0</v>
      </c>
      <c r="L537" t="n">
        <v>0</v>
      </c>
      <c r="M537" t="n">
        <v>0</v>
      </c>
      <c r="N537" t="n">
        <v>0</v>
      </c>
      <c r="O537" t="n">
        <v>0</v>
      </c>
      <c r="P537" t="n">
        <v>0</v>
      </c>
      <c r="Q537" t="n">
        <v>0</v>
      </c>
      <c r="R537" s="2" t="inlineStr"/>
    </row>
    <row r="538" ht="15" customHeight="1">
      <c r="A538" t="inlineStr">
        <is>
          <t>A 21704-2024</t>
        </is>
      </c>
      <c r="B538" s="1" t="n">
        <v>45442</v>
      </c>
      <c r="C538" s="1" t="n">
        <v>45732</v>
      </c>
      <c r="D538" t="inlineStr">
        <is>
          <t>NORRBOTTENS LÄN</t>
        </is>
      </c>
      <c r="E538" t="inlineStr">
        <is>
          <t>ARVIDSJAUR</t>
        </is>
      </c>
      <c r="G538" t="n">
        <v>3.1</v>
      </c>
      <c r="H538" t="n">
        <v>0</v>
      </c>
      <c r="I538" t="n">
        <v>0</v>
      </c>
      <c r="J538" t="n">
        <v>0</v>
      </c>
      <c r="K538" t="n">
        <v>0</v>
      </c>
      <c r="L538" t="n">
        <v>0</v>
      </c>
      <c r="M538" t="n">
        <v>0</v>
      </c>
      <c r="N538" t="n">
        <v>0</v>
      </c>
      <c r="O538" t="n">
        <v>0</v>
      </c>
      <c r="P538" t="n">
        <v>0</v>
      </c>
      <c r="Q538" t="n">
        <v>0</v>
      </c>
      <c r="R538" s="2" t="inlineStr"/>
    </row>
    <row r="539" ht="15" customHeight="1">
      <c r="A539" t="inlineStr">
        <is>
          <t>A 22688-2024</t>
        </is>
      </c>
      <c r="B539" s="1" t="n">
        <v>45448</v>
      </c>
      <c r="C539" s="1" t="n">
        <v>45732</v>
      </c>
      <c r="D539" t="inlineStr">
        <is>
          <t>NORRBOTTENS LÄN</t>
        </is>
      </c>
      <c r="E539" t="inlineStr">
        <is>
          <t>ARVIDSJAUR</t>
        </is>
      </c>
      <c r="G539" t="n">
        <v>6.4</v>
      </c>
      <c r="H539" t="n">
        <v>0</v>
      </c>
      <c r="I539" t="n">
        <v>0</v>
      </c>
      <c r="J539" t="n">
        <v>0</v>
      </c>
      <c r="K539" t="n">
        <v>0</v>
      </c>
      <c r="L539" t="n">
        <v>0</v>
      </c>
      <c r="M539" t="n">
        <v>0</v>
      </c>
      <c r="N539" t="n">
        <v>0</v>
      </c>
      <c r="O539" t="n">
        <v>0</v>
      </c>
      <c r="P539" t="n">
        <v>0</v>
      </c>
      <c r="Q539" t="n">
        <v>0</v>
      </c>
      <c r="R539" s="2" t="inlineStr"/>
    </row>
    <row r="540" ht="15" customHeight="1">
      <c r="A540" t="inlineStr">
        <is>
          <t>A 22696-2024</t>
        </is>
      </c>
      <c r="B540" s="1" t="n">
        <v>45448</v>
      </c>
      <c r="C540" s="1" t="n">
        <v>45732</v>
      </c>
      <c r="D540" t="inlineStr">
        <is>
          <t>NORRBOTTENS LÄN</t>
        </is>
      </c>
      <c r="E540" t="inlineStr">
        <is>
          <t>ARVIDSJAUR</t>
        </is>
      </c>
      <c r="F540" t="inlineStr">
        <is>
          <t>Sveaskog</t>
        </is>
      </c>
      <c r="G540" t="n">
        <v>23.1</v>
      </c>
      <c r="H540" t="n">
        <v>0</v>
      </c>
      <c r="I540" t="n">
        <v>0</v>
      </c>
      <c r="J540" t="n">
        <v>0</v>
      </c>
      <c r="K540" t="n">
        <v>0</v>
      </c>
      <c r="L540" t="n">
        <v>0</v>
      </c>
      <c r="M540" t="n">
        <v>0</v>
      </c>
      <c r="N540" t="n">
        <v>0</v>
      </c>
      <c r="O540" t="n">
        <v>0</v>
      </c>
      <c r="P540" t="n">
        <v>0</v>
      </c>
      <c r="Q540" t="n">
        <v>0</v>
      </c>
      <c r="R540" s="2" t="inlineStr"/>
    </row>
    <row r="541" ht="15" customHeight="1">
      <c r="A541" t="inlineStr">
        <is>
          <t>A 22691-2024</t>
        </is>
      </c>
      <c r="B541" s="1" t="n">
        <v>45448</v>
      </c>
      <c r="C541" s="1" t="n">
        <v>45732</v>
      </c>
      <c r="D541" t="inlineStr">
        <is>
          <t>NORRBOTTENS LÄN</t>
        </is>
      </c>
      <c r="E541" t="inlineStr">
        <is>
          <t>ARVIDSJAUR</t>
        </is>
      </c>
      <c r="F541" t="inlineStr">
        <is>
          <t>Sveaskog</t>
        </is>
      </c>
      <c r="G541" t="n">
        <v>11.2</v>
      </c>
      <c r="H541" t="n">
        <v>0</v>
      </c>
      <c r="I541" t="n">
        <v>0</v>
      </c>
      <c r="J541" t="n">
        <v>0</v>
      </c>
      <c r="K541" t="n">
        <v>0</v>
      </c>
      <c r="L541" t="n">
        <v>0</v>
      </c>
      <c r="M541" t="n">
        <v>0</v>
      </c>
      <c r="N541" t="n">
        <v>0</v>
      </c>
      <c r="O541" t="n">
        <v>0</v>
      </c>
      <c r="P541" t="n">
        <v>0</v>
      </c>
      <c r="Q541" t="n">
        <v>0</v>
      </c>
      <c r="R541" s="2" t="inlineStr"/>
    </row>
    <row r="542" ht="15" customHeight="1">
      <c r="A542" t="inlineStr">
        <is>
          <t>A 22996-2024</t>
        </is>
      </c>
      <c r="B542" s="1" t="n">
        <v>45450</v>
      </c>
      <c r="C542" s="1" t="n">
        <v>45732</v>
      </c>
      <c r="D542" t="inlineStr">
        <is>
          <t>NORRBOTTENS LÄN</t>
        </is>
      </c>
      <c r="E542" t="inlineStr">
        <is>
          <t>ARVIDSJAUR</t>
        </is>
      </c>
      <c r="F542" t="inlineStr">
        <is>
          <t>Sveaskog</t>
        </is>
      </c>
      <c r="G542" t="n">
        <v>8.9</v>
      </c>
      <c r="H542" t="n">
        <v>0</v>
      </c>
      <c r="I542" t="n">
        <v>0</v>
      </c>
      <c r="J542" t="n">
        <v>0</v>
      </c>
      <c r="K542" t="n">
        <v>0</v>
      </c>
      <c r="L542" t="n">
        <v>0</v>
      </c>
      <c r="M542" t="n">
        <v>0</v>
      </c>
      <c r="N542" t="n">
        <v>0</v>
      </c>
      <c r="O542" t="n">
        <v>0</v>
      </c>
      <c r="P542" t="n">
        <v>0</v>
      </c>
      <c r="Q542" t="n">
        <v>0</v>
      </c>
      <c r="R542" s="2" t="inlineStr"/>
    </row>
    <row r="543" ht="15" customHeight="1">
      <c r="A543" t="inlineStr">
        <is>
          <t>A 22997-2024</t>
        </is>
      </c>
      <c r="B543" s="1" t="n">
        <v>45450</v>
      </c>
      <c r="C543" s="1" t="n">
        <v>45732</v>
      </c>
      <c r="D543" t="inlineStr">
        <is>
          <t>NORRBOTTENS LÄN</t>
        </is>
      </c>
      <c r="E543" t="inlineStr">
        <is>
          <t>ARVIDSJAUR</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23589-2024</t>
        </is>
      </c>
      <c r="B544" s="1" t="n">
        <v>45454</v>
      </c>
      <c r="C544" s="1" t="n">
        <v>45732</v>
      </c>
      <c r="D544" t="inlineStr">
        <is>
          <t>NORRBOTTENS LÄN</t>
        </is>
      </c>
      <c r="E544" t="inlineStr">
        <is>
          <t>ARVIDSJAUR</t>
        </is>
      </c>
      <c r="G544" t="n">
        <v>9.5</v>
      </c>
      <c r="H544" t="n">
        <v>0</v>
      </c>
      <c r="I544" t="n">
        <v>0</v>
      </c>
      <c r="J544" t="n">
        <v>0</v>
      </c>
      <c r="K544" t="n">
        <v>0</v>
      </c>
      <c r="L544" t="n">
        <v>0</v>
      </c>
      <c r="M544" t="n">
        <v>0</v>
      </c>
      <c r="N544" t="n">
        <v>0</v>
      </c>
      <c r="O544" t="n">
        <v>0</v>
      </c>
      <c r="P544" t="n">
        <v>0</v>
      </c>
      <c r="Q544" t="n">
        <v>0</v>
      </c>
      <c r="R544" s="2" t="inlineStr"/>
    </row>
    <row r="545" ht="15" customHeight="1">
      <c r="A545" t="inlineStr">
        <is>
          <t>A 23736-2024</t>
        </is>
      </c>
      <c r="B545" s="1" t="n">
        <v>45454</v>
      </c>
      <c r="C545" s="1" t="n">
        <v>45732</v>
      </c>
      <c r="D545" t="inlineStr">
        <is>
          <t>NORRBOTTENS LÄN</t>
        </is>
      </c>
      <c r="E545" t="inlineStr">
        <is>
          <t>ARVIDSJAUR</t>
        </is>
      </c>
      <c r="G545" t="n">
        <v>1.2</v>
      </c>
      <c r="H545" t="n">
        <v>0</v>
      </c>
      <c r="I545" t="n">
        <v>0</v>
      </c>
      <c r="J545" t="n">
        <v>0</v>
      </c>
      <c r="K545" t="n">
        <v>0</v>
      </c>
      <c r="L545" t="n">
        <v>0</v>
      </c>
      <c r="M545" t="n">
        <v>0</v>
      </c>
      <c r="N545" t="n">
        <v>0</v>
      </c>
      <c r="O545" t="n">
        <v>0</v>
      </c>
      <c r="P545" t="n">
        <v>0</v>
      </c>
      <c r="Q545" t="n">
        <v>0</v>
      </c>
      <c r="R545" s="2" t="inlineStr"/>
    </row>
    <row r="546" ht="15" customHeight="1">
      <c r="A546" t="inlineStr">
        <is>
          <t>A 23592-2024</t>
        </is>
      </c>
      <c r="B546" s="1" t="n">
        <v>45454</v>
      </c>
      <c r="C546" s="1" t="n">
        <v>45732</v>
      </c>
      <c r="D546" t="inlineStr">
        <is>
          <t>NORRBOTTENS LÄN</t>
        </is>
      </c>
      <c r="E546" t="inlineStr">
        <is>
          <t>ARVIDSJAUR</t>
        </is>
      </c>
      <c r="G546" t="n">
        <v>2.4</v>
      </c>
      <c r="H546" t="n">
        <v>0</v>
      </c>
      <c r="I546" t="n">
        <v>0</v>
      </c>
      <c r="J546" t="n">
        <v>0</v>
      </c>
      <c r="K546" t="n">
        <v>0</v>
      </c>
      <c r="L546" t="n">
        <v>0</v>
      </c>
      <c r="M546" t="n">
        <v>0</v>
      </c>
      <c r="N546" t="n">
        <v>0</v>
      </c>
      <c r="O546" t="n">
        <v>0</v>
      </c>
      <c r="P546" t="n">
        <v>0</v>
      </c>
      <c r="Q546" t="n">
        <v>0</v>
      </c>
      <c r="R546" s="2" t="inlineStr"/>
    </row>
    <row r="547" ht="15" customHeight="1">
      <c r="A547" t="inlineStr">
        <is>
          <t>A 24854-2024</t>
        </is>
      </c>
      <c r="B547" s="1" t="n">
        <v>45461</v>
      </c>
      <c r="C547" s="1" t="n">
        <v>45732</v>
      </c>
      <c r="D547" t="inlineStr">
        <is>
          <t>NORRBOTTENS LÄN</t>
        </is>
      </c>
      <c r="E547" t="inlineStr">
        <is>
          <t>ARVIDSJAUR</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24860-2024</t>
        </is>
      </c>
      <c r="B548" s="1" t="n">
        <v>45461</v>
      </c>
      <c r="C548" s="1" t="n">
        <v>45732</v>
      </c>
      <c r="D548" t="inlineStr">
        <is>
          <t>NORRBOTTENS LÄN</t>
        </is>
      </c>
      <c r="E548" t="inlineStr">
        <is>
          <t>ARVIDSJAUR</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24836-2024</t>
        </is>
      </c>
      <c r="B549" s="1" t="n">
        <v>45461</v>
      </c>
      <c r="C549" s="1" t="n">
        <v>45732</v>
      </c>
      <c r="D549" t="inlineStr">
        <is>
          <t>NORRBOTTENS LÄN</t>
        </is>
      </c>
      <c r="E549" t="inlineStr">
        <is>
          <t>ARVIDSJAUR</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25121-2024</t>
        </is>
      </c>
      <c r="B550" s="1" t="n">
        <v>45462</v>
      </c>
      <c r="C550" s="1" t="n">
        <v>45732</v>
      </c>
      <c r="D550" t="inlineStr">
        <is>
          <t>NORRBOTTENS LÄN</t>
        </is>
      </c>
      <c r="E550" t="inlineStr">
        <is>
          <t>ARVIDSJAUR</t>
        </is>
      </c>
      <c r="F550" t="inlineStr">
        <is>
          <t>Sveaskog</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25043-2024</t>
        </is>
      </c>
      <c r="B551" s="1" t="n">
        <v>45462</v>
      </c>
      <c r="C551" s="1" t="n">
        <v>45732</v>
      </c>
      <c r="D551" t="inlineStr">
        <is>
          <t>NORRBOTTENS LÄN</t>
        </is>
      </c>
      <c r="E551" t="inlineStr">
        <is>
          <t>ARVIDSJAUR</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25599-2024</t>
        </is>
      </c>
      <c r="B552" s="1" t="n">
        <v>45463</v>
      </c>
      <c r="C552" s="1" t="n">
        <v>45732</v>
      </c>
      <c r="D552" t="inlineStr">
        <is>
          <t>NORRBOTTENS LÄN</t>
        </is>
      </c>
      <c r="E552" t="inlineStr">
        <is>
          <t>ARVIDSJAUR</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25478-2024</t>
        </is>
      </c>
      <c r="B553" s="1" t="n">
        <v>45463</v>
      </c>
      <c r="C553" s="1" t="n">
        <v>45732</v>
      </c>
      <c r="D553" t="inlineStr">
        <is>
          <t>NORRBOTTENS LÄN</t>
        </is>
      </c>
      <c r="E553" t="inlineStr">
        <is>
          <t>ARVIDSJAUR</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25790-2024</t>
        </is>
      </c>
      <c r="B554" s="1" t="n">
        <v>45467</v>
      </c>
      <c r="C554" s="1" t="n">
        <v>45732</v>
      </c>
      <c r="D554" t="inlineStr">
        <is>
          <t>NORRBOTTENS LÄN</t>
        </is>
      </c>
      <c r="E554" t="inlineStr">
        <is>
          <t>ARVIDSJAUR</t>
        </is>
      </c>
      <c r="F554" t="inlineStr">
        <is>
          <t>Sveaskog</t>
        </is>
      </c>
      <c r="G554" t="n">
        <v>5.6</v>
      </c>
      <c r="H554" t="n">
        <v>0</v>
      </c>
      <c r="I554" t="n">
        <v>0</v>
      </c>
      <c r="J554" t="n">
        <v>0</v>
      </c>
      <c r="K554" t="n">
        <v>0</v>
      </c>
      <c r="L554" t="n">
        <v>0</v>
      </c>
      <c r="M554" t="n">
        <v>0</v>
      </c>
      <c r="N554" t="n">
        <v>0</v>
      </c>
      <c r="O554" t="n">
        <v>0</v>
      </c>
      <c r="P554" t="n">
        <v>0</v>
      </c>
      <c r="Q554" t="n">
        <v>0</v>
      </c>
      <c r="R554" s="2" t="inlineStr"/>
    </row>
    <row r="555" ht="15" customHeight="1">
      <c r="A555" t="inlineStr">
        <is>
          <t>A 25913-2024</t>
        </is>
      </c>
      <c r="B555" s="1" t="n">
        <v>45467</v>
      </c>
      <c r="C555" s="1" t="n">
        <v>45732</v>
      </c>
      <c r="D555" t="inlineStr">
        <is>
          <t>NORRBOTTENS LÄN</t>
        </is>
      </c>
      <c r="E555" t="inlineStr">
        <is>
          <t>ARVIDSJAUR</t>
        </is>
      </c>
      <c r="G555" t="n">
        <v>4.8</v>
      </c>
      <c r="H555" t="n">
        <v>0</v>
      </c>
      <c r="I555" t="n">
        <v>0</v>
      </c>
      <c r="J555" t="n">
        <v>0</v>
      </c>
      <c r="K555" t="n">
        <v>0</v>
      </c>
      <c r="L555" t="n">
        <v>0</v>
      </c>
      <c r="M555" t="n">
        <v>0</v>
      </c>
      <c r="N555" t="n">
        <v>0</v>
      </c>
      <c r="O555" t="n">
        <v>0</v>
      </c>
      <c r="P555" t="n">
        <v>0</v>
      </c>
      <c r="Q555" t="n">
        <v>0</v>
      </c>
      <c r="R555" s="2" t="inlineStr"/>
    </row>
    <row r="556" ht="15" customHeight="1">
      <c r="A556" t="inlineStr">
        <is>
          <t>A 26689-2024</t>
        </is>
      </c>
      <c r="B556" s="1" t="n">
        <v>45470</v>
      </c>
      <c r="C556" s="1" t="n">
        <v>45732</v>
      </c>
      <c r="D556" t="inlineStr">
        <is>
          <t>NORRBOTTENS LÄN</t>
        </is>
      </c>
      <c r="E556" t="inlineStr">
        <is>
          <t>ARVIDSJAUR</t>
        </is>
      </c>
      <c r="F556" t="inlineStr">
        <is>
          <t>Sveaskog</t>
        </is>
      </c>
      <c r="G556" t="n">
        <v>11.8</v>
      </c>
      <c r="H556" t="n">
        <v>0</v>
      </c>
      <c r="I556" t="n">
        <v>0</v>
      </c>
      <c r="J556" t="n">
        <v>0</v>
      </c>
      <c r="K556" t="n">
        <v>0</v>
      </c>
      <c r="L556" t="n">
        <v>0</v>
      </c>
      <c r="M556" t="n">
        <v>0</v>
      </c>
      <c r="N556" t="n">
        <v>0</v>
      </c>
      <c r="O556" t="n">
        <v>0</v>
      </c>
      <c r="P556" t="n">
        <v>0</v>
      </c>
      <c r="Q556" t="n">
        <v>0</v>
      </c>
      <c r="R556" s="2" t="inlineStr"/>
    </row>
    <row r="557" ht="15" customHeight="1">
      <c r="A557" t="inlineStr">
        <is>
          <t>A 26684-2024</t>
        </is>
      </c>
      <c r="B557" s="1" t="n">
        <v>45470</v>
      </c>
      <c r="C557" s="1" t="n">
        <v>45732</v>
      </c>
      <c r="D557" t="inlineStr">
        <is>
          <t>NORRBOTTENS LÄN</t>
        </is>
      </c>
      <c r="E557" t="inlineStr">
        <is>
          <t>ARVIDSJAUR</t>
        </is>
      </c>
      <c r="F557" t="inlineStr">
        <is>
          <t>Sveaskog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26686-2024</t>
        </is>
      </c>
      <c r="B558" s="1" t="n">
        <v>45470</v>
      </c>
      <c r="C558" s="1" t="n">
        <v>45732</v>
      </c>
      <c r="D558" t="inlineStr">
        <is>
          <t>NORRBOTTENS LÄN</t>
        </is>
      </c>
      <c r="E558" t="inlineStr">
        <is>
          <t>ARVIDSJAUR</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26835-2024</t>
        </is>
      </c>
      <c r="B559" s="1" t="n">
        <v>45470</v>
      </c>
      <c r="C559" s="1" t="n">
        <v>45732</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26819-2024</t>
        </is>
      </c>
      <c r="B560" s="1" t="n">
        <v>45470</v>
      </c>
      <c r="C560" s="1" t="n">
        <v>45732</v>
      </c>
      <c r="D560" t="inlineStr">
        <is>
          <t>NORRBOTTENS LÄN</t>
        </is>
      </c>
      <c r="E560" t="inlineStr">
        <is>
          <t>ARVIDSJAUR</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26691-2024</t>
        </is>
      </c>
      <c r="B561" s="1" t="n">
        <v>45470</v>
      </c>
      <c r="C561" s="1" t="n">
        <v>45732</v>
      </c>
      <c r="D561" t="inlineStr">
        <is>
          <t>NORRBOTTENS LÄN</t>
        </is>
      </c>
      <c r="E561" t="inlineStr">
        <is>
          <t>ARVIDSJAUR</t>
        </is>
      </c>
      <c r="F561" t="inlineStr">
        <is>
          <t>Sveaskog</t>
        </is>
      </c>
      <c r="G561" t="n">
        <v>21.6</v>
      </c>
      <c r="H561" t="n">
        <v>0</v>
      </c>
      <c r="I561" t="n">
        <v>0</v>
      </c>
      <c r="J561" t="n">
        <v>0</v>
      </c>
      <c r="K561" t="n">
        <v>0</v>
      </c>
      <c r="L561" t="n">
        <v>0</v>
      </c>
      <c r="M561" t="n">
        <v>0</v>
      </c>
      <c r="N561" t="n">
        <v>0</v>
      </c>
      <c r="O561" t="n">
        <v>0</v>
      </c>
      <c r="P561" t="n">
        <v>0</v>
      </c>
      <c r="Q561" t="n">
        <v>0</v>
      </c>
      <c r="R561" s="2" t="inlineStr"/>
    </row>
    <row r="562" ht="15" customHeight="1">
      <c r="A562" t="inlineStr">
        <is>
          <t>A 26841-2024</t>
        </is>
      </c>
      <c r="B562" s="1" t="n">
        <v>45470</v>
      </c>
      <c r="C562" s="1" t="n">
        <v>45732</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26687-2024</t>
        </is>
      </c>
      <c r="B563" s="1" t="n">
        <v>45470</v>
      </c>
      <c r="C563" s="1" t="n">
        <v>45732</v>
      </c>
      <c r="D563" t="inlineStr">
        <is>
          <t>NORRBOTTENS LÄN</t>
        </is>
      </c>
      <c r="E563" t="inlineStr">
        <is>
          <t>ARVIDSJAUR</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27118-2024</t>
        </is>
      </c>
      <c r="B564" s="1" t="n">
        <v>45471</v>
      </c>
      <c r="C564" s="1" t="n">
        <v>45732</v>
      </c>
      <c r="D564" t="inlineStr">
        <is>
          <t>NORRBOTTENS LÄN</t>
        </is>
      </c>
      <c r="E564" t="inlineStr">
        <is>
          <t>ARVIDSJAUR</t>
        </is>
      </c>
      <c r="F564" t="inlineStr">
        <is>
          <t>Sveaskog</t>
        </is>
      </c>
      <c r="G564" t="n">
        <v>18.2</v>
      </c>
      <c r="H564" t="n">
        <v>0</v>
      </c>
      <c r="I564" t="n">
        <v>0</v>
      </c>
      <c r="J564" t="n">
        <v>0</v>
      </c>
      <c r="K564" t="n">
        <v>0</v>
      </c>
      <c r="L564" t="n">
        <v>0</v>
      </c>
      <c r="M564" t="n">
        <v>0</v>
      </c>
      <c r="N564" t="n">
        <v>0</v>
      </c>
      <c r="O564" t="n">
        <v>0</v>
      </c>
      <c r="P564" t="n">
        <v>0</v>
      </c>
      <c r="Q564" t="n">
        <v>0</v>
      </c>
      <c r="R564" s="2" t="inlineStr"/>
    </row>
    <row r="565" ht="15" customHeight="1">
      <c r="A565" t="inlineStr">
        <is>
          <t>A 27742-2024</t>
        </is>
      </c>
      <c r="B565" s="1" t="n">
        <v>45475</v>
      </c>
      <c r="C565" s="1" t="n">
        <v>45732</v>
      </c>
      <c r="D565" t="inlineStr">
        <is>
          <t>NORRBOTTENS LÄN</t>
        </is>
      </c>
      <c r="E565" t="inlineStr">
        <is>
          <t>ARVIDSJAUR</t>
        </is>
      </c>
      <c r="G565" t="n">
        <v>16.8</v>
      </c>
      <c r="H565" t="n">
        <v>0</v>
      </c>
      <c r="I565" t="n">
        <v>0</v>
      </c>
      <c r="J565" t="n">
        <v>0</v>
      </c>
      <c r="K565" t="n">
        <v>0</v>
      </c>
      <c r="L565" t="n">
        <v>0</v>
      </c>
      <c r="M565" t="n">
        <v>0</v>
      </c>
      <c r="N565" t="n">
        <v>0</v>
      </c>
      <c r="O565" t="n">
        <v>0</v>
      </c>
      <c r="P565" t="n">
        <v>0</v>
      </c>
      <c r="Q565" t="n">
        <v>0</v>
      </c>
      <c r="R565" s="2" t="inlineStr"/>
    </row>
    <row r="566" ht="15" customHeight="1">
      <c r="A566" t="inlineStr">
        <is>
          <t>A 27944-2024</t>
        </is>
      </c>
      <c r="B566" s="1" t="n">
        <v>45476</v>
      </c>
      <c r="C566" s="1" t="n">
        <v>45732</v>
      </c>
      <c r="D566" t="inlineStr">
        <is>
          <t>NORRBOTTENS LÄN</t>
        </is>
      </c>
      <c r="E566" t="inlineStr">
        <is>
          <t>ARVIDSJAUR</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28803-2024</t>
        </is>
      </c>
      <c r="B567" s="1" t="n">
        <v>45478</v>
      </c>
      <c r="C567" s="1" t="n">
        <v>45732</v>
      </c>
      <c r="D567" t="inlineStr">
        <is>
          <t>NORRBOTTENS LÄN</t>
        </is>
      </c>
      <c r="E567" t="inlineStr">
        <is>
          <t>ARVIDSJAUR</t>
        </is>
      </c>
      <c r="F567" t="inlineStr">
        <is>
          <t>Övriga Aktiebolag</t>
        </is>
      </c>
      <c r="G567" t="n">
        <v>16.5</v>
      </c>
      <c r="H567" t="n">
        <v>0</v>
      </c>
      <c r="I567" t="n">
        <v>0</v>
      </c>
      <c r="J567" t="n">
        <v>0</v>
      </c>
      <c r="K567" t="n">
        <v>0</v>
      </c>
      <c r="L567" t="n">
        <v>0</v>
      </c>
      <c r="M567" t="n">
        <v>0</v>
      </c>
      <c r="N567" t="n">
        <v>0</v>
      </c>
      <c r="O567" t="n">
        <v>0</v>
      </c>
      <c r="P567" t="n">
        <v>0</v>
      </c>
      <c r="Q567" t="n">
        <v>0</v>
      </c>
      <c r="R567" s="2" t="inlineStr"/>
    </row>
    <row r="568" ht="15" customHeight="1">
      <c r="A568" t="inlineStr">
        <is>
          <t>A 28887-2024</t>
        </is>
      </c>
      <c r="B568" s="1" t="n">
        <v>45480</v>
      </c>
      <c r="C568" s="1" t="n">
        <v>45732</v>
      </c>
      <c r="D568" t="inlineStr">
        <is>
          <t>NORRBOTTENS LÄN</t>
        </is>
      </c>
      <c r="E568" t="inlineStr">
        <is>
          <t>ARVIDSJAUR</t>
        </is>
      </c>
      <c r="F568" t="inlineStr">
        <is>
          <t>SCA</t>
        </is>
      </c>
      <c r="G568" t="n">
        <v>11.9</v>
      </c>
      <c r="H568" t="n">
        <v>0</v>
      </c>
      <c r="I568" t="n">
        <v>0</v>
      </c>
      <c r="J568" t="n">
        <v>0</v>
      </c>
      <c r="K568" t="n">
        <v>0</v>
      </c>
      <c r="L568" t="n">
        <v>0</v>
      </c>
      <c r="M568" t="n">
        <v>0</v>
      </c>
      <c r="N568" t="n">
        <v>0</v>
      </c>
      <c r="O568" t="n">
        <v>0</v>
      </c>
      <c r="P568" t="n">
        <v>0</v>
      </c>
      <c r="Q568" t="n">
        <v>0</v>
      </c>
      <c r="R568" s="2" t="inlineStr"/>
    </row>
    <row r="569" ht="15" customHeight="1">
      <c r="A569" t="inlineStr">
        <is>
          <t>A 28926-2024</t>
        </is>
      </c>
      <c r="B569" s="1" t="n">
        <v>45481</v>
      </c>
      <c r="C569" s="1" t="n">
        <v>45732</v>
      </c>
      <c r="D569" t="inlineStr">
        <is>
          <t>NORRBOTTENS LÄN</t>
        </is>
      </c>
      <c r="E569" t="inlineStr">
        <is>
          <t>ARVIDSJAUR</t>
        </is>
      </c>
      <c r="F569" t="inlineStr">
        <is>
          <t>Sveaskog</t>
        </is>
      </c>
      <c r="G569" t="n">
        <v>6.4</v>
      </c>
      <c r="H569" t="n">
        <v>0</v>
      </c>
      <c r="I569" t="n">
        <v>0</v>
      </c>
      <c r="J569" t="n">
        <v>0</v>
      </c>
      <c r="K569" t="n">
        <v>0</v>
      </c>
      <c r="L569" t="n">
        <v>0</v>
      </c>
      <c r="M569" t="n">
        <v>0</v>
      </c>
      <c r="N569" t="n">
        <v>0</v>
      </c>
      <c r="O569" t="n">
        <v>0</v>
      </c>
      <c r="P569" t="n">
        <v>0</v>
      </c>
      <c r="Q569" t="n">
        <v>0</v>
      </c>
      <c r="R569" s="2" t="inlineStr"/>
    </row>
    <row r="570" ht="15" customHeight="1">
      <c r="A570" t="inlineStr">
        <is>
          <t>A 28925-2024</t>
        </is>
      </c>
      <c r="B570" s="1" t="n">
        <v>45481</v>
      </c>
      <c r="C570" s="1" t="n">
        <v>45732</v>
      </c>
      <c r="D570" t="inlineStr">
        <is>
          <t>NORRBOTTENS LÄN</t>
        </is>
      </c>
      <c r="E570" t="inlineStr">
        <is>
          <t>ARVIDSJAUR</t>
        </is>
      </c>
      <c r="F570" t="inlineStr">
        <is>
          <t>Sveaskog</t>
        </is>
      </c>
      <c r="G570" t="n">
        <v>14.6</v>
      </c>
      <c r="H570" t="n">
        <v>0</v>
      </c>
      <c r="I570" t="n">
        <v>0</v>
      </c>
      <c r="J570" t="n">
        <v>0</v>
      </c>
      <c r="K570" t="n">
        <v>0</v>
      </c>
      <c r="L570" t="n">
        <v>0</v>
      </c>
      <c r="M570" t="n">
        <v>0</v>
      </c>
      <c r="N570" t="n">
        <v>0</v>
      </c>
      <c r="O570" t="n">
        <v>0</v>
      </c>
      <c r="P570" t="n">
        <v>0</v>
      </c>
      <c r="Q570" t="n">
        <v>0</v>
      </c>
      <c r="R570" s="2" t="inlineStr"/>
    </row>
    <row r="571" ht="15" customHeight="1">
      <c r="A571" t="inlineStr">
        <is>
          <t>A 29368-2024</t>
        </is>
      </c>
      <c r="B571" s="1" t="n">
        <v>45483</v>
      </c>
      <c r="C571" s="1" t="n">
        <v>45732</v>
      </c>
      <c r="D571" t="inlineStr">
        <is>
          <t>NORRBOTTENS LÄN</t>
        </is>
      </c>
      <c r="E571" t="inlineStr">
        <is>
          <t>ARVIDSJAUR</t>
        </is>
      </c>
      <c r="F571" t="inlineStr">
        <is>
          <t>Sveaskog</t>
        </is>
      </c>
      <c r="G571" t="n">
        <v>30.6</v>
      </c>
      <c r="H571" t="n">
        <v>0</v>
      </c>
      <c r="I571" t="n">
        <v>0</v>
      </c>
      <c r="J571" t="n">
        <v>0</v>
      </c>
      <c r="K571" t="n">
        <v>0</v>
      </c>
      <c r="L571" t="n">
        <v>0</v>
      </c>
      <c r="M571" t="n">
        <v>0</v>
      </c>
      <c r="N571" t="n">
        <v>0</v>
      </c>
      <c r="O571" t="n">
        <v>0</v>
      </c>
      <c r="P571" t="n">
        <v>0</v>
      </c>
      <c r="Q571" t="n">
        <v>0</v>
      </c>
      <c r="R571" s="2" t="inlineStr"/>
    </row>
    <row r="572" ht="15" customHeight="1">
      <c r="A572" t="inlineStr">
        <is>
          <t>A 29372-2024</t>
        </is>
      </c>
      <c r="B572" s="1" t="n">
        <v>45483</v>
      </c>
      <c r="C572" s="1" t="n">
        <v>45732</v>
      </c>
      <c r="D572" t="inlineStr">
        <is>
          <t>NORRBOTTENS LÄN</t>
        </is>
      </c>
      <c r="E572" t="inlineStr">
        <is>
          <t>ARVIDSJAUR</t>
        </is>
      </c>
      <c r="F572" t="inlineStr">
        <is>
          <t>Sveaskog</t>
        </is>
      </c>
      <c r="G572" t="n">
        <v>28.1</v>
      </c>
      <c r="H572" t="n">
        <v>0</v>
      </c>
      <c r="I572" t="n">
        <v>0</v>
      </c>
      <c r="J572" t="n">
        <v>0</v>
      </c>
      <c r="K572" t="n">
        <v>0</v>
      </c>
      <c r="L572" t="n">
        <v>0</v>
      </c>
      <c r="M572" t="n">
        <v>0</v>
      </c>
      <c r="N572" t="n">
        <v>0</v>
      </c>
      <c r="O572" t="n">
        <v>0</v>
      </c>
      <c r="P572" t="n">
        <v>0</v>
      </c>
      <c r="Q572" t="n">
        <v>0</v>
      </c>
      <c r="R572" s="2" t="inlineStr"/>
    </row>
    <row r="573" ht="15" customHeight="1">
      <c r="A573" t="inlineStr">
        <is>
          <t>A 29681-2024</t>
        </is>
      </c>
      <c r="B573" s="1" t="n">
        <v>45485</v>
      </c>
      <c r="C573" s="1" t="n">
        <v>45732</v>
      </c>
      <c r="D573" t="inlineStr">
        <is>
          <t>NORRBOTTENS LÄN</t>
        </is>
      </c>
      <c r="E573" t="inlineStr">
        <is>
          <t>ARVIDSJAUR</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29677-2024</t>
        </is>
      </c>
      <c r="B574" s="1" t="n">
        <v>45485</v>
      </c>
      <c r="C574" s="1" t="n">
        <v>45732</v>
      </c>
      <c r="D574" t="inlineStr">
        <is>
          <t>NORRBOTTENS LÄN</t>
        </is>
      </c>
      <c r="E574" t="inlineStr">
        <is>
          <t>ARVIDSJAUR</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29674-2024</t>
        </is>
      </c>
      <c r="B575" s="1" t="n">
        <v>45485</v>
      </c>
      <c r="C575" s="1" t="n">
        <v>45732</v>
      </c>
      <c r="D575" t="inlineStr">
        <is>
          <t>NORRBOTTENS LÄN</t>
        </is>
      </c>
      <c r="E575" t="inlineStr">
        <is>
          <t>ARVIDSJAUR</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29676-2024</t>
        </is>
      </c>
      <c r="B576" s="1" t="n">
        <v>45485</v>
      </c>
      <c r="C576" s="1" t="n">
        <v>45732</v>
      </c>
      <c r="D576" t="inlineStr">
        <is>
          <t>NORRBOTTENS LÄN</t>
        </is>
      </c>
      <c r="E576" t="inlineStr">
        <is>
          <t>ARVIDSJAUR</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31050-2024</t>
        </is>
      </c>
      <c r="B577" s="1" t="n">
        <v>45502</v>
      </c>
      <c r="C577" s="1" t="n">
        <v>45732</v>
      </c>
      <c r="D577" t="inlineStr">
        <is>
          <t>NORRBOTTENS LÄN</t>
        </is>
      </c>
      <c r="E577" t="inlineStr">
        <is>
          <t>ARVIDSJAUR</t>
        </is>
      </c>
      <c r="G577" t="n">
        <v>0</v>
      </c>
      <c r="H577" t="n">
        <v>0</v>
      </c>
      <c r="I577" t="n">
        <v>0</v>
      </c>
      <c r="J577" t="n">
        <v>0</v>
      </c>
      <c r="K577" t="n">
        <v>0</v>
      </c>
      <c r="L577" t="n">
        <v>0</v>
      </c>
      <c r="M577" t="n">
        <v>0</v>
      </c>
      <c r="N577" t="n">
        <v>0</v>
      </c>
      <c r="O577" t="n">
        <v>0</v>
      </c>
      <c r="P577" t="n">
        <v>0</v>
      </c>
      <c r="Q577" t="n">
        <v>0</v>
      </c>
      <c r="R577" s="2" t="inlineStr"/>
    </row>
    <row r="578" ht="15" customHeight="1">
      <c r="A578" t="inlineStr">
        <is>
          <t>A 31325-2024</t>
        </is>
      </c>
      <c r="B578" s="1" t="n">
        <v>45504</v>
      </c>
      <c r="C578" s="1" t="n">
        <v>45732</v>
      </c>
      <c r="D578" t="inlineStr">
        <is>
          <t>NORRBOTTENS LÄN</t>
        </is>
      </c>
      <c r="E578" t="inlineStr">
        <is>
          <t>ARVIDSJAUR</t>
        </is>
      </c>
      <c r="G578" t="n">
        <v>9.1</v>
      </c>
      <c r="H578" t="n">
        <v>0</v>
      </c>
      <c r="I578" t="n">
        <v>0</v>
      </c>
      <c r="J578" t="n">
        <v>0</v>
      </c>
      <c r="K578" t="n">
        <v>0</v>
      </c>
      <c r="L578" t="n">
        <v>0</v>
      </c>
      <c r="M578" t="n">
        <v>0</v>
      </c>
      <c r="N578" t="n">
        <v>0</v>
      </c>
      <c r="O578" t="n">
        <v>0</v>
      </c>
      <c r="P578" t="n">
        <v>0</v>
      </c>
      <c r="Q578" t="n">
        <v>0</v>
      </c>
      <c r="R578" s="2" t="inlineStr"/>
    </row>
    <row r="579" ht="15" customHeight="1">
      <c r="A579" t="inlineStr">
        <is>
          <t>A 31318-2024</t>
        </is>
      </c>
      <c r="B579" s="1" t="n">
        <v>45504</v>
      </c>
      <c r="C579" s="1" t="n">
        <v>45732</v>
      </c>
      <c r="D579" t="inlineStr">
        <is>
          <t>NORRBOTTENS LÄN</t>
        </is>
      </c>
      <c r="E579" t="inlineStr">
        <is>
          <t>ARVIDSJAUR</t>
        </is>
      </c>
      <c r="G579" t="n">
        <v>1.9</v>
      </c>
      <c r="H579" t="n">
        <v>0</v>
      </c>
      <c r="I579" t="n">
        <v>0</v>
      </c>
      <c r="J579" t="n">
        <v>0</v>
      </c>
      <c r="K579" t="n">
        <v>0</v>
      </c>
      <c r="L579" t="n">
        <v>0</v>
      </c>
      <c r="M579" t="n">
        <v>0</v>
      </c>
      <c r="N579" t="n">
        <v>0</v>
      </c>
      <c r="O579" t="n">
        <v>0</v>
      </c>
      <c r="P579" t="n">
        <v>0</v>
      </c>
      <c r="Q579" t="n">
        <v>0</v>
      </c>
      <c r="R579" s="2" t="inlineStr"/>
    </row>
    <row r="580" ht="15" customHeight="1">
      <c r="A580" t="inlineStr">
        <is>
          <t>A 32701-2024</t>
        </is>
      </c>
      <c r="B580" s="1" t="n">
        <v>45513</v>
      </c>
      <c r="C580" s="1" t="n">
        <v>45732</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32552-2024</t>
        </is>
      </c>
      <c r="B581" s="1" t="n">
        <v>45513</v>
      </c>
      <c r="C581" s="1" t="n">
        <v>45732</v>
      </c>
      <c r="D581" t="inlineStr">
        <is>
          <t>NORRBOTTENS LÄN</t>
        </is>
      </c>
      <c r="E581" t="inlineStr">
        <is>
          <t>ARVIDSJAUR</t>
        </is>
      </c>
      <c r="G581" t="n">
        <v>4.1</v>
      </c>
      <c r="H581" t="n">
        <v>0</v>
      </c>
      <c r="I581" t="n">
        <v>0</v>
      </c>
      <c r="J581" t="n">
        <v>0</v>
      </c>
      <c r="K581" t="n">
        <v>0</v>
      </c>
      <c r="L581" t="n">
        <v>0</v>
      </c>
      <c r="M581" t="n">
        <v>0</v>
      </c>
      <c r="N581" t="n">
        <v>0</v>
      </c>
      <c r="O581" t="n">
        <v>0</v>
      </c>
      <c r="P581" t="n">
        <v>0</v>
      </c>
      <c r="Q581" t="n">
        <v>0</v>
      </c>
      <c r="R581" s="2" t="inlineStr"/>
    </row>
    <row r="582" ht="15" customHeight="1">
      <c r="A582" t="inlineStr">
        <is>
          <t>A 32605-2024</t>
        </is>
      </c>
      <c r="B582" s="1" t="n">
        <v>45513</v>
      </c>
      <c r="C582" s="1" t="n">
        <v>45732</v>
      </c>
      <c r="D582" t="inlineStr">
        <is>
          <t>NORRBOTTENS LÄN</t>
        </is>
      </c>
      <c r="E582" t="inlineStr">
        <is>
          <t>ARVIDSJAUR</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33084-2024</t>
        </is>
      </c>
      <c r="B583" s="1" t="n">
        <v>45517</v>
      </c>
      <c r="C583" s="1" t="n">
        <v>45732</v>
      </c>
      <c r="D583" t="inlineStr">
        <is>
          <t>NORRBOTTENS LÄN</t>
        </is>
      </c>
      <c r="E583" t="inlineStr">
        <is>
          <t>ARVIDSJAUR</t>
        </is>
      </c>
      <c r="G583" t="n">
        <v>0.5</v>
      </c>
      <c r="H583" t="n">
        <v>0</v>
      </c>
      <c r="I583" t="n">
        <v>0</v>
      </c>
      <c r="J583" t="n">
        <v>0</v>
      </c>
      <c r="K583" t="n">
        <v>0</v>
      </c>
      <c r="L583" t="n">
        <v>0</v>
      </c>
      <c r="M583" t="n">
        <v>0</v>
      </c>
      <c r="N583" t="n">
        <v>0</v>
      </c>
      <c r="O583" t="n">
        <v>0</v>
      </c>
      <c r="P583" t="n">
        <v>0</v>
      </c>
      <c r="Q583" t="n">
        <v>0</v>
      </c>
      <c r="R583" s="2" t="inlineStr"/>
    </row>
    <row r="584" ht="15" customHeight="1">
      <c r="A584" t="inlineStr">
        <is>
          <t>A 33179-2024</t>
        </is>
      </c>
      <c r="B584" s="1" t="n">
        <v>45518</v>
      </c>
      <c r="C584" s="1" t="n">
        <v>45732</v>
      </c>
      <c r="D584" t="inlineStr">
        <is>
          <t>NORRBOTTENS LÄN</t>
        </is>
      </c>
      <c r="E584" t="inlineStr">
        <is>
          <t>ARVIDSJAUR</t>
        </is>
      </c>
      <c r="G584" t="n">
        <v>0.6</v>
      </c>
      <c r="H584" t="n">
        <v>0</v>
      </c>
      <c r="I584" t="n">
        <v>0</v>
      </c>
      <c r="J584" t="n">
        <v>0</v>
      </c>
      <c r="K584" t="n">
        <v>0</v>
      </c>
      <c r="L584" t="n">
        <v>0</v>
      </c>
      <c r="M584" t="n">
        <v>0</v>
      </c>
      <c r="N584" t="n">
        <v>0</v>
      </c>
      <c r="O584" t="n">
        <v>0</v>
      </c>
      <c r="P584" t="n">
        <v>0</v>
      </c>
      <c r="Q584" t="n">
        <v>0</v>
      </c>
      <c r="R584" s="2" t="inlineStr"/>
    </row>
    <row r="585" ht="15" customHeight="1">
      <c r="A585" t="inlineStr">
        <is>
          <t>A 33447-2024</t>
        </is>
      </c>
      <c r="B585" s="1" t="n">
        <v>45519</v>
      </c>
      <c r="C585" s="1" t="n">
        <v>45732</v>
      </c>
      <c r="D585" t="inlineStr">
        <is>
          <t>NORRBOTTENS LÄN</t>
        </is>
      </c>
      <c r="E585" t="inlineStr">
        <is>
          <t>ARVIDSJAUR</t>
        </is>
      </c>
      <c r="G585" t="n">
        <v>2.2</v>
      </c>
      <c r="H585" t="n">
        <v>0</v>
      </c>
      <c r="I585" t="n">
        <v>0</v>
      </c>
      <c r="J585" t="n">
        <v>0</v>
      </c>
      <c r="K585" t="n">
        <v>0</v>
      </c>
      <c r="L585" t="n">
        <v>0</v>
      </c>
      <c r="M585" t="n">
        <v>0</v>
      </c>
      <c r="N585" t="n">
        <v>0</v>
      </c>
      <c r="O585" t="n">
        <v>0</v>
      </c>
      <c r="P585" t="n">
        <v>0</v>
      </c>
      <c r="Q585" t="n">
        <v>0</v>
      </c>
      <c r="R585" s="2" t="inlineStr"/>
    </row>
    <row r="586" ht="15" customHeight="1">
      <c r="A586" t="inlineStr">
        <is>
          <t>A 33335-2024</t>
        </is>
      </c>
      <c r="B586" s="1" t="n">
        <v>45519</v>
      </c>
      <c r="C586" s="1" t="n">
        <v>45732</v>
      </c>
      <c r="D586" t="inlineStr">
        <is>
          <t>NORRBOTTENS LÄN</t>
        </is>
      </c>
      <c r="E586" t="inlineStr">
        <is>
          <t>ARVIDSJAUR</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35243-2024</t>
        </is>
      </c>
      <c r="B587" s="1" t="n">
        <v>45530</v>
      </c>
      <c r="C587" s="1" t="n">
        <v>45732</v>
      </c>
      <c r="D587" t="inlineStr">
        <is>
          <t>NORRBOTTENS LÄN</t>
        </is>
      </c>
      <c r="E587" t="inlineStr">
        <is>
          <t>ARVIDSJAUR</t>
        </is>
      </c>
      <c r="F587" t="inlineStr">
        <is>
          <t>Sveaskog</t>
        </is>
      </c>
      <c r="G587" t="n">
        <v>20</v>
      </c>
      <c r="H587" t="n">
        <v>0</v>
      </c>
      <c r="I587" t="n">
        <v>0</v>
      </c>
      <c r="J587" t="n">
        <v>0</v>
      </c>
      <c r="K587" t="n">
        <v>0</v>
      </c>
      <c r="L587" t="n">
        <v>0</v>
      </c>
      <c r="M587" t="n">
        <v>0</v>
      </c>
      <c r="N587" t="n">
        <v>0</v>
      </c>
      <c r="O587" t="n">
        <v>0</v>
      </c>
      <c r="P587" t="n">
        <v>0</v>
      </c>
      <c r="Q587" t="n">
        <v>0</v>
      </c>
      <c r="R587" s="2" t="inlineStr"/>
    </row>
    <row r="588" ht="15" customHeight="1">
      <c r="A588" t="inlineStr">
        <is>
          <t>A 35859-2024</t>
        </is>
      </c>
      <c r="B588" s="1" t="n">
        <v>45533</v>
      </c>
      <c r="C588" s="1" t="n">
        <v>45732</v>
      </c>
      <c r="D588" t="inlineStr">
        <is>
          <t>NORRBOTTENS LÄN</t>
        </is>
      </c>
      <c r="E588" t="inlineStr">
        <is>
          <t>ARVIDSJAUR</t>
        </is>
      </c>
      <c r="F588" t="inlineStr">
        <is>
          <t>Sveaskog</t>
        </is>
      </c>
      <c r="G588" t="n">
        <v>8.1</v>
      </c>
      <c r="H588" t="n">
        <v>0</v>
      </c>
      <c r="I588" t="n">
        <v>0</v>
      </c>
      <c r="J588" t="n">
        <v>0</v>
      </c>
      <c r="K588" t="n">
        <v>0</v>
      </c>
      <c r="L588" t="n">
        <v>0</v>
      </c>
      <c r="M588" t="n">
        <v>0</v>
      </c>
      <c r="N588" t="n">
        <v>0</v>
      </c>
      <c r="O588" t="n">
        <v>0</v>
      </c>
      <c r="P588" t="n">
        <v>0</v>
      </c>
      <c r="Q588" t="n">
        <v>0</v>
      </c>
      <c r="R588" s="2" t="inlineStr"/>
    </row>
    <row r="589" ht="15" customHeight="1">
      <c r="A589" t="inlineStr">
        <is>
          <t>A 36452-2024</t>
        </is>
      </c>
      <c r="B589" s="1" t="n">
        <v>45537</v>
      </c>
      <c r="C589" s="1" t="n">
        <v>45732</v>
      </c>
      <c r="D589" t="inlineStr">
        <is>
          <t>NORRBOTTENS LÄN</t>
        </is>
      </c>
      <c r="E589" t="inlineStr">
        <is>
          <t>ARVIDSJAUR</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36764-2024</t>
        </is>
      </c>
      <c r="B590" s="1" t="n">
        <v>45538</v>
      </c>
      <c r="C590" s="1" t="n">
        <v>45732</v>
      </c>
      <c r="D590" t="inlineStr">
        <is>
          <t>NORRBOTTENS LÄN</t>
        </is>
      </c>
      <c r="E590" t="inlineStr">
        <is>
          <t>ARVIDSJAUR</t>
        </is>
      </c>
      <c r="G590" t="n">
        <v>2.9</v>
      </c>
      <c r="H590" t="n">
        <v>0</v>
      </c>
      <c r="I590" t="n">
        <v>0</v>
      </c>
      <c r="J590" t="n">
        <v>0</v>
      </c>
      <c r="K590" t="n">
        <v>0</v>
      </c>
      <c r="L590" t="n">
        <v>0</v>
      </c>
      <c r="M590" t="n">
        <v>0</v>
      </c>
      <c r="N590" t="n">
        <v>0</v>
      </c>
      <c r="O590" t="n">
        <v>0</v>
      </c>
      <c r="P590" t="n">
        <v>0</v>
      </c>
      <c r="Q590" t="n">
        <v>0</v>
      </c>
      <c r="R590" s="2" t="inlineStr"/>
    </row>
    <row r="591" ht="15" customHeight="1">
      <c r="A591" t="inlineStr">
        <is>
          <t>A 37483-2024</t>
        </is>
      </c>
      <c r="B591" s="1" t="n">
        <v>45541</v>
      </c>
      <c r="C591" s="1" t="n">
        <v>45732</v>
      </c>
      <c r="D591" t="inlineStr">
        <is>
          <t>NORRBOTTENS LÄN</t>
        </is>
      </c>
      <c r="E591" t="inlineStr">
        <is>
          <t>ARVIDSJAUR</t>
        </is>
      </c>
      <c r="F591" t="inlineStr">
        <is>
          <t>Sveaskog</t>
        </is>
      </c>
      <c r="G591" t="n">
        <v>4.4</v>
      </c>
      <c r="H591" t="n">
        <v>0</v>
      </c>
      <c r="I591" t="n">
        <v>0</v>
      </c>
      <c r="J591" t="n">
        <v>0</v>
      </c>
      <c r="K591" t="n">
        <v>0</v>
      </c>
      <c r="L591" t="n">
        <v>0</v>
      </c>
      <c r="M591" t="n">
        <v>0</v>
      </c>
      <c r="N591" t="n">
        <v>0</v>
      </c>
      <c r="O591" t="n">
        <v>0</v>
      </c>
      <c r="P591" t="n">
        <v>0</v>
      </c>
      <c r="Q591" t="n">
        <v>0</v>
      </c>
      <c r="R591" s="2" t="inlineStr"/>
    </row>
    <row r="592" ht="15" customHeight="1">
      <c r="A592" t="inlineStr">
        <is>
          <t>A 37649-2024</t>
        </is>
      </c>
      <c r="B592" s="1" t="n">
        <v>45541</v>
      </c>
      <c r="C592" s="1" t="n">
        <v>45732</v>
      </c>
      <c r="D592" t="inlineStr">
        <is>
          <t>NORRBOTTENS LÄN</t>
        </is>
      </c>
      <c r="E592" t="inlineStr">
        <is>
          <t>ARVIDSJAUR</t>
        </is>
      </c>
      <c r="F592" t="inlineStr">
        <is>
          <t>Allmännings- och besparingsskogar</t>
        </is>
      </c>
      <c r="G592" t="n">
        <v>6.1</v>
      </c>
      <c r="H592" t="n">
        <v>0</v>
      </c>
      <c r="I592" t="n">
        <v>0</v>
      </c>
      <c r="J592" t="n">
        <v>0</v>
      </c>
      <c r="K592" t="n">
        <v>0</v>
      </c>
      <c r="L592" t="n">
        <v>0</v>
      </c>
      <c r="M592" t="n">
        <v>0</v>
      </c>
      <c r="N592" t="n">
        <v>0</v>
      </c>
      <c r="O592" t="n">
        <v>0</v>
      </c>
      <c r="P592" t="n">
        <v>0</v>
      </c>
      <c r="Q592" t="n">
        <v>0</v>
      </c>
      <c r="R592" s="2" t="inlineStr"/>
      <c r="U592">
        <f>HYPERLINK("https://klasma.github.io/Logging_2505/knärot/A 37649-2024 karta knärot.png", "A 37649-2024")</f>
        <v/>
      </c>
      <c r="V592">
        <f>HYPERLINK("https://klasma.github.io/Logging_2505/klagomål/A 37649-2024 FSC-klagomål.docx", "A 37649-2024")</f>
        <v/>
      </c>
      <c r="W592">
        <f>HYPERLINK("https://klasma.github.io/Logging_2505/klagomålsmail/A 37649-2024 FSC-klagomål mail.docx", "A 37649-2024")</f>
        <v/>
      </c>
      <c r="X592">
        <f>HYPERLINK("https://klasma.github.io/Logging_2505/tillsyn/A 37649-2024 tillsynsbegäran.docx", "A 37649-2024")</f>
        <v/>
      </c>
      <c r="Y592">
        <f>HYPERLINK("https://klasma.github.io/Logging_2505/tillsynsmail/A 37649-2024 tillsynsbegäran mail.docx", "A 37649-2024")</f>
        <v/>
      </c>
    </row>
    <row r="593" ht="15" customHeight="1">
      <c r="A593" t="inlineStr">
        <is>
          <t>A 38271-2024</t>
        </is>
      </c>
      <c r="B593" s="1" t="n">
        <v>45545</v>
      </c>
      <c r="C593" s="1" t="n">
        <v>45732</v>
      </c>
      <c r="D593" t="inlineStr">
        <is>
          <t>NORRBOTTENS LÄN</t>
        </is>
      </c>
      <c r="E593" t="inlineStr">
        <is>
          <t>ARVIDSJAUR</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38472-2024</t>
        </is>
      </c>
      <c r="B594" s="1" t="n">
        <v>45546</v>
      </c>
      <c r="C594" s="1" t="n">
        <v>45732</v>
      </c>
      <c r="D594" t="inlineStr">
        <is>
          <t>NORRBOTTENS LÄN</t>
        </is>
      </c>
      <c r="E594" t="inlineStr">
        <is>
          <t>ARVIDSJAUR</t>
        </is>
      </c>
      <c r="G594" t="n">
        <v>3.6</v>
      </c>
      <c r="H594" t="n">
        <v>0</v>
      </c>
      <c r="I594" t="n">
        <v>0</v>
      </c>
      <c r="J594" t="n">
        <v>0</v>
      </c>
      <c r="K594" t="n">
        <v>0</v>
      </c>
      <c r="L594" t="n">
        <v>0</v>
      </c>
      <c r="M594" t="n">
        <v>0</v>
      </c>
      <c r="N594" t="n">
        <v>0</v>
      </c>
      <c r="O594" t="n">
        <v>0</v>
      </c>
      <c r="P594" t="n">
        <v>0</v>
      </c>
      <c r="Q594" t="n">
        <v>0</v>
      </c>
      <c r="R594" s="2" t="inlineStr"/>
    </row>
    <row r="595" ht="15" customHeight="1">
      <c r="A595" t="inlineStr">
        <is>
          <t>A 39109-2024</t>
        </is>
      </c>
      <c r="B595" s="1" t="n">
        <v>45548</v>
      </c>
      <c r="C595" s="1" t="n">
        <v>45732</v>
      </c>
      <c r="D595" t="inlineStr">
        <is>
          <t>NORRBOTTENS LÄN</t>
        </is>
      </c>
      <c r="E595" t="inlineStr">
        <is>
          <t>ARVIDSJAUR</t>
        </is>
      </c>
      <c r="F595" t="inlineStr">
        <is>
          <t>Sveaskog</t>
        </is>
      </c>
      <c r="G595" t="n">
        <v>35.3</v>
      </c>
      <c r="H595" t="n">
        <v>0</v>
      </c>
      <c r="I595" t="n">
        <v>0</v>
      </c>
      <c r="J595" t="n">
        <v>0</v>
      </c>
      <c r="K595" t="n">
        <v>0</v>
      </c>
      <c r="L595" t="n">
        <v>0</v>
      </c>
      <c r="M595" t="n">
        <v>0</v>
      </c>
      <c r="N595" t="n">
        <v>0</v>
      </c>
      <c r="O595" t="n">
        <v>0</v>
      </c>
      <c r="P595" t="n">
        <v>0</v>
      </c>
      <c r="Q595" t="n">
        <v>0</v>
      </c>
      <c r="R595" s="2" t="inlineStr"/>
    </row>
    <row r="596" ht="15" customHeight="1">
      <c r="A596" t="inlineStr">
        <is>
          <t>A 39436-2024</t>
        </is>
      </c>
      <c r="B596" s="1" t="n">
        <v>45551</v>
      </c>
      <c r="C596" s="1" t="n">
        <v>45732</v>
      </c>
      <c r="D596" t="inlineStr">
        <is>
          <t>NORRBOTTENS LÄN</t>
        </is>
      </c>
      <c r="E596" t="inlineStr">
        <is>
          <t>ARVIDSJAUR</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39439-2024</t>
        </is>
      </c>
      <c r="B597" s="1" t="n">
        <v>45551</v>
      </c>
      <c r="C597" s="1" t="n">
        <v>45732</v>
      </c>
      <c r="D597" t="inlineStr">
        <is>
          <t>NORRBOTTENS LÄN</t>
        </is>
      </c>
      <c r="E597" t="inlineStr">
        <is>
          <t>ARVIDSJAUR</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39925-2024</t>
        </is>
      </c>
      <c r="B598" s="1" t="n">
        <v>45553</v>
      </c>
      <c r="C598" s="1" t="n">
        <v>45732</v>
      </c>
      <c r="D598" t="inlineStr">
        <is>
          <t>NORRBOTTENS LÄN</t>
        </is>
      </c>
      <c r="E598" t="inlineStr">
        <is>
          <t>ARVIDSJAUR</t>
        </is>
      </c>
      <c r="G598" t="n">
        <v>6.9</v>
      </c>
      <c r="H598" t="n">
        <v>0</v>
      </c>
      <c r="I598" t="n">
        <v>0</v>
      </c>
      <c r="J598" t="n">
        <v>0</v>
      </c>
      <c r="K598" t="n">
        <v>0</v>
      </c>
      <c r="L598" t="n">
        <v>0</v>
      </c>
      <c r="M598" t="n">
        <v>0</v>
      </c>
      <c r="N598" t="n">
        <v>0</v>
      </c>
      <c r="O598" t="n">
        <v>0</v>
      </c>
      <c r="P598" t="n">
        <v>0</v>
      </c>
      <c r="Q598" t="n">
        <v>0</v>
      </c>
      <c r="R598" s="2" t="inlineStr"/>
    </row>
    <row r="599" ht="15" customHeight="1">
      <c r="A599" t="inlineStr">
        <is>
          <t>A 40877-2024</t>
        </is>
      </c>
      <c r="B599" s="1" t="n">
        <v>45558</v>
      </c>
      <c r="C599" s="1" t="n">
        <v>45732</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40937-2024</t>
        </is>
      </c>
      <c r="B600" s="1" t="n">
        <v>45558</v>
      </c>
      <c r="C600" s="1" t="n">
        <v>45732</v>
      </c>
      <c r="D600" t="inlineStr">
        <is>
          <t>NORRBOTTENS LÄN</t>
        </is>
      </c>
      <c r="E600" t="inlineStr">
        <is>
          <t>ARVIDSJAUR</t>
        </is>
      </c>
      <c r="F600" t="inlineStr">
        <is>
          <t>Sveaskog</t>
        </is>
      </c>
      <c r="G600" t="n">
        <v>22.6</v>
      </c>
      <c r="H600" t="n">
        <v>0</v>
      </c>
      <c r="I600" t="n">
        <v>0</v>
      </c>
      <c r="J600" t="n">
        <v>0</v>
      </c>
      <c r="K600" t="n">
        <v>0</v>
      </c>
      <c r="L600" t="n">
        <v>0</v>
      </c>
      <c r="M600" t="n">
        <v>0</v>
      </c>
      <c r="N600" t="n">
        <v>0</v>
      </c>
      <c r="O600" t="n">
        <v>0</v>
      </c>
      <c r="P600" t="n">
        <v>0</v>
      </c>
      <c r="Q600" t="n">
        <v>0</v>
      </c>
      <c r="R600" s="2" t="inlineStr"/>
    </row>
    <row r="601" ht="15" customHeight="1">
      <c r="A601" t="inlineStr">
        <is>
          <t>A 40940-2024</t>
        </is>
      </c>
      <c r="B601" s="1" t="n">
        <v>45558</v>
      </c>
      <c r="C601" s="1" t="n">
        <v>45732</v>
      </c>
      <c r="D601" t="inlineStr">
        <is>
          <t>NORRBOTTENS LÄN</t>
        </is>
      </c>
      <c r="E601" t="inlineStr">
        <is>
          <t>ARVIDSJAUR</t>
        </is>
      </c>
      <c r="F601" t="inlineStr">
        <is>
          <t>Sveaskog</t>
        </is>
      </c>
      <c r="G601" t="n">
        <v>15.4</v>
      </c>
      <c r="H601" t="n">
        <v>0</v>
      </c>
      <c r="I601" t="n">
        <v>0</v>
      </c>
      <c r="J601" t="n">
        <v>0</v>
      </c>
      <c r="K601" t="n">
        <v>0</v>
      </c>
      <c r="L601" t="n">
        <v>0</v>
      </c>
      <c r="M601" t="n">
        <v>0</v>
      </c>
      <c r="N601" t="n">
        <v>0</v>
      </c>
      <c r="O601" t="n">
        <v>0</v>
      </c>
      <c r="P601" t="n">
        <v>0</v>
      </c>
      <c r="Q601" t="n">
        <v>0</v>
      </c>
      <c r="R601" s="2" t="inlineStr"/>
    </row>
    <row r="602" ht="15" customHeight="1">
      <c r="A602" t="inlineStr">
        <is>
          <t>A 41212-2024</t>
        </is>
      </c>
      <c r="B602" s="1" t="n">
        <v>45559</v>
      </c>
      <c r="C602" s="1" t="n">
        <v>45732</v>
      </c>
      <c r="D602" t="inlineStr">
        <is>
          <t>NORRBOTTENS LÄN</t>
        </is>
      </c>
      <c r="E602" t="inlineStr">
        <is>
          <t>ARVIDSJAUR</t>
        </is>
      </c>
      <c r="G602" t="n">
        <v>6.5</v>
      </c>
      <c r="H602" t="n">
        <v>0</v>
      </c>
      <c r="I602" t="n">
        <v>0</v>
      </c>
      <c r="J602" t="n">
        <v>0</v>
      </c>
      <c r="K602" t="n">
        <v>0</v>
      </c>
      <c r="L602" t="n">
        <v>0</v>
      </c>
      <c r="M602" t="n">
        <v>0</v>
      </c>
      <c r="N602" t="n">
        <v>0</v>
      </c>
      <c r="O602" t="n">
        <v>0</v>
      </c>
      <c r="P602" t="n">
        <v>0</v>
      </c>
      <c r="Q602" t="n">
        <v>0</v>
      </c>
      <c r="R602" s="2" t="inlineStr"/>
    </row>
    <row r="603" ht="15" customHeight="1">
      <c r="A603" t="inlineStr">
        <is>
          <t>A 41590-2024</t>
        </is>
      </c>
      <c r="B603" s="1" t="n">
        <v>45560</v>
      </c>
      <c r="C603" s="1" t="n">
        <v>45732</v>
      </c>
      <c r="D603" t="inlineStr">
        <is>
          <t>NORRBOTTENS LÄN</t>
        </is>
      </c>
      <c r="E603" t="inlineStr">
        <is>
          <t>ARVIDSJAUR</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41587-2024</t>
        </is>
      </c>
      <c r="B604" s="1" t="n">
        <v>45560</v>
      </c>
      <c r="C604" s="1" t="n">
        <v>45732</v>
      </c>
      <c r="D604" t="inlineStr">
        <is>
          <t>NORRBOTTENS LÄN</t>
        </is>
      </c>
      <c r="E604" t="inlineStr">
        <is>
          <t>ARVIDSJAUR</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41599-2024</t>
        </is>
      </c>
      <c r="B605" s="1" t="n">
        <v>45560</v>
      </c>
      <c r="C605" s="1" t="n">
        <v>45732</v>
      </c>
      <c r="D605" t="inlineStr">
        <is>
          <t>NORRBOTTENS LÄN</t>
        </is>
      </c>
      <c r="E605" t="inlineStr">
        <is>
          <t>ARVIDSJAUR</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41659-2024</t>
        </is>
      </c>
      <c r="B606" s="1" t="n">
        <v>45560</v>
      </c>
      <c r="C606" s="1" t="n">
        <v>45732</v>
      </c>
      <c r="D606" t="inlineStr">
        <is>
          <t>NORRBOTTENS LÄN</t>
        </is>
      </c>
      <c r="E606" t="inlineStr">
        <is>
          <t>ARVIDSJAUR</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42870-2024</t>
        </is>
      </c>
      <c r="B607" s="1" t="n">
        <v>45566</v>
      </c>
      <c r="C607" s="1" t="n">
        <v>45732</v>
      </c>
      <c r="D607" t="inlineStr">
        <is>
          <t>NORRBOTTENS LÄN</t>
        </is>
      </c>
      <c r="E607" t="inlineStr">
        <is>
          <t>ARVIDSJAUR</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42862-2024</t>
        </is>
      </c>
      <c r="B608" s="1" t="n">
        <v>45566</v>
      </c>
      <c r="C608" s="1" t="n">
        <v>45732</v>
      </c>
      <c r="D608" t="inlineStr">
        <is>
          <t>NORRBOTTENS LÄN</t>
        </is>
      </c>
      <c r="E608" t="inlineStr">
        <is>
          <t>ARVIDSJAUR</t>
        </is>
      </c>
      <c r="F608" t="inlineStr">
        <is>
          <t>Sveaskog</t>
        </is>
      </c>
      <c r="G608" t="n">
        <v>26.6</v>
      </c>
      <c r="H608" t="n">
        <v>0</v>
      </c>
      <c r="I608" t="n">
        <v>0</v>
      </c>
      <c r="J608" t="n">
        <v>0</v>
      </c>
      <c r="K608" t="n">
        <v>0</v>
      </c>
      <c r="L608" t="n">
        <v>0</v>
      </c>
      <c r="M608" t="n">
        <v>0</v>
      </c>
      <c r="N608" t="n">
        <v>0</v>
      </c>
      <c r="O608" t="n">
        <v>0</v>
      </c>
      <c r="P608" t="n">
        <v>0</v>
      </c>
      <c r="Q608" t="n">
        <v>0</v>
      </c>
      <c r="R608" s="2" t="inlineStr"/>
    </row>
    <row r="609" ht="15" customHeight="1">
      <c r="A609" t="inlineStr">
        <is>
          <t>A 42842-2024</t>
        </is>
      </c>
      <c r="B609" s="1" t="n">
        <v>45566</v>
      </c>
      <c r="C609" s="1" t="n">
        <v>45732</v>
      </c>
      <c r="D609" t="inlineStr">
        <is>
          <t>NORRBOTTENS LÄN</t>
        </is>
      </c>
      <c r="E609" t="inlineStr">
        <is>
          <t>ARVIDSJAUR</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43054-2024</t>
        </is>
      </c>
      <c r="B610" s="1" t="n">
        <v>45567</v>
      </c>
      <c r="C610" s="1" t="n">
        <v>45732</v>
      </c>
      <c r="D610" t="inlineStr">
        <is>
          <t>NORRBOTTENS LÄN</t>
        </is>
      </c>
      <c r="E610" t="inlineStr">
        <is>
          <t>ARVIDSJAUR</t>
        </is>
      </c>
      <c r="G610" t="n">
        <v>4.7</v>
      </c>
      <c r="H610" t="n">
        <v>0</v>
      </c>
      <c r="I610" t="n">
        <v>0</v>
      </c>
      <c r="J610" t="n">
        <v>0</v>
      </c>
      <c r="K610" t="n">
        <v>0</v>
      </c>
      <c r="L610" t="n">
        <v>0</v>
      </c>
      <c r="M610" t="n">
        <v>0</v>
      </c>
      <c r="N610" t="n">
        <v>0</v>
      </c>
      <c r="O610" t="n">
        <v>0</v>
      </c>
      <c r="P610" t="n">
        <v>0</v>
      </c>
      <c r="Q610" t="n">
        <v>0</v>
      </c>
      <c r="R610" s="2" t="inlineStr"/>
    </row>
    <row r="611" ht="15" customHeight="1">
      <c r="A611" t="inlineStr">
        <is>
          <t>A 44061-2024</t>
        </is>
      </c>
      <c r="B611" s="1" t="n">
        <v>45572</v>
      </c>
      <c r="C611" s="1" t="n">
        <v>45732</v>
      </c>
      <c r="D611" t="inlineStr">
        <is>
          <t>NORRBOTTENS LÄN</t>
        </is>
      </c>
      <c r="E611" t="inlineStr">
        <is>
          <t>ARVIDSJAUR</t>
        </is>
      </c>
      <c r="G611" t="n">
        <v>1.6</v>
      </c>
      <c r="H611" t="n">
        <v>0</v>
      </c>
      <c r="I611" t="n">
        <v>0</v>
      </c>
      <c r="J611" t="n">
        <v>0</v>
      </c>
      <c r="K611" t="n">
        <v>0</v>
      </c>
      <c r="L611" t="n">
        <v>0</v>
      </c>
      <c r="M611" t="n">
        <v>0</v>
      </c>
      <c r="N611" t="n">
        <v>0</v>
      </c>
      <c r="O611" t="n">
        <v>0</v>
      </c>
      <c r="P611" t="n">
        <v>0</v>
      </c>
      <c r="Q611" t="n">
        <v>0</v>
      </c>
      <c r="R611" s="2" t="inlineStr"/>
    </row>
    <row r="612" ht="15" customHeight="1">
      <c r="A612" t="inlineStr">
        <is>
          <t>A 45059-2024</t>
        </is>
      </c>
      <c r="B612" s="1" t="n">
        <v>45575</v>
      </c>
      <c r="C612" s="1" t="n">
        <v>45732</v>
      </c>
      <c r="D612" t="inlineStr">
        <is>
          <t>NORRBOTTENS LÄN</t>
        </is>
      </c>
      <c r="E612" t="inlineStr">
        <is>
          <t>ARVIDSJAUR</t>
        </is>
      </c>
      <c r="F612" t="inlineStr">
        <is>
          <t>Sveaskog</t>
        </is>
      </c>
      <c r="G612" t="n">
        <v>14.9</v>
      </c>
      <c r="H612" t="n">
        <v>0</v>
      </c>
      <c r="I612" t="n">
        <v>0</v>
      </c>
      <c r="J612" t="n">
        <v>0</v>
      </c>
      <c r="K612" t="n">
        <v>0</v>
      </c>
      <c r="L612" t="n">
        <v>0</v>
      </c>
      <c r="M612" t="n">
        <v>0</v>
      </c>
      <c r="N612" t="n">
        <v>0</v>
      </c>
      <c r="O612" t="n">
        <v>0</v>
      </c>
      <c r="P612" t="n">
        <v>0</v>
      </c>
      <c r="Q612" t="n">
        <v>0</v>
      </c>
      <c r="R612" s="2" t="inlineStr"/>
    </row>
    <row r="613" ht="15" customHeight="1">
      <c r="A613" t="inlineStr">
        <is>
          <t>A 45611-2024</t>
        </is>
      </c>
      <c r="B613" s="1" t="n">
        <v>45579</v>
      </c>
      <c r="C613" s="1" t="n">
        <v>45732</v>
      </c>
      <c r="D613" t="inlineStr">
        <is>
          <t>NORRBOTTENS LÄN</t>
        </is>
      </c>
      <c r="E613" t="inlineStr">
        <is>
          <t>ARVIDSJAUR</t>
        </is>
      </c>
      <c r="G613" t="n">
        <v>12.8</v>
      </c>
      <c r="H613" t="n">
        <v>0</v>
      </c>
      <c r="I613" t="n">
        <v>0</v>
      </c>
      <c r="J613" t="n">
        <v>0</v>
      </c>
      <c r="K613" t="n">
        <v>0</v>
      </c>
      <c r="L613" t="n">
        <v>0</v>
      </c>
      <c r="M613" t="n">
        <v>0</v>
      </c>
      <c r="N613" t="n">
        <v>0</v>
      </c>
      <c r="O613" t="n">
        <v>0</v>
      </c>
      <c r="P613" t="n">
        <v>0</v>
      </c>
      <c r="Q613" t="n">
        <v>0</v>
      </c>
      <c r="R613" s="2" t="inlineStr"/>
    </row>
    <row r="614" ht="15" customHeight="1">
      <c r="A614" t="inlineStr">
        <is>
          <t>A 45794-2024</t>
        </is>
      </c>
      <c r="B614" s="1" t="n">
        <v>45579</v>
      </c>
      <c r="C614" s="1" t="n">
        <v>45732</v>
      </c>
      <c r="D614" t="inlineStr">
        <is>
          <t>NORRBOTTENS LÄN</t>
        </is>
      </c>
      <c r="E614" t="inlineStr">
        <is>
          <t>ARVIDSJAUR</t>
        </is>
      </c>
      <c r="F614" t="inlineStr">
        <is>
          <t>Sveaskog</t>
        </is>
      </c>
      <c r="G614" t="n">
        <v>37.7</v>
      </c>
      <c r="H614" t="n">
        <v>0</v>
      </c>
      <c r="I614" t="n">
        <v>0</v>
      </c>
      <c r="J614" t="n">
        <v>0</v>
      </c>
      <c r="K614" t="n">
        <v>0</v>
      </c>
      <c r="L614" t="n">
        <v>0</v>
      </c>
      <c r="M614" t="n">
        <v>0</v>
      </c>
      <c r="N614" t="n">
        <v>0</v>
      </c>
      <c r="O614" t="n">
        <v>0</v>
      </c>
      <c r="P614" t="n">
        <v>0</v>
      </c>
      <c r="Q614" t="n">
        <v>0</v>
      </c>
      <c r="R614" s="2" t="inlineStr"/>
    </row>
    <row r="615" ht="15" customHeight="1">
      <c r="A615" t="inlineStr">
        <is>
          <t>A 46443-2024</t>
        </is>
      </c>
      <c r="B615" s="1" t="n">
        <v>45582</v>
      </c>
      <c r="C615" s="1" t="n">
        <v>45732</v>
      </c>
      <c r="D615" t="inlineStr">
        <is>
          <t>NORRBOTTENS LÄN</t>
        </is>
      </c>
      <c r="E615" t="inlineStr">
        <is>
          <t>ARVIDSJAUR</t>
        </is>
      </c>
      <c r="G615" t="n">
        <v>4.3</v>
      </c>
      <c r="H615" t="n">
        <v>0</v>
      </c>
      <c r="I615" t="n">
        <v>0</v>
      </c>
      <c r="J615" t="n">
        <v>0</v>
      </c>
      <c r="K615" t="n">
        <v>0</v>
      </c>
      <c r="L615" t="n">
        <v>0</v>
      </c>
      <c r="M615" t="n">
        <v>0</v>
      </c>
      <c r="N615" t="n">
        <v>0</v>
      </c>
      <c r="O615" t="n">
        <v>0</v>
      </c>
      <c r="P615" t="n">
        <v>0</v>
      </c>
      <c r="Q615" t="n">
        <v>0</v>
      </c>
      <c r="R615" s="2" t="inlineStr"/>
    </row>
    <row r="616" ht="15" customHeight="1">
      <c r="A616" t="inlineStr">
        <is>
          <t>A 48009-2024</t>
        </is>
      </c>
      <c r="B616" s="1" t="n">
        <v>45589</v>
      </c>
      <c r="C616" s="1" t="n">
        <v>45732</v>
      </c>
      <c r="D616" t="inlineStr">
        <is>
          <t>NORRBOTTENS LÄN</t>
        </is>
      </c>
      <c r="E616" t="inlineStr">
        <is>
          <t>ARVIDSJAUR</t>
        </is>
      </c>
      <c r="G616" t="n">
        <v>6.4</v>
      </c>
      <c r="H616" t="n">
        <v>0</v>
      </c>
      <c r="I616" t="n">
        <v>0</v>
      </c>
      <c r="J616" t="n">
        <v>0</v>
      </c>
      <c r="K616" t="n">
        <v>0</v>
      </c>
      <c r="L616" t="n">
        <v>0</v>
      </c>
      <c r="M616" t="n">
        <v>0</v>
      </c>
      <c r="N616" t="n">
        <v>0</v>
      </c>
      <c r="O616" t="n">
        <v>0</v>
      </c>
      <c r="P616" t="n">
        <v>0</v>
      </c>
      <c r="Q616" t="n">
        <v>0</v>
      </c>
      <c r="R616" s="2" t="inlineStr"/>
    </row>
    <row r="617" ht="15" customHeight="1">
      <c r="A617" t="inlineStr">
        <is>
          <t>A 47919-2024</t>
        </is>
      </c>
      <c r="B617" s="1" t="n">
        <v>45589</v>
      </c>
      <c r="C617" s="1" t="n">
        <v>45732</v>
      </c>
      <c r="D617" t="inlineStr">
        <is>
          <t>NORRBOTTENS LÄN</t>
        </is>
      </c>
      <c r="E617" t="inlineStr">
        <is>
          <t>ARVIDSJAUR</t>
        </is>
      </c>
      <c r="F617" t="inlineStr">
        <is>
          <t>Sveaskog</t>
        </is>
      </c>
      <c r="G617" t="n">
        <v>7.8</v>
      </c>
      <c r="H617" t="n">
        <v>0</v>
      </c>
      <c r="I617" t="n">
        <v>0</v>
      </c>
      <c r="J617" t="n">
        <v>0</v>
      </c>
      <c r="K617" t="n">
        <v>0</v>
      </c>
      <c r="L617" t="n">
        <v>0</v>
      </c>
      <c r="M617" t="n">
        <v>0</v>
      </c>
      <c r="N617" t="n">
        <v>0</v>
      </c>
      <c r="O617" t="n">
        <v>0</v>
      </c>
      <c r="P617" t="n">
        <v>0</v>
      </c>
      <c r="Q617" t="n">
        <v>0</v>
      </c>
      <c r="R617" s="2" t="inlineStr"/>
    </row>
    <row r="618" ht="15" customHeight="1">
      <c r="A618" t="inlineStr">
        <is>
          <t>A 48363-2024</t>
        </is>
      </c>
      <c r="B618" s="1" t="n">
        <v>45590</v>
      </c>
      <c r="C618" s="1" t="n">
        <v>45732</v>
      </c>
      <c r="D618" t="inlineStr">
        <is>
          <t>NORRBOTTENS LÄN</t>
        </is>
      </c>
      <c r="E618" t="inlineStr">
        <is>
          <t>ARVIDSJAUR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48373-2024</t>
        </is>
      </c>
      <c r="B619" s="1" t="n">
        <v>45590</v>
      </c>
      <c r="C619" s="1" t="n">
        <v>45732</v>
      </c>
      <c r="D619" t="inlineStr">
        <is>
          <t>NORRBOTTENS LÄN</t>
        </is>
      </c>
      <c r="E619" t="inlineStr">
        <is>
          <t>ARVIDSJAUR</t>
        </is>
      </c>
      <c r="F619" t="inlineStr">
        <is>
          <t>Sveaskog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48364-2024</t>
        </is>
      </c>
      <c r="B620" s="1" t="n">
        <v>45590</v>
      </c>
      <c r="C620" s="1" t="n">
        <v>45732</v>
      </c>
      <c r="D620" t="inlineStr">
        <is>
          <t>NORRBOTTENS LÄN</t>
        </is>
      </c>
      <c r="E620" t="inlineStr">
        <is>
          <t>ARVIDSJAUR</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48461-2024</t>
        </is>
      </c>
      <c r="B621" s="1" t="n">
        <v>45590</v>
      </c>
      <c r="C621" s="1" t="n">
        <v>45732</v>
      </c>
      <c r="D621" t="inlineStr">
        <is>
          <t>NORRBOTTENS LÄN</t>
        </is>
      </c>
      <c r="E621" t="inlineStr">
        <is>
          <t>ARVIDSJAUR</t>
        </is>
      </c>
      <c r="G621" t="n">
        <v>3.1</v>
      </c>
      <c r="H621" t="n">
        <v>0</v>
      </c>
      <c r="I621" t="n">
        <v>0</v>
      </c>
      <c r="J621" t="n">
        <v>0</v>
      </c>
      <c r="K621" t="n">
        <v>0</v>
      </c>
      <c r="L621" t="n">
        <v>0</v>
      </c>
      <c r="M621" t="n">
        <v>0</v>
      </c>
      <c r="N621" t="n">
        <v>0</v>
      </c>
      <c r="O621" t="n">
        <v>0</v>
      </c>
      <c r="P621" t="n">
        <v>0</v>
      </c>
      <c r="Q621" t="n">
        <v>0</v>
      </c>
      <c r="R621" s="2" t="inlineStr"/>
    </row>
    <row r="622" ht="15" customHeight="1">
      <c r="A622" t="inlineStr">
        <is>
          <t>A 48464-2024</t>
        </is>
      </c>
      <c r="B622" s="1" t="n">
        <v>45590</v>
      </c>
      <c r="C622" s="1" t="n">
        <v>45732</v>
      </c>
      <c r="D622" t="inlineStr">
        <is>
          <t>NORRBOTTENS LÄN</t>
        </is>
      </c>
      <c r="E622" t="inlineStr">
        <is>
          <t>ARVIDSJAUR</t>
        </is>
      </c>
      <c r="G622" t="n">
        <v>0.8</v>
      </c>
      <c r="H622" t="n">
        <v>0</v>
      </c>
      <c r="I622" t="n">
        <v>0</v>
      </c>
      <c r="J622" t="n">
        <v>0</v>
      </c>
      <c r="K622" t="n">
        <v>0</v>
      </c>
      <c r="L622" t="n">
        <v>0</v>
      </c>
      <c r="M622" t="n">
        <v>0</v>
      </c>
      <c r="N622" t="n">
        <v>0</v>
      </c>
      <c r="O622" t="n">
        <v>0</v>
      </c>
      <c r="P622" t="n">
        <v>0</v>
      </c>
      <c r="Q622" t="n">
        <v>0</v>
      </c>
      <c r="R622" s="2" t="inlineStr"/>
    </row>
    <row r="623" ht="15" customHeight="1">
      <c r="A623" t="inlineStr">
        <is>
          <t>A 48358-2024</t>
        </is>
      </c>
      <c r="B623" s="1" t="n">
        <v>45590</v>
      </c>
      <c r="C623" s="1" t="n">
        <v>45732</v>
      </c>
      <c r="D623" t="inlineStr">
        <is>
          <t>NORRBOTTENS LÄN</t>
        </is>
      </c>
      <c r="E623" t="inlineStr">
        <is>
          <t>ARVIDSJAUR</t>
        </is>
      </c>
      <c r="F623" t="inlineStr">
        <is>
          <t>Sveaskog</t>
        </is>
      </c>
      <c r="G623" t="n">
        <v>20.3</v>
      </c>
      <c r="H623" t="n">
        <v>0</v>
      </c>
      <c r="I623" t="n">
        <v>0</v>
      </c>
      <c r="J623" t="n">
        <v>0</v>
      </c>
      <c r="K623" t="n">
        <v>0</v>
      </c>
      <c r="L623" t="n">
        <v>0</v>
      </c>
      <c r="M623" t="n">
        <v>0</v>
      </c>
      <c r="N623" t="n">
        <v>0</v>
      </c>
      <c r="O623" t="n">
        <v>0</v>
      </c>
      <c r="P623" t="n">
        <v>0</v>
      </c>
      <c r="Q623" t="n">
        <v>0</v>
      </c>
      <c r="R623" s="2" t="inlineStr"/>
    </row>
    <row r="624" ht="15" customHeight="1">
      <c r="A624" t="inlineStr">
        <is>
          <t>A 48608-2024</t>
        </is>
      </c>
      <c r="B624" s="1" t="n">
        <v>45593</v>
      </c>
      <c r="C624" s="1" t="n">
        <v>45732</v>
      </c>
      <c r="D624" t="inlineStr">
        <is>
          <t>NORRBOTTENS LÄN</t>
        </is>
      </c>
      <c r="E624" t="inlineStr">
        <is>
          <t>ARVIDSJAUR</t>
        </is>
      </c>
      <c r="F624" t="inlineStr">
        <is>
          <t>Sveaskog</t>
        </is>
      </c>
      <c r="G624" t="n">
        <v>16.6</v>
      </c>
      <c r="H624" t="n">
        <v>0</v>
      </c>
      <c r="I624" t="n">
        <v>0</v>
      </c>
      <c r="J624" t="n">
        <v>0</v>
      </c>
      <c r="K624" t="n">
        <v>0</v>
      </c>
      <c r="L624" t="n">
        <v>0</v>
      </c>
      <c r="M624" t="n">
        <v>0</v>
      </c>
      <c r="N624" t="n">
        <v>0</v>
      </c>
      <c r="O624" t="n">
        <v>0</v>
      </c>
      <c r="P624" t="n">
        <v>0</v>
      </c>
      <c r="Q624" t="n">
        <v>0</v>
      </c>
      <c r="R624" s="2" t="inlineStr"/>
    </row>
    <row r="625" ht="15" customHeight="1">
      <c r="A625" t="inlineStr">
        <is>
          <t>A 48616-2024</t>
        </is>
      </c>
      <c r="B625" s="1" t="n">
        <v>45593</v>
      </c>
      <c r="C625" s="1" t="n">
        <v>45732</v>
      </c>
      <c r="D625" t="inlineStr">
        <is>
          <t>NORRBOTTENS LÄN</t>
        </is>
      </c>
      <c r="E625" t="inlineStr">
        <is>
          <t>ARVIDSJAUR</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48614-2024</t>
        </is>
      </c>
      <c r="B626" s="1" t="n">
        <v>45593</v>
      </c>
      <c r="C626" s="1" t="n">
        <v>45732</v>
      </c>
      <c r="D626" t="inlineStr">
        <is>
          <t>NORRBOTTENS LÄN</t>
        </is>
      </c>
      <c r="E626" t="inlineStr">
        <is>
          <t>ARVIDSJAUR</t>
        </is>
      </c>
      <c r="G626" t="n">
        <v>13.4</v>
      </c>
      <c r="H626" t="n">
        <v>0</v>
      </c>
      <c r="I626" t="n">
        <v>0</v>
      </c>
      <c r="J626" t="n">
        <v>0</v>
      </c>
      <c r="K626" t="n">
        <v>0</v>
      </c>
      <c r="L626" t="n">
        <v>0</v>
      </c>
      <c r="M626" t="n">
        <v>0</v>
      </c>
      <c r="N626" t="n">
        <v>0</v>
      </c>
      <c r="O626" t="n">
        <v>0</v>
      </c>
      <c r="P626" t="n">
        <v>0</v>
      </c>
      <c r="Q626" t="n">
        <v>0</v>
      </c>
      <c r="R626" s="2" t="inlineStr"/>
    </row>
    <row r="627" ht="15" customHeight="1">
      <c r="A627" t="inlineStr">
        <is>
          <t>A 48892-2024</t>
        </is>
      </c>
      <c r="B627" s="1" t="n">
        <v>45594</v>
      </c>
      <c r="C627" s="1" t="n">
        <v>45732</v>
      </c>
      <c r="D627" t="inlineStr">
        <is>
          <t>NORRBOTTENS LÄN</t>
        </is>
      </c>
      <c r="E627" t="inlineStr">
        <is>
          <t>ARVIDSJAUR</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49085-2024</t>
        </is>
      </c>
      <c r="B628" s="1" t="n">
        <v>45594</v>
      </c>
      <c r="C628" s="1" t="n">
        <v>45732</v>
      </c>
      <c r="D628" t="inlineStr">
        <is>
          <t>NORRBOTTENS LÄN</t>
        </is>
      </c>
      <c r="E628" t="inlineStr">
        <is>
          <t>ARVIDSJAUR</t>
        </is>
      </c>
      <c r="G628" t="n">
        <v>1</v>
      </c>
      <c r="H628" t="n">
        <v>0</v>
      </c>
      <c r="I628" t="n">
        <v>0</v>
      </c>
      <c r="J628" t="n">
        <v>0</v>
      </c>
      <c r="K628" t="n">
        <v>0</v>
      </c>
      <c r="L628" t="n">
        <v>0</v>
      </c>
      <c r="M628" t="n">
        <v>0</v>
      </c>
      <c r="N628" t="n">
        <v>0</v>
      </c>
      <c r="O628" t="n">
        <v>0</v>
      </c>
      <c r="P628" t="n">
        <v>0</v>
      </c>
      <c r="Q628" t="n">
        <v>0</v>
      </c>
      <c r="R628" s="2" t="inlineStr"/>
    </row>
    <row r="629" ht="15" customHeight="1">
      <c r="A629" t="inlineStr">
        <is>
          <t>A 49071-2024</t>
        </is>
      </c>
      <c r="B629" s="1" t="n">
        <v>45594</v>
      </c>
      <c r="C629" s="1" t="n">
        <v>45732</v>
      </c>
      <c r="D629" t="inlineStr">
        <is>
          <t>NORRBOTTENS LÄN</t>
        </is>
      </c>
      <c r="E629" t="inlineStr">
        <is>
          <t>ARVIDSJAUR</t>
        </is>
      </c>
      <c r="G629" t="n">
        <v>3.1</v>
      </c>
      <c r="H629" t="n">
        <v>0</v>
      </c>
      <c r="I629" t="n">
        <v>0</v>
      </c>
      <c r="J629" t="n">
        <v>0</v>
      </c>
      <c r="K629" t="n">
        <v>0</v>
      </c>
      <c r="L629" t="n">
        <v>0</v>
      </c>
      <c r="M629" t="n">
        <v>0</v>
      </c>
      <c r="N629" t="n">
        <v>0</v>
      </c>
      <c r="O629" t="n">
        <v>0</v>
      </c>
      <c r="P629" t="n">
        <v>0</v>
      </c>
      <c r="Q629" t="n">
        <v>0</v>
      </c>
      <c r="R629" s="2" t="inlineStr"/>
    </row>
    <row r="630" ht="15" customHeight="1">
      <c r="A630" t="inlineStr">
        <is>
          <t>A 49075-2024</t>
        </is>
      </c>
      <c r="B630" s="1" t="n">
        <v>45594</v>
      </c>
      <c r="C630" s="1" t="n">
        <v>45732</v>
      </c>
      <c r="D630" t="inlineStr">
        <is>
          <t>NORRBOTTENS LÄN</t>
        </is>
      </c>
      <c r="E630" t="inlineStr">
        <is>
          <t>ARVIDSJAUR</t>
        </is>
      </c>
      <c r="G630" t="n">
        <v>0.6</v>
      </c>
      <c r="H630" t="n">
        <v>0</v>
      </c>
      <c r="I630" t="n">
        <v>0</v>
      </c>
      <c r="J630" t="n">
        <v>0</v>
      </c>
      <c r="K630" t="n">
        <v>0</v>
      </c>
      <c r="L630" t="n">
        <v>0</v>
      </c>
      <c r="M630" t="n">
        <v>0</v>
      </c>
      <c r="N630" t="n">
        <v>0</v>
      </c>
      <c r="O630" t="n">
        <v>0</v>
      </c>
      <c r="P630" t="n">
        <v>0</v>
      </c>
      <c r="Q630" t="n">
        <v>0</v>
      </c>
      <c r="R630" s="2" t="inlineStr"/>
    </row>
    <row r="631" ht="15" customHeight="1">
      <c r="A631" t="inlineStr">
        <is>
          <t>A 49204-2024</t>
        </is>
      </c>
      <c r="B631" s="1" t="n">
        <v>45595</v>
      </c>
      <c r="C631" s="1" t="n">
        <v>45732</v>
      </c>
      <c r="D631" t="inlineStr">
        <is>
          <t>NORRBOTTENS LÄN</t>
        </is>
      </c>
      <c r="E631" t="inlineStr">
        <is>
          <t>ARVIDSJAUR</t>
        </is>
      </c>
      <c r="G631" t="n">
        <v>6.9</v>
      </c>
      <c r="H631" t="n">
        <v>0</v>
      </c>
      <c r="I631" t="n">
        <v>0</v>
      </c>
      <c r="J631" t="n">
        <v>0</v>
      </c>
      <c r="K631" t="n">
        <v>0</v>
      </c>
      <c r="L631" t="n">
        <v>0</v>
      </c>
      <c r="M631" t="n">
        <v>0</v>
      </c>
      <c r="N631" t="n">
        <v>0</v>
      </c>
      <c r="O631" t="n">
        <v>0</v>
      </c>
      <c r="P631" t="n">
        <v>0</v>
      </c>
      <c r="Q631" t="n">
        <v>0</v>
      </c>
      <c r="R631" s="2" t="inlineStr"/>
    </row>
    <row r="632" ht="15" customHeight="1">
      <c r="A632" t="inlineStr">
        <is>
          <t>A 49170-2024</t>
        </is>
      </c>
      <c r="B632" s="1" t="n">
        <v>45595</v>
      </c>
      <c r="C632" s="1" t="n">
        <v>45732</v>
      </c>
      <c r="D632" t="inlineStr">
        <is>
          <t>NORRBOTTENS LÄN</t>
        </is>
      </c>
      <c r="E632" t="inlineStr">
        <is>
          <t>ARVIDSJAUR</t>
        </is>
      </c>
      <c r="F632" t="inlineStr">
        <is>
          <t>Sveaskog</t>
        </is>
      </c>
      <c r="G632" t="n">
        <v>10.6</v>
      </c>
      <c r="H632" t="n">
        <v>0</v>
      </c>
      <c r="I632" t="n">
        <v>0</v>
      </c>
      <c r="J632" t="n">
        <v>0</v>
      </c>
      <c r="K632" t="n">
        <v>0</v>
      </c>
      <c r="L632" t="n">
        <v>0</v>
      </c>
      <c r="M632" t="n">
        <v>0</v>
      </c>
      <c r="N632" t="n">
        <v>0</v>
      </c>
      <c r="O632" t="n">
        <v>0</v>
      </c>
      <c r="P632" t="n">
        <v>0</v>
      </c>
      <c r="Q632" t="n">
        <v>0</v>
      </c>
      <c r="R632" s="2" t="inlineStr"/>
    </row>
    <row r="633" ht="15" customHeight="1">
      <c r="A633" t="inlineStr">
        <is>
          <t>A 49207-2024</t>
        </is>
      </c>
      <c r="B633" s="1" t="n">
        <v>45595</v>
      </c>
      <c r="C633" s="1" t="n">
        <v>45732</v>
      </c>
      <c r="D633" t="inlineStr">
        <is>
          <t>NORRBOTTENS LÄN</t>
        </is>
      </c>
      <c r="E633" t="inlineStr">
        <is>
          <t>ARVIDSJAUR</t>
        </is>
      </c>
      <c r="G633" t="n">
        <v>2.5</v>
      </c>
      <c r="H633" t="n">
        <v>0</v>
      </c>
      <c r="I633" t="n">
        <v>0</v>
      </c>
      <c r="J633" t="n">
        <v>0</v>
      </c>
      <c r="K633" t="n">
        <v>0</v>
      </c>
      <c r="L633" t="n">
        <v>0</v>
      </c>
      <c r="M633" t="n">
        <v>0</v>
      </c>
      <c r="N633" t="n">
        <v>0</v>
      </c>
      <c r="O633" t="n">
        <v>0</v>
      </c>
      <c r="P633" t="n">
        <v>0</v>
      </c>
      <c r="Q633" t="n">
        <v>0</v>
      </c>
      <c r="R633" s="2" t="inlineStr"/>
    </row>
    <row r="634" ht="15" customHeight="1">
      <c r="A634" t="inlineStr">
        <is>
          <t>A 49172-2024</t>
        </is>
      </c>
      <c r="B634" s="1" t="n">
        <v>45595</v>
      </c>
      <c r="C634" s="1" t="n">
        <v>45732</v>
      </c>
      <c r="D634" t="inlineStr">
        <is>
          <t>NORRBOTTENS LÄN</t>
        </is>
      </c>
      <c r="E634" t="inlineStr">
        <is>
          <t>ARVIDSJAUR</t>
        </is>
      </c>
      <c r="F634" t="inlineStr">
        <is>
          <t>Sveaskog</t>
        </is>
      </c>
      <c r="G634" t="n">
        <v>10.8</v>
      </c>
      <c r="H634" t="n">
        <v>0</v>
      </c>
      <c r="I634" t="n">
        <v>0</v>
      </c>
      <c r="J634" t="n">
        <v>0</v>
      </c>
      <c r="K634" t="n">
        <v>0</v>
      </c>
      <c r="L634" t="n">
        <v>0</v>
      </c>
      <c r="M634" t="n">
        <v>0</v>
      </c>
      <c r="N634" t="n">
        <v>0</v>
      </c>
      <c r="O634" t="n">
        <v>0</v>
      </c>
      <c r="P634" t="n">
        <v>0</v>
      </c>
      <c r="Q634" t="n">
        <v>0</v>
      </c>
      <c r="R634" s="2" t="inlineStr"/>
    </row>
    <row r="635" ht="15" customHeight="1">
      <c r="A635" t="inlineStr">
        <is>
          <t>A 49620-2024</t>
        </is>
      </c>
      <c r="B635" s="1" t="n">
        <v>45596</v>
      </c>
      <c r="C635" s="1" t="n">
        <v>45732</v>
      </c>
      <c r="D635" t="inlineStr">
        <is>
          <t>NORRBOTTENS LÄN</t>
        </is>
      </c>
      <c r="E635" t="inlineStr">
        <is>
          <t>ARVIDSJAUR</t>
        </is>
      </c>
      <c r="G635" t="n">
        <v>0.7</v>
      </c>
      <c r="H635" t="n">
        <v>0</v>
      </c>
      <c r="I635" t="n">
        <v>0</v>
      </c>
      <c r="J635" t="n">
        <v>0</v>
      </c>
      <c r="K635" t="n">
        <v>0</v>
      </c>
      <c r="L635" t="n">
        <v>0</v>
      </c>
      <c r="M635" t="n">
        <v>0</v>
      </c>
      <c r="N635" t="n">
        <v>0</v>
      </c>
      <c r="O635" t="n">
        <v>0</v>
      </c>
      <c r="P635" t="n">
        <v>0</v>
      </c>
      <c r="Q635" t="n">
        <v>0</v>
      </c>
      <c r="R635" s="2" t="inlineStr"/>
    </row>
    <row r="636" ht="15" customHeight="1">
      <c r="A636" t="inlineStr">
        <is>
          <t>A 50043-2024</t>
        </is>
      </c>
      <c r="B636" s="1" t="n">
        <v>45597</v>
      </c>
      <c r="C636" s="1" t="n">
        <v>45732</v>
      </c>
      <c r="D636" t="inlineStr">
        <is>
          <t>NORRBOTTENS LÄN</t>
        </is>
      </c>
      <c r="E636" t="inlineStr">
        <is>
          <t>ARVIDSJAUR</t>
        </is>
      </c>
      <c r="G636" t="n">
        <v>10.4</v>
      </c>
      <c r="H636" t="n">
        <v>0</v>
      </c>
      <c r="I636" t="n">
        <v>0</v>
      </c>
      <c r="J636" t="n">
        <v>0</v>
      </c>
      <c r="K636" t="n">
        <v>0</v>
      </c>
      <c r="L636" t="n">
        <v>0</v>
      </c>
      <c r="M636" t="n">
        <v>0</v>
      </c>
      <c r="N636" t="n">
        <v>0</v>
      </c>
      <c r="O636" t="n">
        <v>0</v>
      </c>
      <c r="P636" t="n">
        <v>0</v>
      </c>
      <c r="Q636" t="n">
        <v>0</v>
      </c>
      <c r="R636" s="2" t="inlineStr"/>
    </row>
    <row r="637" ht="15" customHeight="1">
      <c r="A637" t="inlineStr">
        <is>
          <t>A 50111-2024</t>
        </is>
      </c>
      <c r="B637" s="1" t="n">
        <v>45600</v>
      </c>
      <c r="C637" s="1" t="n">
        <v>45732</v>
      </c>
      <c r="D637" t="inlineStr">
        <is>
          <t>NORRBOTTENS LÄN</t>
        </is>
      </c>
      <c r="E637" t="inlineStr">
        <is>
          <t>ARVIDSJAUR</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50119-2024</t>
        </is>
      </c>
      <c r="B638" s="1" t="n">
        <v>45600</v>
      </c>
      <c r="C638" s="1" t="n">
        <v>45732</v>
      </c>
      <c r="D638" t="inlineStr">
        <is>
          <t>NORRBOTTENS LÄN</t>
        </is>
      </c>
      <c r="E638" t="inlineStr">
        <is>
          <t>ARVIDSJAUR</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50109-2024</t>
        </is>
      </c>
      <c r="B639" s="1" t="n">
        <v>45600</v>
      </c>
      <c r="C639" s="1" t="n">
        <v>45732</v>
      </c>
      <c r="D639" t="inlineStr">
        <is>
          <t>NORRBOTTENS LÄN</t>
        </is>
      </c>
      <c r="E639" t="inlineStr">
        <is>
          <t>ARVIDSJAUR</t>
        </is>
      </c>
      <c r="F639" t="inlineStr">
        <is>
          <t>Sveaskog</t>
        </is>
      </c>
      <c r="G639" t="n">
        <v>6.6</v>
      </c>
      <c r="H639" t="n">
        <v>0</v>
      </c>
      <c r="I639" t="n">
        <v>0</v>
      </c>
      <c r="J639" t="n">
        <v>0</v>
      </c>
      <c r="K639" t="n">
        <v>0</v>
      </c>
      <c r="L639" t="n">
        <v>0</v>
      </c>
      <c r="M639" t="n">
        <v>0</v>
      </c>
      <c r="N639" t="n">
        <v>0</v>
      </c>
      <c r="O639" t="n">
        <v>0</v>
      </c>
      <c r="P639" t="n">
        <v>0</v>
      </c>
      <c r="Q639" t="n">
        <v>0</v>
      </c>
      <c r="R639" s="2" t="inlineStr"/>
    </row>
    <row r="640" ht="15" customHeight="1">
      <c r="A640" t="inlineStr">
        <is>
          <t>A 50323-2024</t>
        </is>
      </c>
      <c r="B640" s="1" t="n">
        <v>45600</v>
      </c>
      <c r="C640" s="1" t="n">
        <v>45732</v>
      </c>
      <c r="D640" t="inlineStr">
        <is>
          <t>NORRBOTTENS LÄN</t>
        </is>
      </c>
      <c r="E640" t="inlineStr">
        <is>
          <t>ARVIDSJAUR</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50607-2024</t>
        </is>
      </c>
      <c r="B641" s="1" t="n">
        <v>45601</v>
      </c>
      <c r="C641" s="1" t="n">
        <v>45732</v>
      </c>
      <c r="D641" t="inlineStr">
        <is>
          <t>NORRBOTTENS LÄN</t>
        </is>
      </c>
      <c r="E641" t="inlineStr">
        <is>
          <t>ARVIDSJAUR</t>
        </is>
      </c>
      <c r="G641" t="n">
        <v>10</v>
      </c>
      <c r="H641" t="n">
        <v>0</v>
      </c>
      <c r="I641" t="n">
        <v>0</v>
      </c>
      <c r="J641" t="n">
        <v>0</v>
      </c>
      <c r="K641" t="n">
        <v>0</v>
      </c>
      <c r="L641" t="n">
        <v>0</v>
      </c>
      <c r="M641" t="n">
        <v>0</v>
      </c>
      <c r="N641" t="n">
        <v>0</v>
      </c>
      <c r="O641" t="n">
        <v>0</v>
      </c>
      <c r="P641" t="n">
        <v>0</v>
      </c>
      <c r="Q641" t="n">
        <v>0</v>
      </c>
      <c r="R641" s="2" t="inlineStr"/>
    </row>
    <row r="642" ht="15" customHeight="1">
      <c r="A642" t="inlineStr">
        <is>
          <t>A 50527-2024</t>
        </is>
      </c>
      <c r="B642" s="1" t="n">
        <v>45601</v>
      </c>
      <c r="C642" s="1" t="n">
        <v>45732</v>
      </c>
      <c r="D642" t="inlineStr">
        <is>
          <t>NORRBOTTENS LÄN</t>
        </is>
      </c>
      <c r="E642" t="inlineStr">
        <is>
          <t>ARVIDSJAUR</t>
        </is>
      </c>
      <c r="F642" t="inlineStr">
        <is>
          <t>Sveaskog</t>
        </is>
      </c>
      <c r="G642" t="n">
        <v>5.6</v>
      </c>
      <c r="H642" t="n">
        <v>0</v>
      </c>
      <c r="I642" t="n">
        <v>0</v>
      </c>
      <c r="J642" t="n">
        <v>0</v>
      </c>
      <c r="K642" t="n">
        <v>0</v>
      </c>
      <c r="L642" t="n">
        <v>0</v>
      </c>
      <c r="M642" t="n">
        <v>0</v>
      </c>
      <c r="N642" t="n">
        <v>0</v>
      </c>
      <c r="O642" t="n">
        <v>0</v>
      </c>
      <c r="P642" t="n">
        <v>0</v>
      </c>
      <c r="Q642" t="n">
        <v>0</v>
      </c>
      <c r="R642" s="2" t="inlineStr"/>
    </row>
    <row r="643" ht="15" customHeight="1">
      <c r="A643" t="inlineStr">
        <is>
          <t>A 50867-2024</t>
        </is>
      </c>
      <c r="B643" s="1" t="n">
        <v>45602</v>
      </c>
      <c r="C643" s="1" t="n">
        <v>45732</v>
      </c>
      <c r="D643" t="inlineStr">
        <is>
          <t>NORRBOTTENS LÄN</t>
        </is>
      </c>
      <c r="E643" t="inlineStr">
        <is>
          <t>ARVIDSJAUR</t>
        </is>
      </c>
      <c r="F643" t="inlineStr">
        <is>
          <t>Sveaskog</t>
        </is>
      </c>
      <c r="G643" t="n">
        <v>24.7</v>
      </c>
      <c r="H643" t="n">
        <v>0</v>
      </c>
      <c r="I643" t="n">
        <v>0</v>
      </c>
      <c r="J643" t="n">
        <v>0</v>
      </c>
      <c r="K643" t="n">
        <v>0</v>
      </c>
      <c r="L643" t="n">
        <v>0</v>
      </c>
      <c r="M643" t="n">
        <v>0</v>
      </c>
      <c r="N643" t="n">
        <v>0</v>
      </c>
      <c r="O643" t="n">
        <v>0</v>
      </c>
      <c r="P643" t="n">
        <v>0</v>
      </c>
      <c r="Q643" t="n">
        <v>0</v>
      </c>
      <c r="R643" s="2" t="inlineStr"/>
    </row>
    <row r="644" ht="15" customHeight="1">
      <c r="A644" t="inlineStr">
        <is>
          <t>A 50889-2024</t>
        </is>
      </c>
      <c r="B644" s="1" t="n">
        <v>45602</v>
      </c>
      <c r="C644" s="1" t="n">
        <v>45732</v>
      </c>
      <c r="D644" t="inlineStr">
        <is>
          <t>NORRBOTTENS LÄN</t>
        </is>
      </c>
      <c r="E644" t="inlineStr">
        <is>
          <t>ARVIDSJAUR</t>
        </is>
      </c>
      <c r="F644" t="inlineStr">
        <is>
          <t>Sveaskog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52162-2024</t>
        </is>
      </c>
      <c r="B645" s="1" t="n">
        <v>45608</v>
      </c>
      <c r="C645" s="1" t="n">
        <v>45732</v>
      </c>
      <c r="D645" t="inlineStr">
        <is>
          <t>NORRBOTTENS LÄN</t>
        </is>
      </c>
      <c r="E645" t="inlineStr">
        <is>
          <t>ARVIDSJAUR</t>
        </is>
      </c>
      <c r="F645" t="inlineStr">
        <is>
          <t>Sveaskog</t>
        </is>
      </c>
      <c r="G645" t="n">
        <v>16.8</v>
      </c>
      <c r="H645" t="n">
        <v>0</v>
      </c>
      <c r="I645" t="n">
        <v>0</v>
      </c>
      <c r="J645" t="n">
        <v>0</v>
      </c>
      <c r="K645" t="n">
        <v>0</v>
      </c>
      <c r="L645" t="n">
        <v>0</v>
      </c>
      <c r="M645" t="n">
        <v>0</v>
      </c>
      <c r="N645" t="n">
        <v>0</v>
      </c>
      <c r="O645" t="n">
        <v>0</v>
      </c>
      <c r="P645" t="n">
        <v>0</v>
      </c>
      <c r="Q645" t="n">
        <v>0</v>
      </c>
      <c r="R645" s="2" t="inlineStr"/>
    </row>
    <row r="646" ht="15" customHeight="1">
      <c r="A646" t="inlineStr">
        <is>
          <t>A 52145-2024</t>
        </is>
      </c>
      <c r="B646" s="1" t="n">
        <v>45608</v>
      </c>
      <c r="C646" s="1" t="n">
        <v>45732</v>
      </c>
      <c r="D646" t="inlineStr">
        <is>
          <t>NORRBOTTENS LÄN</t>
        </is>
      </c>
      <c r="E646" t="inlineStr">
        <is>
          <t>ARVIDSJAUR</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52837-2024</t>
        </is>
      </c>
      <c r="B647" s="1" t="n">
        <v>45610</v>
      </c>
      <c r="C647" s="1" t="n">
        <v>45732</v>
      </c>
      <c r="D647" t="inlineStr">
        <is>
          <t>NORRBOTTENS LÄN</t>
        </is>
      </c>
      <c r="E647" t="inlineStr">
        <is>
          <t>ARVIDSJAUR</t>
        </is>
      </c>
      <c r="G647" t="n">
        <v>6.5</v>
      </c>
      <c r="H647" t="n">
        <v>0</v>
      </c>
      <c r="I647" t="n">
        <v>0</v>
      </c>
      <c r="J647" t="n">
        <v>0</v>
      </c>
      <c r="K647" t="n">
        <v>0</v>
      </c>
      <c r="L647" t="n">
        <v>0</v>
      </c>
      <c r="M647" t="n">
        <v>0</v>
      </c>
      <c r="N647" t="n">
        <v>0</v>
      </c>
      <c r="O647" t="n">
        <v>0</v>
      </c>
      <c r="P647" t="n">
        <v>0</v>
      </c>
      <c r="Q647" t="n">
        <v>0</v>
      </c>
      <c r="R647" s="2" t="inlineStr"/>
    </row>
    <row r="648" ht="15" customHeight="1">
      <c r="A648" t="inlineStr">
        <is>
          <t>A 53014-2024</t>
        </is>
      </c>
      <c r="B648" s="1" t="n">
        <v>45611</v>
      </c>
      <c r="C648" s="1" t="n">
        <v>45732</v>
      </c>
      <c r="D648" t="inlineStr">
        <is>
          <t>NORRBOTTENS LÄN</t>
        </is>
      </c>
      <c r="E648" t="inlineStr">
        <is>
          <t>ARVIDSJAUR</t>
        </is>
      </c>
      <c r="G648" t="n">
        <v>3.4</v>
      </c>
      <c r="H648" t="n">
        <v>0</v>
      </c>
      <c r="I648" t="n">
        <v>0</v>
      </c>
      <c r="J648" t="n">
        <v>0</v>
      </c>
      <c r="K648" t="n">
        <v>0</v>
      </c>
      <c r="L648" t="n">
        <v>0</v>
      </c>
      <c r="M648" t="n">
        <v>0</v>
      </c>
      <c r="N648" t="n">
        <v>0</v>
      </c>
      <c r="O648" t="n">
        <v>0</v>
      </c>
      <c r="P648" t="n">
        <v>0</v>
      </c>
      <c r="Q648" t="n">
        <v>0</v>
      </c>
      <c r="R648" s="2" t="inlineStr"/>
    </row>
    <row r="649" ht="15" customHeight="1">
      <c r="A649" t="inlineStr">
        <is>
          <t>A 53163-2024</t>
        </is>
      </c>
      <c r="B649" s="1" t="n">
        <v>45611</v>
      </c>
      <c r="C649" s="1" t="n">
        <v>45732</v>
      </c>
      <c r="D649" t="inlineStr">
        <is>
          <t>NORRBOTTENS LÄN</t>
        </is>
      </c>
      <c r="E649" t="inlineStr">
        <is>
          <t>ARVIDSJAUR</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53021-2024</t>
        </is>
      </c>
      <c r="B650" s="1" t="n">
        <v>45611</v>
      </c>
      <c r="C650" s="1" t="n">
        <v>45732</v>
      </c>
      <c r="D650" t="inlineStr">
        <is>
          <t>NORRBOTTENS LÄN</t>
        </is>
      </c>
      <c r="E650" t="inlineStr">
        <is>
          <t>ARVIDSJAUR</t>
        </is>
      </c>
      <c r="G650" t="n">
        <v>1.6</v>
      </c>
      <c r="H650" t="n">
        <v>0</v>
      </c>
      <c r="I650" t="n">
        <v>0</v>
      </c>
      <c r="J650" t="n">
        <v>0</v>
      </c>
      <c r="K650" t="n">
        <v>0</v>
      </c>
      <c r="L650" t="n">
        <v>0</v>
      </c>
      <c r="M650" t="n">
        <v>0</v>
      </c>
      <c r="N650" t="n">
        <v>0</v>
      </c>
      <c r="O650" t="n">
        <v>0</v>
      </c>
      <c r="P650" t="n">
        <v>0</v>
      </c>
      <c r="Q650" t="n">
        <v>0</v>
      </c>
      <c r="R650" s="2" t="inlineStr"/>
    </row>
    <row r="651" ht="15" customHeight="1">
      <c r="A651" t="inlineStr">
        <is>
          <t>A 53162-2024</t>
        </is>
      </c>
      <c r="B651" s="1" t="n">
        <v>45611</v>
      </c>
      <c r="C651" s="1" t="n">
        <v>45732</v>
      </c>
      <c r="D651" t="inlineStr">
        <is>
          <t>NORRBOTTENS LÄN</t>
        </is>
      </c>
      <c r="E651" t="inlineStr">
        <is>
          <t>ARVIDSJAUR</t>
        </is>
      </c>
      <c r="F651" t="inlineStr">
        <is>
          <t>Sveaskog</t>
        </is>
      </c>
      <c r="G651" t="n">
        <v>9.1</v>
      </c>
      <c r="H651" t="n">
        <v>0</v>
      </c>
      <c r="I651" t="n">
        <v>0</v>
      </c>
      <c r="J651" t="n">
        <v>0</v>
      </c>
      <c r="K651" t="n">
        <v>0</v>
      </c>
      <c r="L651" t="n">
        <v>0</v>
      </c>
      <c r="M651" t="n">
        <v>0</v>
      </c>
      <c r="N651" t="n">
        <v>0</v>
      </c>
      <c r="O651" t="n">
        <v>0</v>
      </c>
      <c r="P651" t="n">
        <v>0</v>
      </c>
      <c r="Q651" t="n">
        <v>0</v>
      </c>
      <c r="R651" s="2" t="inlineStr"/>
    </row>
    <row r="652" ht="15" customHeight="1">
      <c r="A652" t="inlineStr">
        <is>
          <t>A 53683-2024</t>
        </is>
      </c>
      <c r="B652" s="1" t="n">
        <v>45612</v>
      </c>
      <c r="C652" s="1" t="n">
        <v>45732</v>
      </c>
      <c r="D652" t="inlineStr">
        <is>
          <t>NORRBOTTENS LÄN</t>
        </is>
      </c>
      <c r="E652" t="inlineStr">
        <is>
          <t>ARVIDSJAUR</t>
        </is>
      </c>
      <c r="G652" t="n">
        <v>3.7</v>
      </c>
      <c r="H652" t="n">
        <v>0</v>
      </c>
      <c r="I652" t="n">
        <v>0</v>
      </c>
      <c r="J652" t="n">
        <v>0</v>
      </c>
      <c r="K652" t="n">
        <v>0</v>
      </c>
      <c r="L652" t="n">
        <v>0</v>
      </c>
      <c r="M652" t="n">
        <v>0</v>
      </c>
      <c r="N652" t="n">
        <v>0</v>
      </c>
      <c r="O652" t="n">
        <v>0</v>
      </c>
      <c r="P652" t="n">
        <v>0</v>
      </c>
      <c r="Q652" t="n">
        <v>0</v>
      </c>
      <c r="R652" s="2" t="inlineStr"/>
    </row>
    <row r="653" ht="15" customHeight="1">
      <c r="A653" t="inlineStr">
        <is>
          <t>A 54218-2024</t>
        </is>
      </c>
      <c r="B653" s="1" t="n">
        <v>45616</v>
      </c>
      <c r="C653" s="1" t="n">
        <v>45732</v>
      </c>
      <c r="D653" t="inlineStr">
        <is>
          <t>NORRBOTTENS LÄN</t>
        </is>
      </c>
      <c r="E653" t="inlineStr">
        <is>
          <t>ARVIDSJAUR</t>
        </is>
      </c>
      <c r="G653" t="n">
        <v>4.4</v>
      </c>
      <c r="H653" t="n">
        <v>0</v>
      </c>
      <c r="I653" t="n">
        <v>0</v>
      </c>
      <c r="J653" t="n">
        <v>0</v>
      </c>
      <c r="K653" t="n">
        <v>0</v>
      </c>
      <c r="L653" t="n">
        <v>0</v>
      </c>
      <c r="M653" t="n">
        <v>0</v>
      </c>
      <c r="N653" t="n">
        <v>0</v>
      </c>
      <c r="O653" t="n">
        <v>0</v>
      </c>
      <c r="P653" t="n">
        <v>0</v>
      </c>
      <c r="Q653" t="n">
        <v>0</v>
      </c>
      <c r="R653" s="2" t="inlineStr"/>
    </row>
    <row r="654" ht="15" customHeight="1">
      <c r="A654" t="inlineStr">
        <is>
          <t>A 54197-2024</t>
        </is>
      </c>
      <c r="B654" s="1" t="n">
        <v>45616</v>
      </c>
      <c r="C654" s="1" t="n">
        <v>45732</v>
      </c>
      <c r="D654" t="inlineStr">
        <is>
          <t>NORRBOTTENS LÄN</t>
        </is>
      </c>
      <c r="E654" t="inlineStr">
        <is>
          <t>ARVIDSJAUR</t>
        </is>
      </c>
      <c r="G654" t="n">
        <v>6.3</v>
      </c>
      <c r="H654" t="n">
        <v>0</v>
      </c>
      <c r="I654" t="n">
        <v>0</v>
      </c>
      <c r="J654" t="n">
        <v>0</v>
      </c>
      <c r="K654" t="n">
        <v>0</v>
      </c>
      <c r="L654" t="n">
        <v>0</v>
      </c>
      <c r="M654" t="n">
        <v>0</v>
      </c>
      <c r="N654" t="n">
        <v>0</v>
      </c>
      <c r="O654" t="n">
        <v>0</v>
      </c>
      <c r="P654" t="n">
        <v>0</v>
      </c>
      <c r="Q654" t="n">
        <v>0</v>
      </c>
      <c r="R654" s="2" t="inlineStr"/>
    </row>
    <row r="655" ht="15" customHeight="1">
      <c r="A655" t="inlineStr">
        <is>
          <t>A 54211-2024</t>
        </is>
      </c>
      <c r="B655" s="1" t="n">
        <v>45616</v>
      </c>
      <c r="C655" s="1" t="n">
        <v>45732</v>
      </c>
      <c r="D655" t="inlineStr">
        <is>
          <t>NORRBOTTENS LÄN</t>
        </is>
      </c>
      <c r="E655" t="inlineStr">
        <is>
          <t>ARVIDSJAUR</t>
        </is>
      </c>
      <c r="G655" t="n">
        <v>15</v>
      </c>
      <c r="H655" t="n">
        <v>0</v>
      </c>
      <c r="I655" t="n">
        <v>0</v>
      </c>
      <c r="J655" t="n">
        <v>0</v>
      </c>
      <c r="K655" t="n">
        <v>0</v>
      </c>
      <c r="L655" t="n">
        <v>0</v>
      </c>
      <c r="M655" t="n">
        <v>0</v>
      </c>
      <c r="N655" t="n">
        <v>0</v>
      </c>
      <c r="O655" t="n">
        <v>0</v>
      </c>
      <c r="P655" t="n">
        <v>0</v>
      </c>
      <c r="Q655" t="n">
        <v>0</v>
      </c>
      <c r="R655" s="2" t="inlineStr"/>
    </row>
    <row r="656" ht="15" customHeight="1">
      <c r="A656" t="inlineStr">
        <is>
          <t>A 54336-2024</t>
        </is>
      </c>
      <c r="B656" s="1" t="n">
        <v>45617</v>
      </c>
      <c r="C656" s="1" t="n">
        <v>45732</v>
      </c>
      <c r="D656" t="inlineStr">
        <is>
          <t>NORRBOTTENS LÄN</t>
        </is>
      </c>
      <c r="E656" t="inlineStr">
        <is>
          <t>ARVIDSJAUR</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54341-2024</t>
        </is>
      </c>
      <c r="B657" s="1" t="n">
        <v>45617</v>
      </c>
      <c r="C657" s="1" t="n">
        <v>45732</v>
      </c>
      <c r="D657" t="inlineStr">
        <is>
          <t>NORRBOTTENS LÄN</t>
        </is>
      </c>
      <c r="E657" t="inlineStr">
        <is>
          <t>ARVIDSJAUR</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54879-2024</t>
        </is>
      </c>
      <c r="B658" s="1" t="n">
        <v>45618</v>
      </c>
      <c r="C658" s="1" t="n">
        <v>45732</v>
      </c>
      <c r="D658" t="inlineStr">
        <is>
          <t>NORRBOTTENS LÄN</t>
        </is>
      </c>
      <c r="E658" t="inlineStr">
        <is>
          <t>ARVIDSJAUR</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54889-2024</t>
        </is>
      </c>
      <c r="B659" s="1" t="n">
        <v>45618</v>
      </c>
      <c r="C659" s="1" t="n">
        <v>45732</v>
      </c>
      <c r="D659" t="inlineStr">
        <is>
          <t>NORRBOTTENS LÄN</t>
        </is>
      </c>
      <c r="E659" t="inlineStr">
        <is>
          <t>ARVIDSJAUR</t>
        </is>
      </c>
      <c r="G659" t="n">
        <v>0.8</v>
      </c>
      <c r="H659" t="n">
        <v>0</v>
      </c>
      <c r="I659" t="n">
        <v>0</v>
      </c>
      <c r="J659" t="n">
        <v>0</v>
      </c>
      <c r="K659" t="n">
        <v>0</v>
      </c>
      <c r="L659" t="n">
        <v>0</v>
      </c>
      <c r="M659" t="n">
        <v>0</v>
      </c>
      <c r="N659" t="n">
        <v>0</v>
      </c>
      <c r="O659" t="n">
        <v>0</v>
      </c>
      <c r="P659" t="n">
        <v>0</v>
      </c>
      <c r="Q659" t="n">
        <v>0</v>
      </c>
      <c r="R659" s="2" t="inlineStr"/>
    </row>
    <row r="660" ht="15" customHeight="1">
      <c r="A660" t="inlineStr">
        <is>
          <t>A 54881-2024</t>
        </is>
      </c>
      <c r="B660" s="1" t="n">
        <v>45618</v>
      </c>
      <c r="C660" s="1" t="n">
        <v>45732</v>
      </c>
      <c r="D660" t="inlineStr">
        <is>
          <t>NORRBOTTENS LÄN</t>
        </is>
      </c>
      <c r="E660" t="inlineStr">
        <is>
          <t>ARVIDSJAUR</t>
        </is>
      </c>
      <c r="G660" t="n">
        <v>22.7</v>
      </c>
      <c r="H660" t="n">
        <v>0</v>
      </c>
      <c r="I660" t="n">
        <v>0</v>
      </c>
      <c r="J660" t="n">
        <v>0</v>
      </c>
      <c r="K660" t="n">
        <v>0</v>
      </c>
      <c r="L660" t="n">
        <v>0</v>
      </c>
      <c r="M660" t="n">
        <v>0</v>
      </c>
      <c r="N660" t="n">
        <v>0</v>
      </c>
      <c r="O660" t="n">
        <v>0</v>
      </c>
      <c r="P660" t="n">
        <v>0</v>
      </c>
      <c r="Q660" t="n">
        <v>0</v>
      </c>
      <c r="R660" s="2" t="inlineStr"/>
    </row>
    <row r="661" ht="15" customHeight="1">
      <c r="A661" t="inlineStr">
        <is>
          <t>A 55164-2024</t>
        </is>
      </c>
      <c r="B661" s="1" t="n">
        <v>45621</v>
      </c>
      <c r="C661" s="1" t="n">
        <v>45732</v>
      </c>
      <c r="D661" t="inlineStr">
        <is>
          <t>NORRBOTTENS LÄN</t>
        </is>
      </c>
      <c r="E661" t="inlineStr">
        <is>
          <t>ARVIDSJAUR</t>
        </is>
      </c>
      <c r="G661" t="n">
        <v>21.1</v>
      </c>
      <c r="H661" t="n">
        <v>0</v>
      </c>
      <c r="I661" t="n">
        <v>0</v>
      </c>
      <c r="J661" t="n">
        <v>0</v>
      </c>
      <c r="K661" t="n">
        <v>0</v>
      </c>
      <c r="L661" t="n">
        <v>0</v>
      </c>
      <c r="M661" t="n">
        <v>0</v>
      </c>
      <c r="N661" t="n">
        <v>0</v>
      </c>
      <c r="O661" t="n">
        <v>0</v>
      </c>
      <c r="P661" t="n">
        <v>0</v>
      </c>
      <c r="Q661" t="n">
        <v>0</v>
      </c>
      <c r="R661" s="2" t="inlineStr"/>
    </row>
    <row r="662" ht="15" customHeight="1">
      <c r="A662" t="inlineStr">
        <is>
          <t>A 55674-2024</t>
        </is>
      </c>
      <c r="B662" s="1" t="n">
        <v>45622</v>
      </c>
      <c r="C662" s="1" t="n">
        <v>45732</v>
      </c>
      <c r="D662" t="inlineStr">
        <is>
          <t>NORRBOTTENS LÄN</t>
        </is>
      </c>
      <c r="E662" t="inlineStr">
        <is>
          <t>ARVIDSJAUR</t>
        </is>
      </c>
      <c r="F662" t="inlineStr">
        <is>
          <t>Sveaskog</t>
        </is>
      </c>
      <c r="G662" t="n">
        <v>13.6</v>
      </c>
      <c r="H662" t="n">
        <v>0</v>
      </c>
      <c r="I662" t="n">
        <v>0</v>
      </c>
      <c r="J662" t="n">
        <v>0</v>
      </c>
      <c r="K662" t="n">
        <v>0</v>
      </c>
      <c r="L662" t="n">
        <v>0</v>
      </c>
      <c r="M662" t="n">
        <v>0</v>
      </c>
      <c r="N662" t="n">
        <v>0</v>
      </c>
      <c r="O662" t="n">
        <v>0</v>
      </c>
      <c r="P662" t="n">
        <v>0</v>
      </c>
      <c r="Q662" t="n">
        <v>0</v>
      </c>
      <c r="R662" s="2" t="inlineStr"/>
    </row>
    <row r="663" ht="15" customHeight="1">
      <c r="A663" t="inlineStr">
        <is>
          <t>A 55938-2024</t>
        </is>
      </c>
      <c r="B663" s="1" t="n">
        <v>45622</v>
      </c>
      <c r="C663" s="1" t="n">
        <v>45732</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55917-2024</t>
        </is>
      </c>
      <c r="B664" s="1" t="n">
        <v>45622</v>
      </c>
      <c r="C664" s="1" t="n">
        <v>45732</v>
      </c>
      <c r="D664" t="inlineStr">
        <is>
          <t>NORRBOTTENS LÄN</t>
        </is>
      </c>
      <c r="E664" t="inlineStr">
        <is>
          <t>ARVIDSJAUR</t>
        </is>
      </c>
      <c r="G664" t="n">
        <v>1.4</v>
      </c>
      <c r="H664" t="n">
        <v>0</v>
      </c>
      <c r="I664" t="n">
        <v>0</v>
      </c>
      <c r="J664" t="n">
        <v>0</v>
      </c>
      <c r="K664" t="n">
        <v>0</v>
      </c>
      <c r="L664" t="n">
        <v>0</v>
      </c>
      <c r="M664" t="n">
        <v>0</v>
      </c>
      <c r="N664" t="n">
        <v>0</v>
      </c>
      <c r="O664" t="n">
        <v>0</v>
      </c>
      <c r="P664" t="n">
        <v>0</v>
      </c>
      <c r="Q664" t="n">
        <v>0</v>
      </c>
      <c r="R664" s="2" t="inlineStr"/>
    </row>
    <row r="665" ht="15" customHeight="1">
      <c r="A665" t="inlineStr">
        <is>
          <t>A 56103-2024</t>
        </is>
      </c>
      <c r="B665" s="1" t="n">
        <v>45624</v>
      </c>
      <c r="C665" s="1" t="n">
        <v>45732</v>
      </c>
      <c r="D665" t="inlineStr">
        <is>
          <t>NORRBOTTENS LÄN</t>
        </is>
      </c>
      <c r="E665" t="inlineStr">
        <is>
          <t>ARVIDSJAUR</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56628-2024</t>
        </is>
      </c>
      <c r="B666" s="1" t="n">
        <v>45625</v>
      </c>
      <c r="C666" s="1" t="n">
        <v>45732</v>
      </c>
      <c r="D666" t="inlineStr">
        <is>
          <t>NORRBOTTENS LÄN</t>
        </is>
      </c>
      <c r="E666" t="inlineStr">
        <is>
          <t>ARVIDSJAUR</t>
        </is>
      </c>
      <c r="G666" t="n">
        <v>4.7</v>
      </c>
      <c r="H666" t="n">
        <v>0</v>
      </c>
      <c r="I666" t="n">
        <v>0</v>
      </c>
      <c r="J666" t="n">
        <v>0</v>
      </c>
      <c r="K666" t="n">
        <v>0</v>
      </c>
      <c r="L666" t="n">
        <v>0</v>
      </c>
      <c r="M666" t="n">
        <v>0</v>
      </c>
      <c r="N666" t="n">
        <v>0</v>
      </c>
      <c r="O666" t="n">
        <v>0</v>
      </c>
      <c r="P666" t="n">
        <v>0</v>
      </c>
      <c r="Q666" t="n">
        <v>0</v>
      </c>
      <c r="R666" s="2" t="inlineStr"/>
    </row>
    <row r="667" ht="15" customHeight="1">
      <c r="A667" t="inlineStr">
        <is>
          <t>A 56495-2024</t>
        </is>
      </c>
      <c r="B667" s="1" t="n">
        <v>45625</v>
      </c>
      <c r="C667" s="1" t="n">
        <v>45732</v>
      </c>
      <c r="D667" t="inlineStr">
        <is>
          <t>NORRBOTTENS LÄN</t>
        </is>
      </c>
      <c r="E667" t="inlineStr">
        <is>
          <t>ARVIDSJAUR</t>
        </is>
      </c>
      <c r="G667" t="n">
        <v>14.1</v>
      </c>
      <c r="H667" t="n">
        <v>0</v>
      </c>
      <c r="I667" t="n">
        <v>0</v>
      </c>
      <c r="J667" t="n">
        <v>0</v>
      </c>
      <c r="K667" t="n">
        <v>0</v>
      </c>
      <c r="L667" t="n">
        <v>0</v>
      </c>
      <c r="M667" t="n">
        <v>0</v>
      </c>
      <c r="N667" t="n">
        <v>0</v>
      </c>
      <c r="O667" t="n">
        <v>0</v>
      </c>
      <c r="P667" t="n">
        <v>0</v>
      </c>
      <c r="Q667" t="n">
        <v>0</v>
      </c>
      <c r="R667" s="2" t="inlineStr"/>
    </row>
    <row r="668" ht="15" customHeight="1">
      <c r="A668" t="inlineStr">
        <is>
          <t>A 56980-2024</t>
        </is>
      </c>
      <c r="B668" s="1" t="n">
        <v>45628</v>
      </c>
      <c r="C668" s="1" t="n">
        <v>45732</v>
      </c>
      <c r="D668" t="inlineStr">
        <is>
          <t>NORRBOTTENS LÄN</t>
        </is>
      </c>
      <c r="E668" t="inlineStr">
        <is>
          <t>ARVIDSJAUR</t>
        </is>
      </c>
      <c r="F668" t="inlineStr">
        <is>
          <t>Övriga Aktiebolag</t>
        </is>
      </c>
      <c r="G668" t="n">
        <v>5.1</v>
      </c>
      <c r="H668" t="n">
        <v>0</v>
      </c>
      <c r="I668" t="n">
        <v>0</v>
      </c>
      <c r="J668" t="n">
        <v>0</v>
      </c>
      <c r="K668" t="n">
        <v>0</v>
      </c>
      <c r="L668" t="n">
        <v>0</v>
      </c>
      <c r="M668" t="n">
        <v>0</v>
      </c>
      <c r="N668" t="n">
        <v>0</v>
      </c>
      <c r="O668" t="n">
        <v>0</v>
      </c>
      <c r="P668" t="n">
        <v>0</v>
      </c>
      <c r="Q668" t="n">
        <v>0</v>
      </c>
      <c r="R668" s="2" t="inlineStr"/>
    </row>
    <row r="669" ht="15" customHeight="1">
      <c r="A669" t="inlineStr">
        <is>
          <t>A 57594-2024</t>
        </is>
      </c>
      <c r="B669" s="1" t="n">
        <v>45630</v>
      </c>
      <c r="C669" s="1" t="n">
        <v>45732</v>
      </c>
      <c r="D669" t="inlineStr">
        <is>
          <t>NORRBOTTENS LÄN</t>
        </is>
      </c>
      <c r="E669" t="inlineStr">
        <is>
          <t>ARVIDSJAUR</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58862-2024</t>
        </is>
      </c>
      <c r="B670" s="1" t="n">
        <v>45635</v>
      </c>
      <c r="C670" s="1" t="n">
        <v>45732</v>
      </c>
      <c r="D670" t="inlineStr">
        <is>
          <t>NORRBOTTENS LÄN</t>
        </is>
      </c>
      <c r="E670" t="inlineStr">
        <is>
          <t>ARVIDSJAUR</t>
        </is>
      </c>
      <c r="G670" t="n">
        <v>2.7</v>
      </c>
      <c r="H670" t="n">
        <v>0</v>
      </c>
      <c r="I670" t="n">
        <v>0</v>
      </c>
      <c r="J670" t="n">
        <v>0</v>
      </c>
      <c r="K670" t="n">
        <v>0</v>
      </c>
      <c r="L670" t="n">
        <v>0</v>
      </c>
      <c r="M670" t="n">
        <v>0</v>
      </c>
      <c r="N670" t="n">
        <v>0</v>
      </c>
      <c r="O670" t="n">
        <v>0</v>
      </c>
      <c r="P670" t="n">
        <v>0</v>
      </c>
      <c r="Q670" t="n">
        <v>0</v>
      </c>
      <c r="R670" s="2" t="inlineStr"/>
    </row>
    <row r="671" ht="15" customHeight="1">
      <c r="A671" t="inlineStr">
        <is>
          <t>A 58942-2024</t>
        </is>
      </c>
      <c r="B671" s="1" t="n">
        <v>45636</v>
      </c>
      <c r="C671" s="1" t="n">
        <v>45732</v>
      </c>
      <c r="D671" t="inlineStr">
        <is>
          <t>NORRBOTTENS LÄN</t>
        </is>
      </c>
      <c r="E671" t="inlineStr">
        <is>
          <t>ARVIDSJAUR</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59494-2024</t>
        </is>
      </c>
      <c r="B672" s="1" t="n">
        <v>45638</v>
      </c>
      <c r="C672" s="1" t="n">
        <v>45732</v>
      </c>
      <c r="D672" t="inlineStr">
        <is>
          <t>NORRBOTTENS LÄN</t>
        </is>
      </c>
      <c r="E672" t="inlineStr">
        <is>
          <t>ARVIDSJAUR</t>
        </is>
      </c>
      <c r="G672" t="n">
        <v>5.6</v>
      </c>
      <c r="H672" t="n">
        <v>0</v>
      </c>
      <c r="I672" t="n">
        <v>0</v>
      </c>
      <c r="J672" t="n">
        <v>0</v>
      </c>
      <c r="K672" t="n">
        <v>0</v>
      </c>
      <c r="L672" t="n">
        <v>0</v>
      </c>
      <c r="M672" t="n">
        <v>0</v>
      </c>
      <c r="N672" t="n">
        <v>0</v>
      </c>
      <c r="O672" t="n">
        <v>0</v>
      </c>
      <c r="P672" t="n">
        <v>0</v>
      </c>
      <c r="Q672" t="n">
        <v>0</v>
      </c>
      <c r="R672" s="2" t="inlineStr"/>
    </row>
    <row r="673" ht="15" customHeight="1">
      <c r="A673" t="inlineStr">
        <is>
          <t>A 59539-2024</t>
        </is>
      </c>
      <c r="B673" s="1" t="n">
        <v>45638</v>
      </c>
      <c r="C673" s="1" t="n">
        <v>45732</v>
      </c>
      <c r="D673" t="inlineStr">
        <is>
          <t>NORRBOTTENS LÄN</t>
        </is>
      </c>
      <c r="E673" t="inlineStr">
        <is>
          <t>ARVIDSJAUR</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59394-2024</t>
        </is>
      </c>
      <c r="B674" s="1" t="n">
        <v>45638</v>
      </c>
      <c r="C674" s="1" t="n">
        <v>45732</v>
      </c>
      <c r="D674" t="inlineStr">
        <is>
          <t>NORRBOTTENS LÄN</t>
        </is>
      </c>
      <c r="E674" t="inlineStr">
        <is>
          <t>ARVIDSJAUR</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61374-2024</t>
        </is>
      </c>
      <c r="B675" s="1" t="n">
        <v>45646</v>
      </c>
      <c r="C675" s="1" t="n">
        <v>45732</v>
      </c>
      <c r="D675" t="inlineStr">
        <is>
          <t>NORRBOTTENS LÄN</t>
        </is>
      </c>
      <c r="E675" t="inlineStr">
        <is>
          <t>ARVIDSJAUR</t>
        </is>
      </c>
      <c r="G675" t="n">
        <v>13.9</v>
      </c>
      <c r="H675" t="n">
        <v>0</v>
      </c>
      <c r="I675" t="n">
        <v>0</v>
      </c>
      <c r="J675" t="n">
        <v>0</v>
      </c>
      <c r="K675" t="n">
        <v>0</v>
      </c>
      <c r="L675" t="n">
        <v>0</v>
      </c>
      <c r="M675" t="n">
        <v>0</v>
      </c>
      <c r="N675" t="n">
        <v>0</v>
      </c>
      <c r="O675" t="n">
        <v>0</v>
      </c>
      <c r="P675" t="n">
        <v>0</v>
      </c>
      <c r="Q675" t="n">
        <v>0</v>
      </c>
      <c r="R675" s="2" t="inlineStr"/>
    </row>
    <row r="676" ht="15" customHeight="1">
      <c r="A676" t="inlineStr">
        <is>
          <t>A 61383-2024</t>
        </is>
      </c>
      <c r="B676" s="1" t="n">
        <v>45646</v>
      </c>
      <c r="C676" s="1" t="n">
        <v>45732</v>
      </c>
      <c r="D676" t="inlineStr">
        <is>
          <t>NORRBOTTENS LÄN</t>
        </is>
      </c>
      <c r="E676" t="inlineStr">
        <is>
          <t>ARVIDSJAUR</t>
        </is>
      </c>
      <c r="G676" t="n">
        <v>17.5</v>
      </c>
      <c r="H676" t="n">
        <v>0</v>
      </c>
      <c r="I676" t="n">
        <v>0</v>
      </c>
      <c r="J676" t="n">
        <v>0</v>
      </c>
      <c r="K676" t="n">
        <v>0</v>
      </c>
      <c r="L676" t="n">
        <v>0</v>
      </c>
      <c r="M676" t="n">
        <v>0</v>
      </c>
      <c r="N676" t="n">
        <v>0</v>
      </c>
      <c r="O676" t="n">
        <v>0</v>
      </c>
      <c r="P676" t="n">
        <v>0</v>
      </c>
      <c r="Q676" t="n">
        <v>0</v>
      </c>
      <c r="R676" s="2" t="inlineStr"/>
    </row>
    <row r="677" ht="15" customHeight="1">
      <c r="A677" t="inlineStr">
        <is>
          <t>A 61625-2024</t>
        </is>
      </c>
      <c r="B677" s="1" t="n">
        <v>45646</v>
      </c>
      <c r="C677" s="1" t="n">
        <v>45732</v>
      </c>
      <c r="D677" t="inlineStr">
        <is>
          <t>NORRBOTTENS LÄN</t>
        </is>
      </c>
      <c r="E677" t="inlineStr">
        <is>
          <t>ARVIDSJAUR</t>
        </is>
      </c>
      <c r="F677" t="inlineStr">
        <is>
          <t>Sveaskog</t>
        </is>
      </c>
      <c r="G677" t="n">
        <v>7.7</v>
      </c>
      <c r="H677" t="n">
        <v>0</v>
      </c>
      <c r="I677" t="n">
        <v>0</v>
      </c>
      <c r="J677" t="n">
        <v>0</v>
      </c>
      <c r="K677" t="n">
        <v>0</v>
      </c>
      <c r="L677" t="n">
        <v>0</v>
      </c>
      <c r="M677" t="n">
        <v>0</v>
      </c>
      <c r="N677" t="n">
        <v>0</v>
      </c>
      <c r="O677" t="n">
        <v>0</v>
      </c>
      <c r="P677" t="n">
        <v>0</v>
      </c>
      <c r="Q677" t="n">
        <v>0</v>
      </c>
      <c r="R677" s="2" t="inlineStr"/>
    </row>
    <row r="678" ht="15" customHeight="1">
      <c r="A678" t="inlineStr">
        <is>
          <t>A 2392-2025</t>
        </is>
      </c>
      <c r="B678" s="1" t="n">
        <v>45674</v>
      </c>
      <c r="C678" s="1" t="n">
        <v>45732</v>
      </c>
      <c r="D678" t="inlineStr">
        <is>
          <t>NORRBOTTENS LÄN</t>
        </is>
      </c>
      <c r="E678" t="inlineStr">
        <is>
          <t>ARVIDSJAUR</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45732</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45732</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ht="15" customHeight="1">
      <c r="A681" t="inlineStr">
        <is>
          <t>A 2773-2025</t>
        </is>
      </c>
      <c r="B681" s="1" t="n">
        <v>45677</v>
      </c>
      <c r="C681" s="1" t="n">
        <v>45732</v>
      </c>
      <c r="D681" t="inlineStr">
        <is>
          <t>NORRBOTTENS LÄN</t>
        </is>
      </c>
      <c r="E681" t="inlineStr">
        <is>
          <t>ARVIDSJAUR</t>
        </is>
      </c>
      <c r="G681" t="n">
        <v>2.8</v>
      </c>
      <c r="H681" t="n">
        <v>0</v>
      </c>
      <c r="I681" t="n">
        <v>0</v>
      </c>
      <c r="J681" t="n">
        <v>0</v>
      </c>
      <c r="K681" t="n">
        <v>0</v>
      </c>
      <c r="L681" t="n">
        <v>0</v>
      </c>
      <c r="M681" t="n">
        <v>0</v>
      </c>
      <c r="N681" t="n">
        <v>0</v>
      </c>
      <c r="O681" t="n">
        <v>0</v>
      </c>
      <c r="P681" t="n">
        <v>0</v>
      </c>
      <c r="Q681" t="n">
        <v>0</v>
      </c>
      <c r="R681" s="2" t="inlineStr"/>
    </row>
    <row r="682" ht="15" customHeight="1">
      <c r="A682" t="inlineStr">
        <is>
          <t>A 2791-2025</t>
        </is>
      </c>
      <c r="B682" s="1" t="n">
        <v>45677</v>
      </c>
      <c r="C682" s="1" t="n">
        <v>45732</v>
      </c>
      <c r="D682" t="inlineStr">
        <is>
          <t>NORRBOTTENS LÄN</t>
        </is>
      </c>
      <c r="E682" t="inlineStr">
        <is>
          <t>ARVIDSJAUR</t>
        </is>
      </c>
      <c r="G682" t="n">
        <v>4</v>
      </c>
      <c r="H682" t="n">
        <v>0</v>
      </c>
      <c r="I682" t="n">
        <v>0</v>
      </c>
      <c r="J682" t="n">
        <v>0</v>
      </c>
      <c r="K682" t="n">
        <v>0</v>
      </c>
      <c r="L682" t="n">
        <v>0</v>
      </c>
      <c r="M682" t="n">
        <v>0</v>
      </c>
      <c r="N682" t="n">
        <v>0</v>
      </c>
      <c r="O682" t="n">
        <v>0</v>
      </c>
      <c r="P682" t="n">
        <v>0</v>
      </c>
      <c r="Q682" t="n">
        <v>0</v>
      </c>
      <c r="R682" s="2" t="inlineStr"/>
    </row>
    <row r="683" ht="15" customHeight="1">
      <c r="A683" t="inlineStr">
        <is>
          <t>A 2844-2025</t>
        </is>
      </c>
      <c r="B683" s="1" t="n">
        <v>45677</v>
      </c>
      <c r="C683" s="1" t="n">
        <v>45732</v>
      </c>
      <c r="D683" t="inlineStr">
        <is>
          <t>NORRBOTTENS LÄN</t>
        </is>
      </c>
      <c r="E683" t="inlineStr">
        <is>
          <t>ARVIDSJAUR</t>
        </is>
      </c>
      <c r="G683" t="n">
        <v>2.9</v>
      </c>
      <c r="H683" t="n">
        <v>0</v>
      </c>
      <c r="I683" t="n">
        <v>0</v>
      </c>
      <c r="J683" t="n">
        <v>0</v>
      </c>
      <c r="K683" t="n">
        <v>0</v>
      </c>
      <c r="L683" t="n">
        <v>0</v>
      </c>
      <c r="M683" t="n">
        <v>0</v>
      </c>
      <c r="N683" t="n">
        <v>0</v>
      </c>
      <c r="O683" t="n">
        <v>0</v>
      </c>
      <c r="P683" t="n">
        <v>0</v>
      </c>
      <c r="Q683" t="n">
        <v>0</v>
      </c>
      <c r="R683" s="2" t="inlineStr"/>
    </row>
    <row r="684" ht="15" customHeight="1">
      <c r="A684" t="inlineStr">
        <is>
          <t>A 7084-2025</t>
        </is>
      </c>
      <c r="B684" s="1" t="n">
        <v>45701</v>
      </c>
      <c r="C684" s="1" t="n">
        <v>45732</v>
      </c>
      <c r="D684" t="inlineStr">
        <is>
          <t>NORRBOTTENS LÄN</t>
        </is>
      </c>
      <c r="E684" t="inlineStr">
        <is>
          <t>ARVIDSJAUR</t>
        </is>
      </c>
      <c r="G684" t="n">
        <v>1.7</v>
      </c>
      <c r="H684" t="n">
        <v>0</v>
      </c>
      <c r="I684" t="n">
        <v>0</v>
      </c>
      <c r="J684" t="n">
        <v>0</v>
      </c>
      <c r="K684" t="n">
        <v>0</v>
      </c>
      <c r="L684" t="n">
        <v>0</v>
      </c>
      <c r="M684" t="n">
        <v>0</v>
      </c>
      <c r="N684" t="n">
        <v>0</v>
      </c>
      <c r="O684" t="n">
        <v>0</v>
      </c>
      <c r="P684" t="n">
        <v>0</v>
      </c>
      <c r="Q684" t="n">
        <v>0</v>
      </c>
      <c r="R684" s="2" t="inlineStr"/>
    </row>
    <row r="685" ht="15" customHeight="1">
      <c r="A685" t="inlineStr">
        <is>
          <t>A 7327-2025</t>
        </is>
      </c>
      <c r="B685" s="1" t="n">
        <v>45702</v>
      </c>
      <c r="C685" s="1" t="n">
        <v>45732</v>
      </c>
      <c r="D685" t="inlineStr">
        <is>
          <t>NORRBOTTENS LÄN</t>
        </is>
      </c>
      <c r="E685" t="inlineStr">
        <is>
          <t>ARVIDSJAUR</t>
        </is>
      </c>
      <c r="G685" t="n">
        <v>1.6</v>
      </c>
      <c r="H685" t="n">
        <v>0</v>
      </c>
      <c r="I685" t="n">
        <v>0</v>
      </c>
      <c r="J685" t="n">
        <v>0</v>
      </c>
      <c r="K685" t="n">
        <v>0</v>
      </c>
      <c r="L685" t="n">
        <v>0</v>
      </c>
      <c r="M685" t="n">
        <v>0</v>
      </c>
      <c r="N685" t="n">
        <v>0</v>
      </c>
      <c r="O685" t="n">
        <v>0</v>
      </c>
      <c r="P685" t="n">
        <v>0</v>
      </c>
      <c r="Q685" t="n">
        <v>0</v>
      </c>
      <c r="R685" s="2" t="inlineStr"/>
    </row>
    <row r="686" ht="15" customHeight="1">
      <c r="A686" t="inlineStr">
        <is>
          <t>A 9856-2025</t>
        </is>
      </c>
      <c r="B686" s="1" t="n">
        <v>45716</v>
      </c>
      <c r="C686" s="1" t="n">
        <v>45732</v>
      </c>
      <c r="D686" t="inlineStr">
        <is>
          <t>NORRBOTTENS LÄN</t>
        </is>
      </c>
      <c r="E686" t="inlineStr">
        <is>
          <t>ARVIDSJAUR</t>
        </is>
      </c>
      <c r="F686" t="inlineStr">
        <is>
          <t>Sveaskog</t>
        </is>
      </c>
      <c r="G686" t="n">
        <v>43.8</v>
      </c>
      <c r="H686" t="n">
        <v>0</v>
      </c>
      <c r="I686" t="n">
        <v>0</v>
      </c>
      <c r="J686" t="n">
        <v>0</v>
      </c>
      <c r="K686" t="n">
        <v>0</v>
      </c>
      <c r="L686" t="n">
        <v>0</v>
      </c>
      <c r="M686" t="n">
        <v>0</v>
      </c>
      <c r="N686" t="n">
        <v>0</v>
      </c>
      <c r="O686" t="n">
        <v>0</v>
      </c>
      <c r="P686" t="n">
        <v>0</v>
      </c>
      <c r="Q686" t="n">
        <v>0</v>
      </c>
      <c r="R686" s="2" t="inlineStr"/>
    </row>
    <row r="687" ht="15" customHeight="1">
      <c r="A687" t="inlineStr">
        <is>
          <t>A 10852-2025</t>
        </is>
      </c>
      <c r="B687" s="1" t="n">
        <v>45722</v>
      </c>
      <c r="C687" s="1" t="n">
        <v>45732</v>
      </c>
      <c r="D687" t="inlineStr">
        <is>
          <t>NORRBOTTENS LÄN</t>
        </is>
      </c>
      <c r="E687" t="inlineStr">
        <is>
          <t>ARVIDSJAUR</t>
        </is>
      </c>
      <c r="F687" t="inlineStr">
        <is>
          <t>Sveaskog</t>
        </is>
      </c>
      <c r="G687" t="n">
        <v>7</v>
      </c>
      <c r="H687" t="n">
        <v>0</v>
      </c>
      <c r="I687" t="n">
        <v>0</v>
      </c>
      <c r="J687" t="n">
        <v>0</v>
      </c>
      <c r="K687" t="n">
        <v>0</v>
      </c>
      <c r="L687" t="n">
        <v>0</v>
      </c>
      <c r="M687" t="n">
        <v>0</v>
      </c>
      <c r="N687" t="n">
        <v>0</v>
      </c>
      <c r="O687" t="n">
        <v>0</v>
      </c>
      <c r="P687" t="n">
        <v>0</v>
      </c>
      <c r="Q687" t="n">
        <v>0</v>
      </c>
      <c r="R687" s="2" t="inlineStr"/>
    </row>
    <row r="688" ht="15" customHeight="1">
      <c r="A688" t="inlineStr">
        <is>
          <t>A 11030-2025</t>
        </is>
      </c>
      <c r="B688" s="1" t="n">
        <v>45723</v>
      </c>
      <c r="C688" s="1" t="n">
        <v>45732</v>
      </c>
      <c r="D688" t="inlineStr">
        <is>
          <t>NORRBOTTENS LÄN</t>
        </is>
      </c>
      <c r="E688" t="inlineStr">
        <is>
          <t>ARVIDSJAUR</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11494-2025</t>
        </is>
      </c>
      <c r="B689" s="1" t="n">
        <v>45726</v>
      </c>
      <c r="C689" s="1" t="n">
        <v>45732</v>
      </c>
      <c r="D689" t="inlineStr">
        <is>
          <t>NORRBOTTENS LÄN</t>
        </is>
      </c>
      <c r="E689" t="inlineStr">
        <is>
          <t>ARVIDSJAUR</t>
        </is>
      </c>
      <c r="F689" t="inlineStr">
        <is>
          <t>Allmännings- och besparingsskogar</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11492-2025</t>
        </is>
      </c>
      <c r="B690" s="1" t="n">
        <v>45726</v>
      </c>
      <c r="C690" s="1" t="n">
        <v>45732</v>
      </c>
      <c r="D690" t="inlineStr">
        <is>
          <t>NORRBOTTENS LÄN</t>
        </is>
      </c>
      <c r="E690" t="inlineStr">
        <is>
          <t>ARVIDSJAUR</t>
        </is>
      </c>
      <c r="F690" t="inlineStr">
        <is>
          <t>Allmännings- och besparingsskogar</t>
        </is>
      </c>
      <c r="G690" t="n">
        <v>14.2</v>
      </c>
      <c r="H690" t="n">
        <v>0</v>
      </c>
      <c r="I690" t="n">
        <v>0</v>
      </c>
      <c r="J690" t="n">
        <v>0</v>
      </c>
      <c r="K690" t="n">
        <v>0</v>
      </c>
      <c r="L690" t="n">
        <v>0</v>
      </c>
      <c r="M690" t="n">
        <v>0</v>
      </c>
      <c r="N690" t="n">
        <v>0</v>
      </c>
      <c r="O690" t="n">
        <v>0</v>
      </c>
      <c r="P690" t="n">
        <v>0</v>
      </c>
      <c r="Q690" t="n">
        <v>0</v>
      </c>
      <c r="R690" s="2" t="inlineStr"/>
    </row>
    <row r="691" ht="15" customHeight="1">
      <c r="A691" t="inlineStr">
        <is>
          <t>A 11538-2025</t>
        </is>
      </c>
      <c r="B691" s="1" t="n">
        <v>45726</v>
      </c>
      <c r="C691" s="1" t="n">
        <v>45732</v>
      </c>
      <c r="D691" t="inlineStr">
        <is>
          <t>NORRBOTTENS LÄN</t>
        </is>
      </c>
      <c r="E691" t="inlineStr">
        <is>
          <t>ARVIDSJAUR</t>
        </is>
      </c>
      <c r="F691" t="inlineStr">
        <is>
          <t>Allmännings- och besparingsskogar</t>
        </is>
      </c>
      <c r="G691" t="n">
        <v>15.3</v>
      </c>
      <c r="H691" t="n">
        <v>0</v>
      </c>
      <c r="I691" t="n">
        <v>0</v>
      </c>
      <c r="J691" t="n">
        <v>0</v>
      </c>
      <c r="K691" t="n">
        <v>0</v>
      </c>
      <c r="L691" t="n">
        <v>0</v>
      </c>
      <c r="M691" t="n">
        <v>0</v>
      </c>
      <c r="N691" t="n">
        <v>0</v>
      </c>
      <c r="O691" t="n">
        <v>0</v>
      </c>
      <c r="P691" t="n">
        <v>0</v>
      </c>
      <c r="Q691" t="n">
        <v>0</v>
      </c>
      <c r="R691" s="2" t="inlineStr"/>
    </row>
    <row r="692" ht="15" customHeight="1">
      <c r="A692" t="inlineStr">
        <is>
          <t>A 11542-2025</t>
        </is>
      </c>
      <c r="B692" s="1" t="n">
        <v>45726</v>
      </c>
      <c r="C692" s="1" t="n">
        <v>45732</v>
      </c>
      <c r="D692" t="inlineStr">
        <is>
          <t>NORRBOTTENS LÄN</t>
        </is>
      </c>
      <c r="E692" t="inlineStr">
        <is>
          <t>ARVIDSJAUR</t>
        </is>
      </c>
      <c r="F692" t="inlineStr">
        <is>
          <t>Allmännings- och besparingsskogar</t>
        </is>
      </c>
      <c r="G692" t="n">
        <v>14.2</v>
      </c>
      <c r="H692" t="n">
        <v>0</v>
      </c>
      <c r="I692" t="n">
        <v>0</v>
      </c>
      <c r="J692" t="n">
        <v>0</v>
      </c>
      <c r="K692" t="n">
        <v>0</v>
      </c>
      <c r="L692" t="n">
        <v>0</v>
      </c>
      <c r="M692" t="n">
        <v>0</v>
      </c>
      <c r="N692" t="n">
        <v>0</v>
      </c>
      <c r="O692" t="n">
        <v>0</v>
      </c>
      <c r="P692" t="n">
        <v>0</v>
      </c>
      <c r="Q692" t="n">
        <v>0</v>
      </c>
      <c r="R692" s="2" t="inlineStr"/>
    </row>
    <row r="693" ht="15" customHeight="1">
      <c r="A693" t="inlineStr">
        <is>
          <t>A 11582-2025</t>
        </is>
      </c>
      <c r="B693" s="1" t="n">
        <v>45726</v>
      </c>
      <c r="C693" s="1" t="n">
        <v>45732</v>
      </c>
      <c r="D693" t="inlineStr">
        <is>
          <t>NORRBOTTENS LÄN</t>
        </is>
      </c>
      <c r="E693" t="inlineStr">
        <is>
          <t>ARVIDSJAUR</t>
        </is>
      </c>
      <c r="F693" t="inlineStr">
        <is>
          <t>Allmännings- och besparingsskogar</t>
        </is>
      </c>
      <c r="G693" t="n">
        <v>7.1</v>
      </c>
      <c r="H693" t="n">
        <v>0</v>
      </c>
      <c r="I693" t="n">
        <v>0</v>
      </c>
      <c r="J693" t="n">
        <v>0</v>
      </c>
      <c r="K693" t="n">
        <v>0</v>
      </c>
      <c r="L693" t="n">
        <v>0</v>
      </c>
      <c r="M693" t="n">
        <v>0</v>
      </c>
      <c r="N693" t="n">
        <v>0</v>
      </c>
      <c r="O693" t="n">
        <v>0</v>
      </c>
      <c r="P693" t="n">
        <v>0</v>
      </c>
      <c r="Q693" t="n">
        <v>0</v>
      </c>
      <c r="R693" s="2" t="inlineStr"/>
    </row>
    <row r="694" ht="15" customHeight="1">
      <c r="A694" t="inlineStr">
        <is>
          <t>A 11623-2025</t>
        </is>
      </c>
      <c r="B694" s="1" t="n">
        <v>45726</v>
      </c>
      <c r="C694" s="1" t="n">
        <v>45732</v>
      </c>
      <c r="D694" t="inlineStr">
        <is>
          <t>NORRBOTTENS LÄN</t>
        </is>
      </c>
      <c r="E694" t="inlineStr">
        <is>
          <t>ARVIDSJAUR</t>
        </is>
      </c>
      <c r="F694" t="inlineStr">
        <is>
          <t>Allmännings- och besparingsskogar</t>
        </is>
      </c>
      <c r="G694" t="n">
        <v>1.3</v>
      </c>
      <c r="H694" t="n">
        <v>0</v>
      </c>
      <c r="I694" t="n">
        <v>0</v>
      </c>
      <c r="J694" t="n">
        <v>0</v>
      </c>
      <c r="K694" t="n">
        <v>0</v>
      </c>
      <c r="L694" t="n">
        <v>0</v>
      </c>
      <c r="M694" t="n">
        <v>0</v>
      </c>
      <c r="N694" t="n">
        <v>0</v>
      </c>
      <c r="O694" t="n">
        <v>0</v>
      </c>
      <c r="P694" t="n">
        <v>0</v>
      </c>
      <c r="Q694" t="n">
        <v>0</v>
      </c>
      <c r="R694" s="2" t="inlineStr"/>
    </row>
    <row r="695" ht="15" customHeight="1">
      <c r="A695" t="inlineStr">
        <is>
          <t>A 11536-2025</t>
        </is>
      </c>
      <c r="B695" s="1" t="n">
        <v>45726</v>
      </c>
      <c r="C695" s="1" t="n">
        <v>45732</v>
      </c>
      <c r="D695" t="inlineStr">
        <is>
          <t>NORRBOTTENS LÄN</t>
        </is>
      </c>
      <c r="E695" t="inlineStr">
        <is>
          <t>ARVIDSJAUR</t>
        </is>
      </c>
      <c r="F695" t="inlineStr">
        <is>
          <t>Allmännings- och besparingsskogar</t>
        </is>
      </c>
      <c r="G695" t="n">
        <v>1.9</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45732</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11591-2025</t>
        </is>
      </c>
      <c r="B697" s="1" t="n">
        <v>45726</v>
      </c>
      <c r="C697" s="1" t="n">
        <v>45732</v>
      </c>
      <c r="D697" t="inlineStr">
        <is>
          <t>NORRBOTTENS LÄN</t>
        </is>
      </c>
      <c r="E697" t="inlineStr">
        <is>
          <t>ARVIDSJAUR</t>
        </is>
      </c>
      <c r="F697" t="inlineStr">
        <is>
          <t>Allmännings- och besparingsskogar</t>
        </is>
      </c>
      <c r="G697" t="n">
        <v>10.9</v>
      </c>
      <c r="H697" t="n">
        <v>0</v>
      </c>
      <c r="I697" t="n">
        <v>0</v>
      </c>
      <c r="J697" t="n">
        <v>0</v>
      </c>
      <c r="K697" t="n">
        <v>0</v>
      </c>
      <c r="L697" t="n">
        <v>0</v>
      </c>
      <c r="M697" t="n">
        <v>0</v>
      </c>
      <c r="N697" t="n">
        <v>0</v>
      </c>
      <c r="O697" t="n">
        <v>0</v>
      </c>
      <c r="P697" t="n">
        <v>0</v>
      </c>
      <c r="Q697" t="n">
        <v>0</v>
      </c>
      <c r="R697" s="2" t="inlineStr"/>
    </row>
    <row r="698" ht="15" customHeight="1">
      <c r="A698" t="inlineStr">
        <is>
          <t>A 11537-2025</t>
        </is>
      </c>
      <c r="B698" s="1" t="n">
        <v>45726</v>
      </c>
      <c r="C698" s="1" t="n">
        <v>45732</v>
      </c>
      <c r="D698" t="inlineStr">
        <is>
          <t>NORRBOTTENS LÄN</t>
        </is>
      </c>
      <c r="E698" t="inlineStr">
        <is>
          <t>ARVIDSJAUR</t>
        </is>
      </c>
      <c r="F698" t="inlineStr">
        <is>
          <t>Allmännings- och besparingsskogar</t>
        </is>
      </c>
      <c r="G698" t="n">
        <v>9.1</v>
      </c>
      <c r="H698" t="n">
        <v>0</v>
      </c>
      <c r="I698" t="n">
        <v>0</v>
      </c>
      <c r="J698" t="n">
        <v>0</v>
      </c>
      <c r="K698" t="n">
        <v>0</v>
      </c>
      <c r="L698" t="n">
        <v>0</v>
      </c>
      <c r="M698" t="n">
        <v>0</v>
      </c>
      <c r="N698" t="n">
        <v>0</v>
      </c>
      <c r="O698" t="n">
        <v>0</v>
      </c>
      <c r="P698" t="n">
        <v>0</v>
      </c>
      <c r="Q698" t="n">
        <v>0</v>
      </c>
      <c r="R698" s="2" t="inlineStr"/>
    </row>
    <row r="699" ht="15" customHeight="1">
      <c r="A699" t="inlineStr">
        <is>
          <t>A 11571-2025</t>
        </is>
      </c>
      <c r="B699" s="1" t="n">
        <v>45726</v>
      </c>
      <c r="C699" s="1" t="n">
        <v>45732</v>
      </c>
      <c r="D699" t="inlineStr">
        <is>
          <t>NORRBOTTENS LÄN</t>
        </is>
      </c>
      <c r="E699" t="inlineStr">
        <is>
          <t>ARVIDSJAUR</t>
        </is>
      </c>
      <c r="F699" t="inlineStr">
        <is>
          <t>Allmännings- och besparingsskogar</t>
        </is>
      </c>
      <c r="G699" t="n">
        <v>1.3</v>
      </c>
      <c r="H699" t="n">
        <v>0</v>
      </c>
      <c r="I699" t="n">
        <v>0</v>
      </c>
      <c r="J699" t="n">
        <v>0</v>
      </c>
      <c r="K699" t="n">
        <v>0</v>
      </c>
      <c r="L699" t="n">
        <v>0</v>
      </c>
      <c r="M699" t="n">
        <v>0</v>
      </c>
      <c r="N699" t="n">
        <v>0</v>
      </c>
      <c r="O699" t="n">
        <v>0</v>
      </c>
      <c r="P699" t="n">
        <v>0</v>
      </c>
      <c r="Q699" t="n">
        <v>0</v>
      </c>
      <c r="R699" s="2" t="inlineStr"/>
    </row>
    <row r="700" ht="15" customHeight="1">
      <c r="A700" t="inlineStr">
        <is>
          <t>A 11615-2025</t>
        </is>
      </c>
      <c r="B700" s="1" t="n">
        <v>45726</v>
      </c>
      <c r="C700" s="1" t="n">
        <v>45732</v>
      </c>
      <c r="D700" t="inlineStr">
        <is>
          <t>NORRBOTTENS LÄN</t>
        </is>
      </c>
      <c r="E700" t="inlineStr">
        <is>
          <t>ARVIDSJAUR</t>
        </is>
      </c>
      <c r="F700" t="inlineStr">
        <is>
          <t>Allmännings- och besparingsskogar</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11574-2025</t>
        </is>
      </c>
      <c r="B701" s="1" t="n">
        <v>45726</v>
      </c>
      <c r="C701" s="1" t="n">
        <v>45732</v>
      </c>
      <c r="D701" t="inlineStr">
        <is>
          <t>NORRBOTTENS LÄN</t>
        </is>
      </c>
      <c r="E701" t="inlineStr">
        <is>
          <t>ARVIDSJAUR</t>
        </is>
      </c>
      <c r="F701" t="inlineStr">
        <is>
          <t>Allmännings- och besparingsskogar</t>
        </is>
      </c>
      <c r="G701" t="n">
        <v>3.6</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45732</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11741-2025</t>
        </is>
      </c>
      <c r="B703" s="1" t="n">
        <v>45727</v>
      </c>
      <c r="C703" s="1" t="n">
        <v>45732</v>
      </c>
      <c r="D703" t="inlineStr">
        <is>
          <t>NORRBOTTENS LÄN</t>
        </is>
      </c>
      <c r="E703" t="inlineStr">
        <is>
          <t>ARVIDSJAUR</t>
        </is>
      </c>
      <c r="F703" t="inlineStr">
        <is>
          <t>Sveaskog</t>
        </is>
      </c>
      <c r="G703" t="n">
        <v>4.4</v>
      </c>
      <c r="H703" t="n">
        <v>0</v>
      </c>
      <c r="I703" t="n">
        <v>0</v>
      </c>
      <c r="J703" t="n">
        <v>0</v>
      </c>
      <c r="K703" t="n">
        <v>0</v>
      </c>
      <c r="L703" t="n">
        <v>0</v>
      </c>
      <c r="M703" t="n">
        <v>0</v>
      </c>
      <c r="N703" t="n">
        <v>0</v>
      </c>
      <c r="O703" t="n">
        <v>0</v>
      </c>
      <c r="P703" t="n">
        <v>0</v>
      </c>
      <c r="Q703" t="n">
        <v>0</v>
      </c>
      <c r="R703" s="2" t="inlineStr"/>
    </row>
    <row r="704" ht="15" customHeight="1">
      <c r="A704" t="inlineStr">
        <is>
          <t>A 12023-2025</t>
        </is>
      </c>
      <c r="B704" s="1" t="n">
        <v>45728</v>
      </c>
      <c r="C704" s="1" t="n">
        <v>45732</v>
      </c>
      <c r="D704" t="inlineStr">
        <is>
          <t>NORRBOTTENS LÄN</t>
        </is>
      </c>
      <c r="E704" t="inlineStr">
        <is>
          <t>ARVIDSJAUR</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c r="A705" t="inlineStr">
        <is>
          <t>A 11998-2025</t>
        </is>
      </c>
      <c r="B705" s="1" t="n">
        <v>45728</v>
      </c>
      <c r="C705" s="1" t="n">
        <v>45732</v>
      </c>
      <c r="D705" t="inlineStr">
        <is>
          <t>NORRBOTTENS LÄN</t>
        </is>
      </c>
      <c r="E705" t="inlineStr">
        <is>
          <t>ARVIDSJAUR</t>
        </is>
      </c>
      <c r="F705" t="inlineStr">
        <is>
          <t>Allmännings- och besparingsskogar</t>
        </is>
      </c>
      <c r="G705" t="n">
        <v>1.6</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2025-03-16T17:05:58Z</dcterms:created>
  <dcterms:modified xmlns:dcterms="http://purl.org/dc/terms/" xmlns:xsi="http://www.w3.org/2001/XMLSchema-instance" xsi:type="dcterms:W3CDTF">2025-03-16T17:05:59Z</dcterms:modified>
</cp:coreProperties>
</file>