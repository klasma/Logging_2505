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45588</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45588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45588</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45588</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45588</v>
      </c>
      <c r="D11" t="inlineStr">
        <is>
          <t>NORRBOTTENS LÄN</t>
        </is>
      </c>
      <c r="E11" t="inlineStr">
        <is>
          <t>ARVIDSJAUR</t>
        </is>
      </c>
      <c r="F11" t="inlineStr">
        <is>
          <t>Sveaskog</t>
        </is>
      </c>
      <c r="G11" t="n">
        <v>6.3</v>
      </c>
      <c r="H11" t="n">
        <v>2</v>
      </c>
      <c r="I11" t="n">
        <v>3</v>
      </c>
      <c r="J11" t="n">
        <v>7</v>
      </c>
      <c r="K11" t="n">
        <v>4</v>
      </c>
      <c r="L11" t="n">
        <v>0</v>
      </c>
      <c r="M11" t="n">
        <v>0</v>
      </c>
      <c r="N11" t="n">
        <v>0</v>
      </c>
      <c r="O11" t="n">
        <v>11</v>
      </c>
      <c r="P11" t="n">
        <v>4</v>
      </c>
      <c r="Q11" t="n">
        <v>15</v>
      </c>
      <c r="R11" s="2" t="inlineStr">
        <is>
          <t>Fläckporing
Gräddporing
Smalfotad taggsvamp
Tajgataggsvamp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45588</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45588</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45588</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45588</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45588</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45588</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28793-2023</t>
        </is>
      </c>
      <c r="B18" s="1" t="n">
        <v>45104</v>
      </c>
      <c r="C18" s="1" t="n">
        <v>45588</v>
      </c>
      <c r="D18" t="inlineStr">
        <is>
          <t>NORRBOTTENS LÄN</t>
        </is>
      </c>
      <c r="E18" t="inlineStr">
        <is>
          <t>ARVIDSJAUR</t>
        </is>
      </c>
      <c r="F18" t="inlineStr">
        <is>
          <t>Övriga Aktiebolag</t>
        </is>
      </c>
      <c r="G18" t="n">
        <v>19</v>
      </c>
      <c r="H18" t="n">
        <v>1</v>
      </c>
      <c r="I18" t="n">
        <v>2</v>
      </c>
      <c r="J18" t="n">
        <v>8</v>
      </c>
      <c r="K18" t="n">
        <v>0</v>
      </c>
      <c r="L18" t="n">
        <v>0</v>
      </c>
      <c r="M18" t="n">
        <v>0</v>
      </c>
      <c r="N18" t="n">
        <v>0</v>
      </c>
      <c r="O18" t="n">
        <v>8</v>
      </c>
      <c r="P18" t="n">
        <v>0</v>
      </c>
      <c r="Q18" t="n">
        <v>10</v>
      </c>
      <c r="R18" s="2" t="inlineStr">
        <is>
          <t>Blå taggsvamp
Kolflarnlav
Motaggsvamp
Nordtagging
Orange taggsvamp
Skrovlig taggsvamp
Talltaggsvamp
Vedskivlav
Plattlummer
Skarp dropptaggsvamp</t>
        </is>
      </c>
      <c r="S18">
        <f>HYPERLINK("https://klasma.github.io/Logging_2505/artfynd/A 28793-2023 artfynd.xlsx", "A 28793-2023")</f>
        <v/>
      </c>
      <c r="T18">
        <f>HYPERLINK("https://klasma.github.io/Logging_2505/kartor/A 28793-2023 karta.png", "A 28793-2023")</f>
        <v/>
      </c>
      <c r="V18">
        <f>HYPERLINK("https://klasma.github.io/Logging_2505/klagomål/A 28793-2023 FSC-klagomål.docx", "A 28793-2023")</f>
        <v/>
      </c>
      <c r="W18">
        <f>HYPERLINK("https://klasma.github.io/Logging_2505/klagomålsmail/A 28793-2023 FSC-klagomål mail.docx", "A 28793-2023")</f>
        <v/>
      </c>
      <c r="X18">
        <f>HYPERLINK("https://klasma.github.io/Logging_2505/tillsyn/A 28793-2023 tillsynsbegäran.docx", "A 28793-2023")</f>
        <v/>
      </c>
      <c r="Y18">
        <f>HYPERLINK("https://klasma.github.io/Logging_2505/tillsynsmail/A 28793-2023 tillsynsbegäran mail.docx", "A 28793-2023")</f>
        <v/>
      </c>
    </row>
    <row r="19" ht="15" customHeight="1">
      <c r="A19" t="inlineStr">
        <is>
          <t>A 35247-2022</t>
        </is>
      </c>
      <c r="B19" s="1" t="n">
        <v>44797</v>
      </c>
      <c r="C19" s="1" t="n">
        <v>45588</v>
      </c>
      <c r="D19" t="inlineStr">
        <is>
          <t>NORRBOTTENS LÄN</t>
        </is>
      </c>
      <c r="E19" t="inlineStr">
        <is>
          <t>ARVIDSJAUR</t>
        </is>
      </c>
      <c r="G19" t="n">
        <v>27.6</v>
      </c>
      <c r="H19" t="n">
        <v>0</v>
      </c>
      <c r="I19" t="n">
        <v>1</v>
      </c>
      <c r="J19" t="n">
        <v>7</v>
      </c>
      <c r="K19" t="n">
        <v>1</v>
      </c>
      <c r="L19" t="n">
        <v>0</v>
      </c>
      <c r="M19" t="n">
        <v>0</v>
      </c>
      <c r="N19" t="n">
        <v>0</v>
      </c>
      <c r="O19" t="n">
        <v>8</v>
      </c>
      <c r="P19" t="n">
        <v>1</v>
      </c>
      <c r="Q19" t="n">
        <v>9</v>
      </c>
      <c r="R19" s="2" t="inlineStr">
        <is>
          <t>Rynkskinn
Gammelgransskål
Garnlav
Granticka
Gränsticka
Lunglav
Rosenticka
Ullticka
Trådticka</t>
        </is>
      </c>
      <c r="S19">
        <f>HYPERLINK("https://klasma.github.io/Logging_2505/artfynd/A 35247-2022 artfynd.xlsx", "A 35247-2022")</f>
        <v/>
      </c>
      <c r="T19">
        <f>HYPERLINK("https://klasma.github.io/Logging_2505/kartor/A 35247-2022 karta.png", "A 35247-2022")</f>
        <v/>
      </c>
      <c r="V19">
        <f>HYPERLINK("https://klasma.github.io/Logging_2505/klagomål/A 35247-2022 FSC-klagomål.docx", "A 35247-2022")</f>
        <v/>
      </c>
      <c r="W19">
        <f>HYPERLINK("https://klasma.github.io/Logging_2505/klagomålsmail/A 35247-2022 FSC-klagomål mail.docx", "A 35247-2022")</f>
        <v/>
      </c>
      <c r="X19">
        <f>HYPERLINK("https://klasma.github.io/Logging_2505/tillsyn/A 35247-2022 tillsynsbegäran.docx", "A 35247-2022")</f>
        <v/>
      </c>
      <c r="Y19">
        <f>HYPERLINK("https://klasma.github.io/Logging_2505/tillsynsmail/A 35247-2022 tillsynsbegäran mail.docx", "A 35247-2022")</f>
        <v/>
      </c>
    </row>
    <row r="20" ht="15" customHeight="1">
      <c r="A20" t="inlineStr">
        <is>
          <t>A 36135-2023</t>
        </is>
      </c>
      <c r="B20" s="1" t="n">
        <v>45149</v>
      </c>
      <c r="C20" s="1" t="n">
        <v>45588</v>
      </c>
      <c r="D20" t="inlineStr">
        <is>
          <t>NORRBOTTENS LÄN</t>
        </is>
      </c>
      <c r="E20" t="inlineStr">
        <is>
          <t>ARVIDSJAUR</t>
        </is>
      </c>
      <c r="F20" t="inlineStr">
        <is>
          <t>Sveaskog</t>
        </is>
      </c>
      <c r="G20" t="n">
        <v>11.4</v>
      </c>
      <c r="H20" t="n">
        <v>0</v>
      </c>
      <c r="I20" t="n">
        <v>2</v>
      </c>
      <c r="J20" t="n">
        <v>6</v>
      </c>
      <c r="K20" t="n">
        <v>1</v>
      </c>
      <c r="L20" t="n">
        <v>0</v>
      </c>
      <c r="M20" t="n">
        <v>0</v>
      </c>
      <c r="N20" t="n">
        <v>0</v>
      </c>
      <c r="O20" t="n">
        <v>7</v>
      </c>
      <c r="P20" t="n">
        <v>1</v>
      </c>
      <c r="Q20" t="n">
        <v>9</v>
      </c>
      <c r="R20" s="2" t="inlineStr">
        <is>
          <t>Smalfotad taggsvamp
Blå taggsvamp
Kolflarnlav
Motaggsvamp
Svartvit taggsvamp
Vaddporing
Vitplätt
Gullgröppa
Skarp dropptaggsvamp</t>
        </is>
      </c>
      <c r="S20">
        <f>HYPERLINK("https://klasma.github.io/Logging_2505/artfynd/A 36135-2023 artfynd.xlsx", "A 36135-2023")</f>
        <v/>
      </c>
      <c r="T20">
        <f>HYPERLINK("https://klasma.github.io/Logging_2505/kartor/A 36135-2023 karta.png", "A 36135-2023")</f>
        <v/>
      </c>
      <c r="V20">
        <f>HYPERLINK("https://klasma.github.io/Logging_2505/klagomål/A 36135-2023 FSC-klagomål.docx", "A 36135-2023")</f>
        <v/>
      </c>
      <c r="W20">
        <f>HYPERLINK("https://klasma.github.io/Logging_2505/klagomålsmail/A 36135-2023 FSC-klagomål mail.docx", "A 36135-2023")</f>
        <v/>
      </c>
      <c r="X20">
        <f>HYPERLINK("https://klasma.github.io/Logging_2505/tillsyn/A 36135-2023 tillsynsbegäran.docx", "A 36135-2023")</f>
        <v/>
      </c>
      <c r="Y20">
        <f>HYPERLINK("https://klasma.github.io/Logging_2505/tillsynsmail/A 36135-2023 tillsynsbegäran mail.docx", "A 36135-2023")</f>
        <v/>
      </c>
    </row>
    <row r="21" ht="15" customHeight="1">
      <c r="A21" t="inlineStr">
        <is>
          <t>A 53150-2022</t>
        </is>
      </c>
      <c r="B21" s="1" t="n">
        <v>44876</v>
      </c>
      <c r="C21" s="1" t="n">
        <v>45588</v>
      </c>
      <c r="D21" t="inlineStr">
        <is>
          <t>NORRBOTTENS LÄN</t>
        </is>
      </c>
      <c r="E21" t="inlineStr">
        <is>
          <t>ARVIDSJAUR</t>
        </is>
      </c>
      <c r="F21" t="inlineStr">
        <is>
          <t>Sveaskog</t>
        </is>
      </c>
      <c r="G21" t="n">
        <v>2.5</v>
      </c>
      <c r="H21" t="n">
        <v>1</v>
      </c>
      <c r="I21" t="n">
        <v>1</v>
      </c>
      <c r="J21" t="n">
        <v>3</v>
      </c>
      <c r="K21" t="n">
        <v>3</v>
      </c>
      <c r="L21" t="n">
        <v>0</v>
      </c>
      <c r="M21" t="n">
        <v>0</v>
      </c>
      <c r="N21" t="n">
        <v>0</v>
      </c>
      <c r="O21" t="n">
        <v>6</v>
      </c>
      <c r="P21" t="n">
        <v>3</v>
      </c>
      <c r="Q21" t="n">
        <v>8</v>
      </c>
      <c r="R21" s="2" t="inlineStr">
        <is>
          <t>Smalfotad taggsvamp
Spadskinn
Tajgataggsvamp
Garnlav
Gränsticka
Vedskivlav
Nästlav
Revlummer</t>
        </is>
      </c>
      <c r="S21">
        <f>HYPERLINK("https://klasma.github.io/Logging_2505/artfynd/A 53150-2022 artfynd.xlsx", "A 53150-2022")</f>
        <v/>
      </c>
      <c r="T21">
        <f>HYPERLINK("https://klasma.github.io/Logging_2505/kartor/A 53150-2022 karta.png", "A 53150-2022")</f>
        <v/>
      </c>
      <c r="V21">
        <f>HYPERLINK("https://klasma.github.io/Logging_2505/klagomål/A 53150-2022 FSC-klagomål.docx", "A 53150-2022")</f>
        <v/>
      </c>
      <c r="W21">
        <f>HYPERLINK("https://klasma.github.io/Logging_2505/klagomålsmail/A 53150-2022 FSC-klagomål mail.docx", "A 53150-2022")</f>
        <v/>
      </c>
      <c r="X21">
        <f>HYPERLINK("https://klasma.github.io/Logging_2505/tillsyn/A 53150-2022 tillsynsbegäran.docx", "A 53150-2022")</f>
        <v/>
      </c>
      <c r="Y21">
        <f>HYPERLINK("https://klasma.github.io/Logging_2505/tillsynsmail/A 53150-2022 tillsynsbegäran mail.docx", "A 53150-2022")</f>
        <v/>
      </c>
    </row>
    <row r="22" ht="15" customHeight="1">
      <c r="A22" t="inlineStr">
        <is>
          <t>A 25530-2024</t>
        </is>
      </c>
      <c r="B22" s="1" t="n">
        <v>45463</v>
      </c>
      <c r="C22" s="1" t="n">
        <v>45588</v>
      </c>
      <c r="D22" t="inlineStr">
        <is>
          <t>NORRBOTTENS LÄN</t>
        </is>
      </c>
      <c r="E22" t="inlineStr">
        <is>
          <t>ARVIDSJAUR</t>
        </is>
      </c>
      <c r="F22" t="inlineStr">
        <is>
          <t>Sveaskog</t>
        </is>
      </c>
      <c r="G22" t="n">
        <v>6.1</v>
      </c>
      <c r="H22" t="n">
        <v>1</v>
      </c>
      <c r="I22" t="n">
        <v>1</v>
      </c>
      <c r="J22" t="n">
        <v>7</v>
      </c>
      <c r="K22" t="n">
        <v>0</v>
      </c>
      <c r="L22" t="n">
        <v>0</v>
      </c>
      <c r="M22" t="n">
        <v>0</v>
      </c>
      <c r="N22" t="n">
        <v>0</v>
      </c>
      <c r="O22" t="n">
        <v>7</v>
      </c>
      <c r="P22" t="n">
        <v>0</v>
      </c>
      <c r="Q22" t="n">
        <v>8</v>
      </c>
      <c r="R22" s="2" t="inlineStr">
        <is>
          <t>Blågrå svartspik
Dvärgbägarlav
Garnlav
Kolflarnlav
Vedflamlav
Vedtrappmossa
Vitgrynig nållav
Plattlummer</t>
        </is>
      </c>
      <c r="S22">
        <f>HYPERLINK("https://klasma.github.io/Logging_2505/artfynd/A 25530-2024 artfynd.xlsx", "A 25530-2024")</f>
        <v/>
      </c>
      <c r="T22">
        <f>HYPERLINK("https://klasma.github.io/Logging_2505/kartor/A 25530-2024 karta.png", "A 25530-2024")</f>
        <v/>
      </c>
      <c r="V22">
        <f>HYPERLINK("https://klasma.github.io/Logging_2505/klagomål/A 25530-2024 FSC-klagomål.docx", "A 25530-2024")</f>
        <v/>
      </c>
      <c r="W22">
        <f>HYPERLINK("https://klasma.github.io/Logging_2505/klagomålsmail/A 25530-2024 FSC-klagomål mail.docx", "A 25530-2024")</f>
        <v/>
      </c>
      <c r="X22">
        <f>HYPERLINK("https://klasma.github.io/Logging_2505/tillsyn/A 25530-2024 tillsynsbegäran.docx", "A 25530-2024")</f>
        <v/>
      </c>
      <c r="Y22">
        <f>HYPERLINK("https://klasma.github.io/Logging_2505/tillsynsmail/A 25530-2024 tillsynsbegäran mail.docx", "A 25530-2024")</f>
        <v/>
      </c>
    </row>
    <row r="23" ht="15" customHeight="1">
      <c r="A23" t="inlineStr">
        <is>
          <t>A 29315-2023</t>
        </is>
      </c>
      <c r="B23" s="1" t="n">
        <v>45105</v>
      </c>
      <c r="C23" s="1" t="n">
        <v>45588</v>
      </c>
      <c r="D23" t="inlineStr">
        <is>
          <t>NORRBOTTENS LÄN</t>
        </is>
      </c>
      <c r="E23" t="inlineStr">
        <is>
          <t>ARVIDSJAUR</t>
        </is>
      </c>
      <c r="G23" t="n">
        <v>9.800000000000001</v>
      </c>
      <c r="H23" t="n">
        <v>2</v>
      </c>
      <c r="I23" t="n">
        <v>0</v>
      </c>
      <c r="J23" t="n">
        <v>7</v>
      </c>
      <c r="K23" t="n">
        <v>0</v>
      </c>
      <c r="L23" t="n">
        <v>0</v>
      </c>
      <c r="M23" t="n">
        <v>0</v>
      </c>
      <c r="N23" t="n">
        <v>0</v>
      </c>
      <c r="O23" t="n">
        <v>7</v>
      </c>
      <c r="P23" t="n">
        <v>0</v>
      </c>
      <c r="Q23" t="n">
        <v>7</v>
      </c>
      <c r="R23" s="2" t="inlineStr">
        <is>
          <t>Gammelgransskål
Garnlav
Granticka
Harticka
Spillkråka
Tretåig hackspett
Ullticka</t>
        </is>
      </c>
      <c r="S23">
        <f>HYPERLINK("https://klasma.github.io/Logging_2505/artfynd/A 29315-2023 artfynd.xlsx", "A 29315-2023")</f>
        <v/>
      </c>
      <c r="T23">
        <f>HYPERLINK("https://klasma.github.io/Logging_2505/kartor/A 29315-2023 karta.png", "A 29315-2023")</f>
        <v/>
      </c>
      <c r="V23">
        <f>HYPERLINK("https://klasma.github.io/Logging_2505/klagomål/A 29315-2023 FSC-klagomål.docx", "A 29315-2023")</f>
        <v/>
      </c>
      <c r="W23">
        <f>HYPERLINK("https://klasma.github.io/Logging_2505/klagomålsmail/A 29315-2023 FSC-klagomål mail.docx", "A 29315-2023")</f>
        <v/>
      </c>
      <c r="X23">
        <f>HYPERLINK("https://klasma.github.io/Logging_2505/tillsyn/A 29315-2023 tillsynsbegäran.docx", "A 29315-2023")</f>
        <v/>
      </c>
      <c r="Y23">
        <f>HYPERLINK("https://klasma.github.io/Logging_2505/tillsynsmail/A 29315-2023 tillsynsbegäran mail.docx", "A 29315-2023")</f>
        <v/>
      </c>
      <c r="Z23">
        <f>HYPERLINK("https://klasma.github.io/Logging_2505/fåglar/A 29315-2023 prioriterade fågelarter.docx", "A 29315-2023")</f>
        <v/>
      </c>
    </row>
    <row r="24" ht="15" customHeight="1">
      <c r="A24" t="inlineStr">
        <is>
          <t>A 37507-2024</t>
        </is>
      </c>
      <c r="B24" s="1" t="n">
        <v>45541</v>
      </c>
      <c r="C24" s="1" t="n">
        <v>45588</v>
      </c>
      <c r="D24" t="inlineStr">
        <is>
          <t>NORRBOTTENS LÄN</t>
        </is>
      </c>
      <c r="E24" t="inlineStr">
        <is>
          <t>ARVIDSJAUR</t>
        </is>
      </c>
      <c r="F24" t="inlineStr">
        <is>
          <t>Sveaskog</t>
        </is>
      </c>
      <c r="G24" t="n">
        <v>17.5</v>
      </c>
      <c r="H24" t="n">
        <v>0</v>
      </c>
      <c r="I24" t="n">
        <v>1</v>
      </c>
      <c r="J24" t="n">
        <v>5</v>
      </c>
      <c r="K24" t="n">
        <v>1</v>
      </c>
      <c r="L24" t="n">
        <v>0</v>
      </c>
      <c r="M24" t="n">
        <v>0</v>
      </c>
      <c r="N24" t="n">
        <v>0</v>
      </c>
      <c r="O24" t="n">
        <v>6</v>
      </c>
      <c r="P24" t="n">
        <v>1</v>
      </c>
      <c r="Q24" t="n">
        <v>7</v>
      </c>
      <c r="R24" s="2" t="inlineStr">
        <is>
          <t>Goliatmusseron
Gammelgransskål
Kolflarnlav
Mörk kolflarnlav
Skrovlig taggsvamp
Svart taggsvamp
Dropptaggsvamp</t>
        </is>
      </c>
      <c r="S24">
        <f>HYPERLINK("https://klasma.github.io/Logging_2505/artfynd/A 37507-2024 artfynd.xlsx", "A 37507-2024")</f>
        <v/>
      </c>
      <c r="T24">
        <f>HYPERLINK("https://klasma.github.io/Logging_2505/kartor/A 37507-2024 karta.png", "A 37507-2024")</f>
        <v/>
      </c>
      <c r="V24">
        <f>HYPERLINK("https://klasma.github.io/Logging_2505/klagomål/A 37507-2024 FSC-klagomål.docx", "A 37507-2024")</f>
        <v/>
      </c>
      <c r="W24">
        <f>HYPERLINK("https://klasma.github.io/Logging_2505/klagomålsmail/A 37507-2024 FSC-klagomål mail.docx", "A 37507-2024")</f>
        <v/>
      </c>
      <c r="X24">
        <f>HYPERLINK("https://klasma.github.io/Logging_2505/tillsyn/A 37507-2024 tillsynsbegäran.docx", "A 37507-2024")</f>
        <v/>
      </c>
      <c r="Y24">
        <f>HYPERLINK("https://klasma.github.io/Logging_2505/tillsynsmail/A 37507-2024 tillsynsbegäran mail.docx", "A 37507-2024")</f>
        <v/>
      </c>
    </row>
    <row r="25" ht="15" customHeight="1">
      <c r="A25" t="inlineStr">
        <is>
          <t>A 27740-2022</t>
        </is>
      </c>
      <c r="B25" s="1" t="n">
        <v>44743</v>
      </c>
      <c r="C25" s="1" t="n">
        <v>45588</v>
      </c>
      <c r="D25" t="inlineStr">
        <is>
          <t>NORRBOTTENS LÄN</t>
        </is>
      </c>
      <c r="E25" t="inlineStr">
        <is>
          <t>ARVIDSJAUR</t>
        </is>
      </c>
      <c r="F25" t="inlineStr">
        <is>
          <t>Sveaskog</t>
        </is>
      </c>
      <c r="G25" t="n">
        <v>17.1</v>
      </c>
      <c r="H25" t="n">
        <v>0</v>
      </c>
      <c r="I25" t="n">
        <v>0</v>
      </c>
      <c r="J25" t="n">
        <v>3</v>
      </c>
      <c r="K25" t="n">
        <v>3</v>
      </c>
      <c r="L25" t="n">
        <v>0</v>
      </c>
      <c r="M25" t="n">
        <v>0</v>
      </c>
      <c r="N25" t="n">
        <v>0</v>
      </c>
      <c r="O25" t="n">
        <v>6</v>
      </c>
      <c r="P25" t="n">
        <v>3</v>
      </c>
      <c r="Q25" t="n">
        <v>6</v>
      </c>
      <c r="R25" s="2" t="inlineStr">
        <is>
          <t>Fläckporing
Spadskinn
Tajgataggsvamp
Skrovlig taggsvamp
Talltaggsvamp
Vaddporing</t>
        </is>
      </c>
      <c r="S25">
        <f>HYPERLINK("https://klasma.github.io/Logging_2505/artfynd/A 27740-2022 artfynd.xlsx", "A 27740-2022")</f>
        <v/>
      </c>
      <c r="T25">
        <f>HYPERLINK("https://klasma.github.io/Logging_2505/kartor/A 27740-2022 karta.png", "A 27740-2022")</f>
        <v/>
      </c>
      <c r="V25">
        <f>HYPERLINK("https://klasma.github.io/Logging_2505/klagomål/A 27740-2022 FSC-klagomål.docx", "A 27740-2022")</f>
        <v/>
      </c>
      <c r="W25">
        <f>HYPERLINK("https://klasma.github.io/Logging_2505/klagomålsmail/A 27740-2022 FSC-klagomål mail.docx", "A 27740-2022")</f>
        <v/>
      </c>
      <c r="X25">
        <f>HYPERLINK("https://klasma.github.io/Logging_2505/tillsyn/A 27740-2022 tillsynsbegäran.docx", "A 27740-2022")</f>
        <v/>
      </c>
      <c r="Y25">
        <f>HYPERLINK("https://klasma.github.io/Logging_2505/tillsynsmail/A 27740-2022 tillsynsbegäran mail.docx", "A 27740-2022")</f>
        <v/>
      </c>
    </row>
    <row r="26" ht="15" customHeight="1">
      <c r="A26" t="inlineStr">
        <is>
          <t>A 51132-2022</t>
        </is>
      </c>
      <c r="B26" s="1" t="n">
        <v>44868</v>
      </c>
      <c r="C26" s="1" t="n">
        <v>45588</v>
      </c>
      <c r="D26" t="inlineStr">
        <is>
          <t>NORRBOTTENS LÄN</t>
        </is>
      </c>
      <c r="E26" t="inlineStr">
        <is>
          <t>ARVIDSJAUR</t>
        </is>
      </c>
      <c r="F26" t="inlineStr">
        <is>
          <t>Sveaskog</t>
        </is>
      </c>
      <c r="G26" t="n">
        <v>13.7</v>
      </c>
      <c r="H26" t="n">
        <v>0</v>
      </c>
      <c r="I26" t="n">
        <v>2</v>
      </c>
      <c r="J26" t="n">
        <v>3</v>
      </c>
      <c r="K26" t="n">
        <v>1</v>
      </c>
      <c r="L26" t="n">
        <v>0</v>
      </c>
      <c r="M26" t="n">
        <v>0</v>
      </c>
      <c r="N26" t="n">
        <v>0</v>
      </c>
      <c r="O26" t="n">
        <v>4</v>
      </c>
      <c r="P26" t="n">
        <v>1</v>
      </c>
      <c r="Q26" t="n">
        <v>6</v>
      </c>
      <c r="R26" s="2" t="inlineStr">
        <is>
          <t>Gräddporing
Knottrig blåslav
Kolflarnlav
Nordtagging
Dropptaggsvamp
Vedticka</t>
        </is>
      </c>
      <c r="S26">
        <f>HYPERLINK("https://klasma.github.io/Logging_2505/artfynd/A 51132-2022 artfynd.xlsx", "A 51132-2022")</f>
        <v/>
      </c>
      <c r="T26">
        <f>HYPERLINK("https://klasma.github.io/Logging_2505/kartor/A 51132-2022 karta.png", "A 51132-2022")</f>
        <v/>
      </c>
      <c r="V26">
        <f>HYPERLINK("https://klasma.github.io/Logging_2505/klagomål/A 51132-2022 FSC-klagomål.docx", "A 51132-2022")</f>
        <v/>
      </c>
      <c r="W26">
        <f>HYPERLINK("https://klasma.github.io/Logging_2505/klagomålsmail/A 51132-2022 FSC-klagomål mail.docx", "A 51132-2022")</f>
        <v/>
      </c>
      <c r="X26">
        <f>HYPERLINK("https://klasma.github.io/Logging_2505/tillsyn/A 51132-2022 tillsynsbegäran.docx", "A 51132-2022")</f>
        <v/>
      </c>
      <c r="Y26">
        <f>HYPERLINK("https://klasma.github.io/Logging_2505/tillsynsmail/A 51132-2022 tillsynsbegäran mail.docx", "A 51132-2022")</f>
        <v/>
      </c>
    </row>
    <row r="27" ht="15" customHeight="1">
      <c r="A27" t="inlineStr">
        <is>
          <t>A 31593-2020</t>
        </is>
      </c>
      <c r="B27" s="1" t="n">
        <v>44013</v>
      </c>
      <c r="C27" s="1" t="n">
        <v>45588</v>
      </c>
      <c r="D27" t="inlineStr">
        <is>
          <t>NORRBOTTENS LÄN</t>
        </is>
      </c>
      <c r="E27" t="inlineStr">
        <is>
          <t>ARVIDSJAUR</t>
        </is>
      </c>
      <c r="F27" t="inlineStr">
        <is>
          <t>Sveaskog</t>
        </is>
      </c>
      <c r="G27" t="n">
        <v>4.3</v>
      </c>
      <c r="H27" t="n">
        <v>1</v>
      </c>
      <c r="I27" t="n">
        <v>0</v>
      </c>
      <c r="J27" t="n">
        <v>5</v>
      </c>
      <c r="K27" t="n">
        <v>0</v>
      </c>
      <c r="L27" t="n">
        <v>0</v>
      </c>
      <c r="M27" t="n">
        <v>0</v>
      </c>
      <c r="N27" t="n">
        <v>0</v>
      </c>
      <c r="O27" t="n">
        <v>5</v>
      </c>
      <c r="P27" t="n">
        <v>0</v>
      </c>
      <c r="Q27" t="n">
        <v>5</v>
      </c>
      <c r="R27" s="2" t="inlineStr">
        <is>
          <t>Dvärgbägarlav
Gammelgransskål
Garnlav
Granticka
Järpe</t>
        </is>
      </c>
      <c r="S27">
        <f>HYPERLINK("https://klasma.github.io/Logging_2505/artfynd/A 31593-2020 artfynd.xlsx", "A 31593-2020")</f>
        <v/>
      </c>
      <c r="T27">
        <f>HYPERLINK("https://klasma.github.io/Logging_2505/kartor/A 31593-2020 karta.png", "A 31593-2020")</f>
        <v/>
      </c>
      <c r="V27">
        <f>HYPERLINK("https://klasma.github.io/Logging_2505/klagomål/A 31593-2020 FSC-klagomål.docx", "A 31593-2020")</f>
        <v/>
      </c>
      <c r="W27">
        <f>HYPERLINK("https://klasma.github.io/Logging_2505/klagomålsmail/A 31593-2020 FSC-klagomål mail.docx", "A 31593-2020")</f>
        <v/>
      </c>
      <c r="X27">
        <f>HYPERLINK("https://klasma.github.io/Logging_2505/tillsyn/A 31593-2020 tillsynsbegäran.docx", "A 31593-2020")</f>
        <v/>
      </c>
      <c r="Y27">
        <f>HYPERLINK("https://klasma.github.io/Logging_2505/tillsynsmail/A 31593-2020 tillsynsbegäran mail.docx", "A 31593-2020")</f>
        <v/>
      </c>
      <c r="Z27">
        <f>HYPERLINK("https://klasma.github.io/Logging_2505/fåglar/A 31593-2020 prioriterade fågelarter.docx", "A 31593-2020")</f>
        <v/>
      </c>
    </row>
    <row r="28" ht="15" customHeight="1">
      <c r="A28" t="inlineStr">
        <is>
          <t>A 48650-2021</t>
        </is>
      </c>
      <c r="B28" s="1" t="n">
        <v>44452</v>
      </c>
      <c r="C28" s="1" t="n">
        <v>45588</v>
      </c>
      <c r="D28" t="inlineStr">
        <is>
          <t>NORRBOTTENS LÄN</t>
        </is>
      </c>
      <c r="E28" t="inlineStr">
        <is>
          <t>ARVIDSJAUR</t>
        </is>
      </c>
      <c r="G28" t="n">
        <v>18.2</v>
      </c>
      <c r="H28" t="n">
        <v>0</v>
      </c>
      <c r="I28" t="n">
        <v>2</v>
      </c>
      <c r="J28" t="n">
        <v>3</v>
      </c>
      <c r="K28" t="n">
        <v>0</v>
      </c>
      <c r="L28" t="n">
        <v>0</v>
      </c>
      <c r="M28" t="n">
        <v>0</v>
      </c>
      <c r="N28" t="n">
        <v>0</v>
      </c>
      <c r="O28" t="n">
        <v>3</v>
      </c>
      <c r="P28" t="n">
        <v>0</v>
      </c>
      <c r="Q28" t="n">
        <v>5</v>
      </c>
      <c r="R28" s="2" t="inlineStr">
        <is>
          <t>Lunglav
Rosenticka
Ullticka
Luddlav
Skinnlav</t>
        </is>
      </c>
      <c r="S28">
        <f>HYPERLINK("https://klasma.github.io/Logging_2505/artfynd/A 48650-2021 artfynd.xlsx", "A 48650-2021")</f>
        <v/>
      </c>
      <c r="T28">
        <f>HYPERLINK("https://klasma.github.io/Logging_2505/kartor/A 48650-2021 karta.png", "A 48650-2021")</f>
        <v/>
      </c>
      <c r="V28">
        <f>HYPERLINK("https://klasma.github.io/Logging_2505/klagomål/A 48650-2021 FSC-klagomål.docx", "A 48650-2021")</f>
        <v/>
      </c>
      <c r="W28">
        <f>HYPERLINK("https://klasma.github.io/Logging_2505/klagomålsmail/A 48650-2021 FSC-klagomål mail.docx", "A 48650-2021")</f>
        <v/>
      </c>
      <c r="X28">
        <f>HYPERLINK("https://klasma.github.io/Logging_2505/tillsyn/A 48650-2021 tillsynsbegäran.docx", "A 48650-2021")</f>
        <v/>
      </c>
      <c r="Y28">
        <f>HYPERLINK("https://klasma.github.io/Logging_2505/tillsynsmail/A 48650-2021 tillsynsbegäran mail.docx", "A 48650-2021")</f>
        <v/>
      </c>
    </row>
    <row r="29" ht="15" customHeight="1">
      <c r="A29" t="inlineStr">
        <is>
          <t>A 39293-2022</t>
        </is>
      </c>
      <c r="B29" s="1" t="n">
        <v>44817</v>
      </c>
      <c r="C29" s="1" t="n">
        <v>45588</v>
      </c>
      <c r="D29" t="inlineStr">
        <is>
          <t>NORRBOTTENS LÄN</t>
        </is>
      </c>
      <c r="E29" t="inlineStr">
        <is>
          <t>ARVIDSJAUR</t>
        </is>
      </c>
      <c r="G29" t="n">
        <v>8.6</v>
      </c>
      <c r="H29" t="n">
        <v>1</v>
      </c>
      <c r="I29" t="n">
        <v>1</v>
      </c>
      <c r="J29" t="n">
        <v>4</v>
      </c>
      <c r="K29" t="n">
        <v>0</v>
      </c>
      <c r="L29" t="n">
        <v>0</v>
      </c>
      <c r="M29" t="n">
        <v>0</v>
      </c>
      <c r="N29" t="n">
        <v>0</v>
      </c>
      <c r="O29" t="n">
        <v>4</v>
      </c>
      <c r="P29" t="n">
        <v>0</v>
      </c>
      <c r="Q29" t="n">
        <v>5</v>
      </c>
      <c r="R29" s="2" t="inlineStr">
        <is>
          <t>Gammelgransskål
Garnlav
Stjärntagging
Ullticka
Korallrot</t>
        </is>
      </c>
      <c r="S29">
        <f>HYPERLINK("https://klasma.github.io/Logging_2505/artfynd/A 39293-2022 artfynd.xlsx", "A 39293-2022")</f>
        <v/>
      </c>
      <c r="T29">
        <f>HYPERLINK("https://klasma.github.io/Logging_2505/kartor/A 39293-2022 karta.png", "A 39293-2022")</f>
        <v/>
      </c>
      <c r="V29">
        <f>HYPERLINK("https://klasma.github.io/Logging_2505/klagomål/A 39293-2022 FSC-klagomål.docx", "A 39293-2022")</f>
        <v/>
      </c>
      <c r="W29">
        <f>HYPERLINK("https://klasma.github.io/Logging_2505/klagomålsmail/A 39293-2022 FSC-klagomål mail.docx", "A 39293-2022")</f>
        <v/>
      </c>
      <c r="X29">
        <f>HYPERLINK("https://klasma.github.io/Logging_2505/tillsyn/A 39293-2022 tillsynsbegäran.docx", "A 39293-2022")</f>
        <v/>
      </c>
      <c r="Y29">
        <f>HYPERLINK("https://klasma.github.io/Logging_2505/tillsynsmail/A 39293-2022 tillsynsbegäran mail.docx", "A 39293-2022")</f>
        <v/>
      </c>
    </row>
    <row r="30" ht="15" customHeight="1">
      <c r="A30" t="inlineStr">
        <is>
          <t>A 39288-2022</t>
        </is>
      </c>
      <c r="B30" s="1" t="n">
        <v>44817</v>
      </c>
      <c r="C30" s="1" t="n">
        <v>45588</v>
      </c>
      <c r="D30" t="inlineStr">
        <is>
          <t>NORRBOTTENS LÄN</t>
        </is>
      </c>
      <c r="E30" t="inlineStr">
        <is>
          <t>ARVIDSJAUR</t>
        </is>
      </c>
      <c r="G30" t="n">
        <v>2</v>
      </c>
      <c r="H30" t="n">
        <v>1</v>
      </c>
      <c r="I30" t="n">
        <v>0</v>
      </c>
      <c r="J30" t="n">
        <v>4</v>
      </c>
      <c r="K30" t="n">
        <v>0</v>
      </c>
      <c r="L30" t="n">
        <v>0</v>
      </c>
      <c r="M30" t="n">
        <v>0</v>
      </c>
      <c r="N30" t="n">
        <v>0</v>
      </c>
      <c r="O30" t="n">
        <v>4</v>
      </c>
      <c r="P30" t="n">
        <v>0</v>
      </c>
      <c r="Q30" t="n">
        <v>4</v>
      </c>
      <c r="R30" s="2" t="inlineStr">
        <is>
          <t>Gammelgransskål
Garnlav
Granticka
Tretåig hackspett</t>
        </is>
      </c>
      <c r="S30">
        <f>HYPERLINK("https://klasma.github.io/Logging_2505/artfynd/A 39288-2022 artfynd.xlsx", "A 39288-2022")</f>
        <v/>
      </c>
      <c r="T30">
        <f>HYPERLINK("https://klasma.github.io/Logging_2505/kartor/A 39288-2022 karta.png", "A 39288-2022")</f>
        <v/>
      </c>
      <c r="V30">
        <f>HYPERLINK("https://klasma.github.io/Logging_2505/klagomål/A 39288-2022 FSC-klagomål.docx", "A 39288-2022")</f>
        <v/>
      </c>
      <c r="W30">
        <f>HYPERLINK("https://klasma.github.io/Logging_2505/klagomålsmail/A 39288-2022 FSC-klagomål mail.docx", "A 39288-2022")</f>
        <v/>
      </c>
      <c r="X30">
        <f>HYPERLINK("https://klasma.github.io/Logging_2505/tillsyn/A 39288-2022 tillsynsbegäran.docx", "A 39288-2022")</f>
        <v/>
      </c>
      <c r="Y30">
        <f>HYPERLINK("https://klasma.github.io/Logging_2505/tillsynsmail/A 39288-2022 tillsynsbegäran mail.docx", "A 39288-2022")</f>
        <v/>
      </c>
      <c r="Z30">
        <f>HYPERLINK("https://klasma.github.io/Logging_2505/fåglar/A 39288-2022 prioriterade fågelarter.docx", "A 39288-2022")</f>
        <v/>
      </c>
    </row>
    <row r="31" ht="15" customHeight="1">
      <c r="A31" t="inlineStr">
        <is>
          <t>A 33453-2022</t>
        </is>
      </c>
      <c r="B31" s="1" t="n">
        <v>44788</v>
      </c>
      <c r="C31" s="1" t="n">
        <v>45588</v>
      </c>
      <c r="D31" t="inlineStr">
        <is>
          <t>NORRBOTTENS LÄN</t>
        </is>
      </c>
      <c r="E31" t="inlineStr">
        <is>
          <t>ARVIDSJAUR</t>
        </is>
      </c>
      <c r="F31" t="inlineStr">
        <is>
          <t>Allmännings- och besparingsskogar</t>
        </is>
      </c>
      <c r="G31" t="n">
        <v>18</v>
      </c>
      <c r="H31" t="n">
        <v>0</v>
      </c>
      <c r="I31" t="n">
        <v>0</v>
      </c>
      <c r="J31" t="n">
        <v>2</v>
      </c>
      <c r="K31" t="n">
        <v>1</v>
      </c>
      <c r="L31" t="n">
        <v>0</v>
      </c>
      <c r="M31" t="n">
        <v>0</v>
      </c>
      <c r="N31" t="n">
        <v>0</v>
      </c>
      <c r="O31" t="n">
        <v>3</v>
      </c>
      <c r="P31" t="n">
        <v>1</v>
      </c>
      <c r="Q31" t="n">
        <v>3</v>
      </c>
      <c r="R31" s="2" t="inlineStr">
        <is>
          <t>Fläckporing
Gränsticka
Nordtagging</t>
        </is>
      </c>
      <c r="S31">
        <f>HYPERLINK("https://klasma.github.io/Logging_2505/artfynd/A 33453-2022 artfynd.xlsx", "A 33453-2022")</f>
        <v/>
      </c>
      <c r="T31">
        <f>HYPERLINK("https://klasma.github.io/Logging_2505/kartor/A 33453-2022 karta.png", "A 33453-2022")</f>
        <v/>
      </c>
      <c r="V31">
        <f>HYPERLINK("https://klasma.github.io/Logging_2505/klagomål/A 33453-2022 FSC-klagomål.docx", "A 33453-2022")</f>
        <v/>
      </c>
      <c r="W31">
        <f>HYPERLINK("https://klasma.github.io/Logging_2505/klagomålsmail/A 33453-2022 FSC-klagomål mail.docx", "A 33453-2022")</f>
        <v/>
      </c>
      <c r="X31">
        <f>HYPERLINK("https://klasma.github.io/Logging_2505/tillsyn/A 33453-2022 tillsynsbegäran.docx", "A 33453-2022")</f>
        <v/>
      </c>
      <c r="Y31">
        <f>HYPERLINK("https://klasma.github.io/Logging_2505/tillsynsmail/A 33453-2022 tillsynsbegäran mail.docx", "A 33453-2022")</f>
        <v/>
      </c>
    </row>
    <row r="32" ht="15" customHeight="1">
      <c r="A32" t="inlineStr">
        <is>
          <t>A 37113-2022</t>
        </is>
      </c>
      <c r="B32" s="1" t="n">
        <v>44806</v>
      </c>
      <c r="C32" s="1" t="n">
        <v>45588</v>
      </c>
      <c r="D32" t="inlineStr">
        <is>
          <t>NORRBOTTENS LÄN</t>
        </is>
      </c>
      <c r="E32" t="inlineStr">
        <is>
          <t>ARVIDSJAUR</t>
        </is>
      </c>
      <c r="F32" t="inlineStr">
        <is>
          <t>Sveaskog</t>
        </is>
      </c>
      <c r="G32" t="n">
        <v>6.6</v>
      </c>
      <c r="H32" t="n">
        <v>0</v>
      </c>
      <c r="I32" t="n">
        <v>1</v>
      </c>
      <c r="J32" t="n">
        <v>1</v>
      </c>
      <c r="K32" t="n">
        <v>1</v>
      </c>
      <c r="L32" t="n">
        <v>0</v>
      </c>
      <c r="M32" t="n">
        <v>0</v>
      </c>
      <c r="N32" t="n">
        <v>0</v>
      </c>
      <c r="O32" t="n">
        <v>2</v>
      </c>
      <c r="P32" t="n">
        <v>1</v>
      </c>
      <c r="Q32" t="n">
        <v>3</v>
      </c>
      <c r="R32" s="2" t="inlineStr">
        <is>
          <t>Gräddporing
Svart taggsvamp
Dropptaggsvamp</t>
        </is>
      </c>
      <c r="S32">
        <f>HYPERLINK("https://klasma.github.io/Logging_2505/artfynd/A 37113-2022 artfynd.xlsx", "A 37113-2022")</f>
        <v/>
      </c>
      <c r="T32">
        <f>HYPERLINK("https://klasma.github.io/Logging_2505/kartor/A 37113-2022 karta.png", "A 37113-2022")</f>
        <v/>
      </c>
      <c r="V32">
        <f>HYPERLINK("https://klasma.github.io/Logging_2505/klagomål/A 37113-2022 FSC-klagomål.docx", "A 37113-2022")</f>
        <v/>
      </c>
      <c r="W32">
        <f>HYPERLINK("https://klasma.github.io/Logging_2505/klagomålsmail/A 37113-2022 FSC-klagomål mail.docx", "A 37113-2022")</f>
        <v/>
      </c>
      <c r="X32">
        <f>HYPERLINK("https://klasma.github.io/Logging_2505/tillsyn/A 37113-2022 tillsynsbegäran.docx", "A 37113-2022")</f>
        <v/>
      </c>
      <c r="Y32">
        <f>HYPERLINK("https://klasma.github.io/Logging_2505/tillsynsmail/A 37113-2022 tillsynsbegäran mail.docx", "A 37113-2022")</f>
        <v/>
      </c>
    </row>
    <row r="33" ht="15" customHeight="1">
      <c r="A33" t="inlineStr">
        <is>
          <t>A 61137-2022</t>
        </is>
      </c>
      <c r="B33" s="1" t="n">
        <v>44915</v>
      </c>
      <c r="C33" s="1" t="n">
        <v>45588</v>
      </c>
      <c r="D33" t="inlineStr">
        <is>
          <t>NORRBOTTENS LÄN</t>
        </is>
      </c>
      <c r="E33" t="inlineStr">
        <is>
          <t>ARVIDSJAUR</t>
        </is>
      </c>
      <c r="F33" t="inlineStr">
        <is>
          <t>Sveaskog</t>
        </is>
      </c>
      <c r="G33" t="n">
        <v>10.5</v>
      </c>
      <c r="H33" t="n">
        <v>1</v>
      </c>
      <c r="I33" t="n">
        <v>1</v>
      </c>
      <c r="J33" t="n">
        <v>1</v>
      </c>
      <c r="K33" t="n">
        <v>0</v>
      </c>
      <c r="L33" t="n">
        <v>0</v>
      </c>
      <c r="M33" t="n">
        <v>0</v>
      </c>
      <c r="N33" t="n">
        <v>0</v>
      </c>
      <c r="O33" t="n">
        <v>1</v>
      </c>
      <c r="P33" t="n">
        <v>0</v>
      </c>
      <c r="Q33" t="n">
        <v>3</v>
      </c>
      <c r="R33" s="2" t="inlineStr">
        <is>
          <t>Sandsyra
Ögonpyrola
Revlummer</t>
        </is>
      </c>
      <c r="S33">
        <f>HYPERLINK("https://klasma.github.io/Logging_2505/artfynd/A 61137-2022 artfynd.xlsx", "A 61137-2022")</f>
        <v/>
      </c>
      <c r="T33">
        <f>HYPERLINK("https://klasma.github.io/Logging_2505/kartor/A 61137-2022 karta.png", "A 61137-2022")</f>
        <v/>
      </c>
      <c r="V33">
        <f>HYPERLINK("https://klasma.github.io/Logging_2505/klagomål/A 61137-2022 FSC-klagomål.docx", "A 61137-2022")</f>
        <v/>
      </c>
      <c r="W33">
        <f>HYPERLINK("https://klasma.github.io/Logging_2505/klagomålsmail/A 61137-2022 FSC-klagomål mail.docx", "A 61137-2022")</f>
        <v/>
      </c>
      <c r="X33">
        <f>HYPERLINK("https://klasma.github.io/Logging_2505/tillsyn/A 61137-2022 tillsynsbegäran.docx", "A 61137-2022")</f>
        <v/>
      </c>
      <c r="Y33">
        <f>HYPERLINK("https://klasma.github.io/Logging_2505/tillsynsmail/A 61137-2022 tillsynsbegäran mail.docx", "A 61137-2022")</f>
        <v/>
      </c>
    </row>
    <row r="34" ht="15" customHeight="1">
      <c r="A34" t="inlineStr">
        <is>
          <t>A 36451-2024</t>
        </is>
      </c>
      <c r="B34" s="1" t="n">
        <v>45537</v>
      </c>
      <c r="C34" s="1" t="n">
        <v>45588</v>
      </c>
      <c r="D34" t="inlineStr">
        <is>
          <t>NORRBOTTENS LÄN</t>
        </is>
      </c>
      <c r="E34" t="inlineStr">
        <is>
          <t>ARVIDSJAUR</t>
        </is>
      </c>
      <c r="F34" t="inlineStr">
        <is>
          <t>Sveaskog</t>
        </is>
      </c>
      <c r="G34" t="n">
        <v>19.2</v>
      </c>
      <c r="H34" t="n">
        <v>0</v>
      </c>
      <c r="I34" t="n">
        <v>1</v>
      </c>
      <c r="J34" t="n">
        <v>2</v>
      </c>
      <c r="K34" t="n">
        <v>0</v>
      </c>
      <c r="L34" t="n">
        <v>0</v>
      </c>
      <c r="M34" t="n">
        <v>0</v>
      </c>
      <c r="N34" t="n">
        <v>0</v>
      </c>
      <c r="O34" t="n">
        <v>2</v>
      </c>
      <c r="P34" t="n">
        <v>0</v>
      </c>
      <c r="Q34" t="n">
        <v>3</v>
      </c>
      <c r="R34" s="2" t="inlineStr">
        <is>
          <t>Blå taggsvamp
Orange taggsvamp
Dropptaggsvamp</t>
        </is>
      </c>
      <c r="S34">
        <f>HYPERLINK("https://klasma.github.io/Logging_2505/artfynd/A 36451-2024 artfynd.xlsx", "A 36451-2024")</f>
        <v/>
      </c>
      <c r="T34">
        <f>HYPERLINK("https://klasma.github.io/Logging_2505/kartor/A 36451-2024 karta.png", "A 36451-2024")</f>
        <v/>
      </c>
      <c r="V34">
        <f>HYPERLINK("https://klasma.github.io/Logging_2505/klagomål/A 36451-2024 FSC-klagomål.docx", "A 36451-2024")</f>
        <v/>
      </c>
      <c r="W34">
        <f>HYPERLINK("https://klasma.github.io/Logging_2505/klagomålsmail/A 36451-2024 FSC-klagomål mail.docx", "A 36451-2024")</f>
        <v/>
      </c>
      <c r="X34">
        <f>HYPERLINK("https://klasma.github.io/Logging_2505/tillsyn/A 36451-2024 tillsynsbegäran.docx", "A 36451-2024")</f>
        <v/>
      </c>
      <c r="Y34">
        <f>HYPERLINK("https://klasma.github.io/Logging_2505/tillsynsmail/A 36451-2024 tillsynsbegäran mail.docx", "A 36451-2024")</f>
        <v/>
      </c>
    </row>
    <row r="35" ht="15" customHeight="1">
      <c r="A35" t="inlineStr">
        <is>
          <t>A 43753-2019</t>
        </is>
      </c>
      <c r="B35" s="1" t="n">
        <v>43707</v>
      </c>
      <c r="C35" s="1" t="n">
        <v>45588</v>
      </c>
      <c r="D35" t="inlineStr">
        <is>
          <t>NORRBOTTENS LÄN</t>
        </is>
      </c>
      <c r="E35" t="inlineStr">
        <is>
          <t>ARVIDSJAUR</t>
        </is>
      </c>
      <c r="F35" t="inlineStr">
        <is>
          <t>Sveaskog</t>
        </is>
      </c>
      <c r="G35" t="n">
        <v>4.8</v>
      </c>
      <c r="H35" t="n">
        <v>0</v>
      </c>
      <c r="I35" t="n">
        <v>2</v>
      </c>
      <c r="J35" t="n">
        <v>0</v>
      </c>
      <c r="K35" t="n">
        <v>0</v>
      </c>
      <c r="L35" t="n">
        <v>0</v>
      </c>
      <c r="M35" t="n">
        <v>0</v>
      </c>
      <c r="N35" t="n">
        <v>0</v>
      </c>
      <c r="O35" t="n">
        <v>0</v>
      </c>
      <c r="P35" t="n">
        <v>0</v>
      </c>
      <c r="Q35" t="n">
        <v>2</v>
      </c>
      <c r="R35" s="2" t="inlineStr">
        <is>
          <t>Dropptaggsvamp
Skarp dropptaggsvamp</t>
        </is>
      </c>
      <c r="S35">
        <f>HYPERLINK("https://klasma.github.io/Logging_2505/artfynd/A 43753-2019 artfynd.xlsx", "A 43753-2019")</f>
        <v/>
      </c>
      <c r="T35">
        <f>HYPERLINK("https://klasma.github.io/Logging_2505/kartor/A 43753-2019 karta.png", "A 43753-2019")</f>
        <v/>
      </c>
      <c r="V35">
        <f>HYPERLINK("https://klasma.github.io/Logging_2505/klagomål/A 43753-2019 FSC-klagomål.docx", "A 43753-2019")</f>
        <v/>
      </c>
      <c r="W35">
        <f>HYPERLINK("https://klasma.github.io/Logging_2505/klagomålsmail/A 43753-2019 FSC-klagomål mail.docx", "A 43753-2019")</f>
        <v/>
      </c>
      <c r="X35">
        <f>HYPERLINK("https://klasma.github.io/Logging_2505/tillsyn/A 43753-2019 tillsynsbegäran.docx", "A 43753-2019")</f>
        <v/>
      </c>
      <c r="Y35">
        <f>HYPERLINK("https://klasma.github.io/Logging_2505/tillsynsmail/A 43753-2019 tillsynsbegäran mail.docx", "A 43753-2019")</f>
        <v/>
      </c>
    </row>
    <row r="36" ht="15" customHeight="1">
      <c r="A36" t="inlineStr">
        <is>
          <t>A 29494-2021</t>
        </is>
      </c>
      <c r="B36" s="1" t="n">
        <v>44361</v>
      </c>
      <c r="C36" s="1" t="n">
        <v>45588</v>
      </c>
      <c r="D36" t="inlineStr">
        <is>
          <t>NORRBOTTENS LÄN</t>
        </is>
      </c>
      <c r="E36" t="inlineStr">
        <is>
          <t>ARVIDSJAUR</t>
        </is>
      </c>
      <c r="F36" t="inlineStr">
        <is>
          <t>Sveaskog</t>
        </is>
      </c>
      <c r="G36" t="n">
        <v>22.1</v>
      </c>
      <c r="H36" t="n">
        <v>0</v>
      </c>
      <c r="I36" t="n">
        <v>1</v>
      </c>
      <c r="J36" t="n">
        <v>1</v>
      </c>
      <c r="K36" t="n">
        <v>0</v>
      </c>
      <c r="L36" t="n">
        <v>0</v>
      </c>
      <c r="M36" t="n">
        <v>0</v>
      </c>
      <c r="N36" t="n">
        <v>0</v>
      </c>
      <c r="O36" t="n">
        <v>1</v>
      </c>
      <c r="P36" t="n">
        <v>0</v>
      </c>
      <c r="Q36" t="n">
        <v>2</v>
      </c>
      <c r="R36" s="2" t="inlineStr">
        <is>
          <t>Violmussling
Stuplav</t>
        </is>
      </c>
      <c r="S36">
        <f>HYPERLINK("https://klasma.github.io/Logging_2505/artfynd/A 29494-2021 artfynd.xlsx", "A 29494-2021")</f>
        <v/>
      </c>
      <c r="T36">
        <f>HYPERLINK("https://klasma.github.io/Logging_2505/kartor/A 29494-2021 karta.png", "A 29494-2021")</f>
        <v/>
      </c>
      <c r="V36">
        <f>HYPERLINK("https://klasma.github.io/Logging_2505/klagomål/A 29494-2021 FSC-klagomål.docx", "A 29494-2021")</f>
        <v/>
      </c>
      <c r="W36">
        <f>HYPERLINK("https://klasma.github.io/Logging_2505/klagomålsmail/A 29494-2021 FSC-klagomål mail.docx", "A 29494-2021")</f>
        <v/>
      </c>
      <c r="X36">
        <f>HYPERLINK("https://klasma.github.io/Logging_2505/tillsyn/A 29494-2021 tillsynsbegäran.docx", "A 29494-2021")</f>
        <v/>
      </c>
      <c r="Y36">
        <f>HYPERLINK("https://klasma.github.io/Logging_2505/tillsynsmail/A 29494-2021 tillsynsbegäran mail.docx", "A 29494-2021")</f>
        <v/>
      </c>
    </row>
    <row r="37" ht="15" customHeight="1">
      <c r="A37" t="inlineStr">
        <is>
          <t>A 39825-2022</t>
        </is>
      </c>
      <c r="B37" s="1" t="n">
        <v>44819</v>
      </c>
      <c r="C37" s="1" t="n">
        <v>45588</v>
      </c>
      <c r="D37" t="inlineStr">
        <is>
          <t>NORRBOTTENS LÄN</t>
        </is>
      </c>
      <c r="E37" t="inlineStr">
        <is>
          <t>ARVIDSJAUR</t>
        </is>
      </c>
      <c r="F37" t="inlineStr">
        <is>
          <t>Sveaskog</t>
        </is>
      </c>
      <c r="G37" t="n">
        <v>2.5</v>
      </c>
      <c r="H37" t="n">
        <v>0</v>
      </c>
      <c r="I37" t="n">
        <v>0</v>
      </c>
      <c r="J37" t="n">
        <v>2</v>
      </c>
      <c r="K37" t="n">
        <v>0</v>
      </c>
      <c r="L37" t="n">
        <v>0</v>
      </c>
      <c r="M37" t="n">
        <v>0</v>
      </c>
      <c r="N37" t="n">
        <v>0</v>
      </c>
      <c r="O37" t="n">
        <v>2</v>
      </c>
      <c r="P37" t="n">
        <v>0</v>
      </c>
      <c r="Q37" t="n">
        <v>2</v>
      </c>
      <c r="R37" s="2" t="inlineStr">
        <is>
          <t>Orange taggsvamp
Skrovlig taggsvamp</t>
        </is>
      </c>
      <c r="S37">
        <f>HYPERLINK("https://klasma.github.io/Logging_2505/artfynd/A 39825-2022 artfynd.xlsx", "A 39825-2022")</f>
        <v/>
      </c>
      <c r="T37">
        <f>HYPERLINK("https://klasma.github.io/Logging_2505/kartor/A 39825-2022 karta.png", "A 39825-2022")</f>
        <v/>
      </c>
      <c r="V37">
        <f>HYPERLINK("https://klasma.github.io/Logging_2505/klagomål/A 39825-2022 FSC-klagomål.docx", "A 39825-2022")</f>
        <v/>
      </c>
      <c r="W37">
        <f>HYPERLINK("https://klasma.github.io/Logging_2505/klagomålsmail/A 39825-2022 FSC-klagomål mail.docx", "A 39825-2022")</f>
        <v/>
      </c>
      <c r="X37">
        <f>HYPERLINK("https://klasma.github.io/Logging_2505/tillsyn/A 39825-2022 tillsynsbegäran.docx", "A 39825-2022")</f>
        <v/>
      </c>
      <c r="Y37">
        <f>HYPERLINK("https://klasma.github.io/Logging_2505/tillsynsmail/A 39825-2022 tillsynsbegäran mail.docx", "A 39825-2022")</f>
        <v/>
      </c>
    </row>
    <row r="38" ht="15" customHeight="1">
      <c r="A38" t="inlineStr">
        <is>
          <t>A 51133-2022</t>
        </is>
      </c>
      <c r="B38" s="1" t="n">
        <v>44868</v>
      </c>
      <c r="C38" s="1" t="n">
        <v>45588</v>
      </c>
      <c r="D38" t="inlineStr">
        <is>
          <t>NORRBOTTENS LÄN</t>
        </is>
      </c>
      <c r="E38" t="inlineStr">
        <is>
          <t>ARVIDSJAUR</t>
        </is>
      </c>
      <c r="F38" t="inlineStr">
        <is>
          <t>Sveaskog</t>
        </is>
      </c>
      <c r="G38" t="n">
        <v>4.4</v>
      </c>
      <c r="H38" t="n">
        <v>1</v>
      </c>
      <c r="I38" t="n">
        <v>0</v>
      </c>
      <c r="J38" t="n">
        <v>2</v>
      </c>
      <c r="K38" t="n">
        <v>0</v>
      </c>
      <c r="L38" t="n">
        <v>0</v>
      </c>
      <c r="M38" t="n">
        <v>0</v>
      </c>
      <c r="N38" t="n">
        <v>0</v>
      </c>
      <c r="O38" t="n">
        <v>2</v>
      </c>
      <c r="P38" t="n">
        <v>0</v>
      </c>
      <c r="Q38" t="n">
        <v>2</v>
      </c>
      <c r="R38" s="2" t="inlineStr">
        <is>
          <t>Granticka
Talltita</t>
        </is>
      </c>
      <c r="S38">
        <f>HYPERLINK("https://klasma.github.io/Logging_2505/artfynd/A 51133-2022 artfynd.xlsx", "A 51133-2022")</f>
        <v/>
      </c>
      <c r="T38">
        <f>HYPERLINK("https://klasma.github.io/Logging_2505/kartor/A 51133-2022 karta.png", "A 51133-2022")</f>
        <v/>
      </c>
      <c r="V38">
        <f>HYPERLINK("https://klasma.github.io/Logging_2505/klagomål/A 51133-2022 FSC-klagomål.docx", "A 51133-2022")</f>
        <v/>
      </c>
      <c r="W38">
        <f>HYPERLINK("https://klasma.github.io/Logging_2505/klagomålsmail/A 51133-2022 FSC-klagomål mail.docx", "A 51133-2022")</f>
        <v/>
      </c>
      <c r="X38">
        <f>HYPERLINK("https://klasma.github.io/Logging_2505/tillsyn/A 51133-2022 tillsynsbegäran.docx", "A 51133-2022")</f>
        <v/>
      </c>
      <c r="Y38">
        <f>HYPERLINK("https://klasma.github.io/Logging_2505/tillsynsmail/A 51133-2022 tillsynsbegäran mail.docx", "A 51133-2022")</f>
        <v/>
      </c>
      <c r="Z38">
        <f>HYPERLINK("https://klasma.github.io/Logging_2505/fåglar/A 51133-2022 prioriterade fågelarter.docx", "A 51133-2022")</f>
        <v/>
      </c>
    </row>
    <row r="39" ht="15" customHeight="1">
      <c r="A39" t="inlineStr">
        <is>
          <t>A 47807-2023</t>
        </is>
      </c>
      <c r="B39" s="1" t="n">
        <v>45204</v>
      </c>
      <c r="C39" s="1" t="n">
        <v>45588</v>
      </c>
      <c r="D39" t="inlineStr">
        <is>
          <t>NORRBOTTENS LÄN</t>
        </is>
      </c>
      <c r="E39" t="inlineStr">
        <is>
          <t>ARVIDSJAUR</t>
        </is>
      </c>
      <c r="F39" t="inlineStr">
        <is>
          <t>Sveaskog</t>
        </is>
      </c>
      <c r="G39" t="n">
        <v>15.3</v>
      </c>
      <c r="H39" t="n">
        <v>2</v>
      </c>
      <c r="I39" t="n">
        <v>0</v>
      </c>
      <c r="J39" t="n">
        <v>2</v>
      </c>
      <c r="K39" t="n">
        <v>0</v>
      </c>
      <c r="L39" t="n">
        <v>0</v>
      </c>
      <c r="M39" t="n">
        <v>0</v>
      </c>
      <c r="N39" t="n">
        <v>0</v>
      </c>
      <c r="O39" t="n">
        <v>2</v>
      </c>
      <c r="P39" t="n">
        <v>0</v>
      </c>
      <c r="Q39" t="n">
        <v>2</v>
      </c>
      <c r="R39" s="2" t="inlineStr">
        <is>
          <t>Järpe
Talltita</t>
        </is>
      </c>
      <c r="S39">
        <f>HYPERLINK("https://klasma.github.io/Logging_2505/artfynd/A 47807-2023 artfynd.xlsx", "A 47807-2023")</f>
        <v/>
      </c>
      <c r="T39">
        <f>HYPERLINK("https://klasma.github.io/Logging_2505/kartor/A 47807-2023 karta.png", "A 47807-2023")</f>
        <v/>
      </c>
      <c r="V39">
        <f>HYPERLINK("https://klasma.github.io/Logging_2505/klagomål/A 47807-2023 FSC-klagomål.docx", "A 47807-2023")</f>
        <v/>
      </c>
      <c r="W39">
        <f>HYPERLINK("https://klasma.github.io/Logging_2505/klagomålsmail/A 47807-2023 FSC-klagomål mail.docx", "A 47807-2023")</f>
        <v/>
      </c>
      <c r="X39">
        <f>HYPERLINK("https://klasma.github.io/Logging_2505/tillsyn/A 47807-2023 tillsynsbegäran.docx", "A 47807-2023")</f>
        <v/>
      </c>
      <c r="Y39">
        <f>HYPERLINK("https://klasma.github.io/Logging_2505/tillsynsmail/A 47807-2023 tillsynsbegäran mail.docx", "A 47807-2023")</f>
        <v/>
      </c>
      <c r="Z39">
        <f>HYPERLINK("https://klasma.github.io/Logging_2505/fåglar/A 47807-2023 prioriterade fågelarter.docx", "A 47807-2023")</f>
        <v/>
      </c>
    </row>
    <row r="40" ht="15" customHeight="1">
      <c r="A40" t="inlineStr">
        <is>
          <t>A 29680-2024</t>
        </is>
      </c>
      <c r="B40" s="1" t="n">
        <v>45485</v>
      </c>
      <c r="C40" s="1" t="n">
        <v>45588</v>
      </c>
      <c r="D40" t="inlineStr">
        <is>
          <t>NORRBOTTENS LÄN</t>
        </is>
      </c>
      <c r="E40" t="inlineStr">
        <is>
          <t>ARVIDSJAUR</t>
        </is>
      </c>
      <c r="F40" t="inlineStr">
        <is>
          <t>SCA</t>
        </is>
      </c>
      <c r="G40" t="n">
        <v>14.3</v>
      </c>
      <c r="H40" t="n">
        <v>2</v>
      </c>
      <c r="I40" t="n">
        <v>0</v>
      </c>
      <c r="J40" t="n">
        <v>0</v>
      </c>
      <c r="K40" t="n">
        <v>0</v>
      </c>
      <c r="L40" t="n">
        <v>0</v>
      </c>
      <c r="M40" t="n">
        <v>0</v>
      </c>
      <c r="N40" t="n">
        <v>0</v>
      </c>
      <c r="O40" t="n">
        <v>0</v>
      </c>
      <c r="P40" t="n">
        <v>0</v>
      </c>
      <c r="Q40" t="n">
        <v>2</v>
      </c>
      <c r="R40" s="2" t="inlineStr">
        <is>
          <t>Fläcknycklar
Mattlummer</t>
        </is>
      </c>
      <c r="S40">
        <f>HYPERLINK("https://klasma.github.io/Logging_2505/artfynd/A 29680-2024 artfynd.xlsx", "A 29680-2024")</f>
        <v/>
      </c>
      <c r="T40">
        <f>HYPERLINK("https://klasma.github.io/Logging_2505/kartor/A 29680-2024 karta.png", "A 29680-2024")</f>
        <v/>
      </c>
      <c r="V40">
        <f>HYPERLINK("https://klasma.github.io/Logging_2505/klagomål/A 29680-2024 FSC-klagomål.docx", "A 29680-2024")</f>
        <v/>
      </c>
      <c r="W40">
        <f>HYPERLINK("https://klasma.github.io/Logging_2505/klagomålsmail/A 29680-2024 FSC-klagomål mail.docx", "A 29680-2024")</f>
        <v/>
      </c>
      <c r="X40">
        <f>HYPERLINK("https://klasma.github.io/Logging_2505/tillsyn/A 29680-2024 tillsynsbegäran.docx", "A 29680-2024")</f>
        <v/>
      </c>
      <c r="Y40">
        <f>HYPERLINK("https://klasma.github.io/Logging_2505/tillsynsmail/A 29680-2024 tillsynsbegäran mail.docx", "A 29680-2024")</f>
        <v/>
      </c>
    </row>
    <row r="41" ht="15" customHeight="1">
      <c r="A41" t="inlineStr">
        <is>
          <t>A 18136-2019</t>
        </is>
      </c>
      <c r="B41" s="1" t="n">
        <v>43556</v>
      </c>
      <c r="C41" s="1" t="n">
        <v>45588</v>
      </c>
      <c r="D41" t="inlineStr">
        <is>
          <t>NORRBOTTENS LÄN</t>
        </is>
      </c>
      <c r="E41" t="inlineStr">
        <is>
          <t>ARVIDSJAUR</t>
        </is>
      </c>
      <c r="G41" t="n">
        <v>4.8</v>
      </c>
      <c r="H41" t="n">
        <v>1</v>
      </c>
      <c r="I41" t="n">
        <v>0</v>
      </c>
      <c r="J41" t="n">
        <v>0</v>
      </c>
      <c r="K41" t="n">
        <v>0</v>
      </c>
      <c r="L41" t="n">
        <v>0</v>
      </c>
      <c r="M41" t="n">
        <v>1</v>
      </c>
      <c r="N41" t="n">
        <v>0</v>
      </c>
      <c r="O41" t="n">
        <v>1</v>
      </c>
      <c r="P41" t="n">
        <v>1</v>
      </c>
      <c r="Q41" t="n">
        <v>1</v>
      </c>
      <c r="R41" s="2" t="inlineStr">
        <is>
          <t>Ortolansparv</t>
        </is>
      </c>
      <c r="S41">
        <f>HYPERLINK("https://klasma.github.io/Logging_2505/artfynd/A 18136-2019 artfynd.xlsx", "A 18136-2019")</f>
        <v/>
      </c>
      <c r="T41">
        <f>HYPERLINK("https://klasma.github.io/Logging_2505/kartor/A 18136-2019 karta.png", "A 18136-2019")</f>
        <v/>
      </c>
      <c r="V41">
        <f>HYPERLINK("https://klasma.github.io/Logging_2505/klagomål/A 18136-2019 FSC-klagomål.docx", "A 18136-2019")</f>
        <v/>
      </c>
      <c r="W41">
        <f>HYPERLINK("https://klasma.github.io/Logging_2505/klagomålsmail/A 18136-2019 FSC-klagomål mail.docx", "A 18136-2019")</f>
        <v/>
      </c>
      <c r="X41">
        <f>HYPERLINK("https://klasma.github.io/Logging_2505/tillsyn/A 18136-2019 tillsynsbegäran.docx", "A 18136-2019")</f>
        <v/>
      </c>
      <c r="Y41">
        <f>HYPERLINK("https://klasma.github.io/Logging_2505/tillsynsmail/A 18136-2019 tillsynsbegäran mail.docx", "A 18136-2019")</f>
        <v/>
      </c>
      <c r="Z41">
        <f>HYPERLINK("https://klasma.github.io/Logging_2505/fåglar/A 18136-2019 prioriterade fågelarter.docx", "A 18136-2019")</f>
        <v/>
      </c>
    </row>
    <row r="42" ht="15" customHeight="1">
      <c r="A42" t="inlineStr">
        <is>
          <t>A 30414-2019</t>
        </is>
      </c>
      <c r="B42" s="1" t="n">
        <v>43635</v>
      </c>
      <c r="C42" s="1" t="n">
        <v>45588</v>
      </c>
      <c r="D42" t="inlineStr">
        <is>
          <t>NORRBOTTENS LÄN</t>
        </is>
      </c>
      <c r="E42" t="inlineStr">
        <is>
          <t>ARVIDSJAUR</t>
        </is>
      </c>
      <c r="F42" t="inlineStr">
        <is>
          <t>Sveaskog</t>
        </is>
      </c>
      <c r="G42" t="n">
        <v>4.3</v>
      </c>
      <c r="H42" t="n">
        <v>0</v>
      </c>
      <c r="I42" t="n">
        <v>0</v>
      </c>
      <c r="J42" t="n">
        <v>1</v>
      </c>
      <c r="K42" t="n">
        <v>0</v>
      </c>
      <c r="L42" t="n">
        <v>0</v>
      </c>
      <c r="M42" t="n">
        <v>0</v>
      </c>
      <c r="N42" t="n">
        <v>0</v>
      </c>
      <c r="O42" t="n">
        <v>1</v>
      </c>
      <c r="P42" t="n">
        <v>0</v>
      </c>
      <c r="Q42" t="n">
        <v>1</v>
      </c>
      <c r="R42" s="2" t="inlineStr">
        <is>
          <t>Motaggsvamp</t>
        </is>
      </c>
      <c r="S42">
        <f>HYPERLINK("https://klasma.github.io/Logging_2505/artfynd/A 30414-2019 artfynd.xlsx", "A 30414-2019")</f>
        <v/>
      </c>
      <c r="T42">
        <f>HYPERLINK("https://klasma.github.io/Logging_2505/kartor/A 30414-2019 karta.png", "A 30414-2019")</f>
        <v/>
      </c>
      <c r="V42">
        <f>HYPERLINK("https://klasma.github.io/Logging_2505/klagomål/A 30414-2019 FSC-klagomål.docx", "A 30414-2019")</f>
        <v/>
      </c>
      <c r="W42">
        <f>HYPERLINK("https://klasma.github.io/Logging_2505/klagomålsmail/A 30414-2019 FSC-klagomål mail.docx", "A 30414-2019")</f>
        <v/>
      </c>
      <c r="X42">
        <f>HYPERLINK("https://klasma.github.io/Logging_2505/tillsyn/A 30414-2019 tillsynsbegäran.docx", "A 30414-2019")</f>
        <v/>
      </c>
      <c r="Y42">
        <f>HYPERLINK("https://klasma.github.io/Logging_2505/tillsynsmail/A 30414-2019 tillsynsbegäran mail.docx", "A 30414-2019")</f>
        <v/>
      </c>
    </row>
    <row r="43" ht="15" customHeight="1">
      <c r="A43" t="inlineStr">
        <is>
          <t>A 31611-2019</t>
        </is>
      </c>
      <c r="B43" s="1" t="n">
        <v>43642</v>
      </c>
      <c r="C43" s="1" t="n">
        <v>45588</v>
      </c>
      <c r="D43" t="inlineStr">
        <is>
          <t>NORRBOTTENS LÄN</t>
        </is>
      </c>
      <c r="E43" t="inlineStr">
        <is>
          <t>ARVIDSJAUR</t>
        </is>
      </c>
      <c r="F43" t="inlineStr">
        <is>
          <t>Sveaskog</t>
        </is>
      </c>
      <c r="G43" t="n">
        <v>21.5</v>
      </c>
      <c r="H43" t="n">
        <v>0</v>
      </c>
      <c r="I43" t="n">
        <v>0</v>
      </c>
      <c r="J43" t="n">
        <v>1</v>
      </c>
      <c r="K43" t="n">
        <v>0</v>
      </c>
      <c r="L43" t="n">
        <v>0</v>
      </c>
      <c r="M43" t="n">
        <v>0</v>
      </c>
      <c r="N43" t="n">
        <v>0</v>
      </c>
      <c r="O43" t="n">
        <v>1</v>
      </c>
      <c r="P43" t="n">
        <v>0</v>
      </c>
      <c r="Q43" t="n">
        <v>1</v>
      </c>
      <c r="R43" s="2" t="inlineStr">
        <is>
          <t>Vaddporing</t>
        </is>
      </c>
      <c r="S43">
        <f>HYPERLINK("https://klasma.github.io/Logging_2505/artfynd/A 31611-2019 artfynd.xlsx", "A 31611-2019")</f>
        <v/>
      </c>
      <c r="T43">
        <f>HYPERLINK("https://klasma.github.io/Logging_2505/kartor/A 31611-2019 karta.png", "A 31611-2019")</f>
        <v/>
      </c>
      <c r="V43">
        <f>HYPERLINK("https://klasma.github.io/Logging_2505/klagomål/A 31611-2019 FSC-klagomål.docx", "A 31611-2019")</f>
        <v/>
      </c>
      <c r="W43">
        <f>HYPERLINK("https://klasma.github.io/Logging_2505/klagomålsmail/A 31611-2019 FSC-klagomål mail.docx", "A 31611-2019")</f>
        <v/>
      </c>
      <c r="X43">
        <f>HYPERLINK("https://klasma.github.io/Logging_2505/tillsyn/A 31611-2019 tillsynsbegäran.docx", "A 31611-2019")</f>
        <v/>
      </c>
      <c r="Y43">
        <f>HYPERLINK("https://klasma.github.io/Logging_2505/tillsynsmail/A 31611-2019 tillsynsbegäran mail.docx", "A 31611-2019")</f>
        <v/>
      </c>
    </row>
    <row r="44" ht="15" customHeight="1">
      <c r="A44" t="inlineStr">
        <is>
          <t>A 32173-2019</t>
        </is>
      </c>
      <c r="B44" s="1" t="n">
        <v>43643</v>
      </c>
      <c r="C44" s="1" t="n">
        <v>45588</v>
      </c>
      <c r="D44" t="inlineStr">
        <is>
          <t>NORRBOTTENS LÄN</t>
        </is>
      </c>
      <c r="E44" t="inlineStr">
        <is>
          <t>ARVIDSJAUR</t>
        </is>
      </c>
      <c r="F44" t="inlineStr">
        <is>
          <t>Sveaskog</t>
        </is>
      </c>
      <c r="G44" t="n">
        <v>6.1</v>
      </c>
      <c r="H44" t="n">
        <v>0</v>
      </c>
      <c r="I44" t="n">
        <v>0</v>
      </c>
      <c r="J44" t="n">
        <v>1</v>
      </c>
      <c r="K44" t="n">
        <v>0</v>
      </c>
      <c r="L44" t="n">
        <v>0</v>
      </c>
      <c r="M44" t="n">
        <v>0</v>
      </c>
      <c r="N44" t="n">
        <v>0</v>
      </c>
      <c r="O44" t="n">
        <v>1</v>
      </c>
      <c r="P44" t="n">
        <v>0</v>
      </c>
      <c r="Q44" t="n">
        <v>1</v>
      </c>
      <c r="R44" s="2" t="inlineStr">
        <is>
          <t>Motaggsvamp</t>
        </is>
      </c>
      <c r="S44">
        <f>HYPERLINK("https://klasma.github.io/Logging_2505/artfynd/A 32173-2019 artfynd.xlsx", "A 32173-2019")</f>
        <v/>
      </c>
      <c r="T44">
        <f>HYPERLINK("https://klasma.github.io/Logging_2505/kartor/A 32173-2019 karta.png", "A 32173-2019")</f>
        <v/>
      </c>
      <c r="V44">
        <f>HYPERLINK("https://klasma.github.io/Logging_2505/klagomål/A 32173-2019 FSC-klagomål.docx", "A 32173-2019")</f>
        <v/>
      </c>
      <c r="W44">
        <f>HYPERLINK("https://klasma.github.io/Logging_2505/klagomålsmail/A 32173-2019 FSC-klagomål mail.docx", "A 32173-2019")</f>
        <v/>
      </c>
      <c r="X44">
        <f>HYPERLINK("https://klasma.github.io/Logging_2505/tillsyn/A 32173-2019 tillsynsbegäran.docx", "A 32173-2019")</f>
        <v/>
      </c>
      <c r="Y44">
        <f>HYPERLINK("https://klasma.github.io/Logging_2505/tillsynsmail/A 32173-2019 tillsynsbegäran mail.docx", "A 32173-2019")</f>
        <v/>
      </c>
    </row>
    <row r="45" ht="15" customHeight="1">
      <c r="A45" t="inlineStr">
        <is>
          <t>A 57926-2021</t>
        </is>
      </c>
      <c r="B45" s="1" t="n">
        <v>44487</v>
      </c>
      <c r="C45" s="1" t="n">
        <v>45588</v>
      </c>
      <c r="D45" t="inlineStr">
        <is>
          <t>NORRBOTTENS LÄN</t>
        </is>
      </c>
      <c r="E45" t="inlineStr">
        <is>
          <t>ARVIDSJAUR</t>
        </is>
      </c>
      <c r="F45" t="inlineStr">
        <is>
          <t>Sveaskog</t>
        </is>
      </c>
      <c r="G45" t="n">
        <v>28.6</v>
      </c>
      <c r="H45" t="n">
        <v>0</v>
      </c>
      <c r="I45" t="n">
        <v>0</v>
      </c>
      <c r="J45" t="n">
        <v>1</v>
      </c>
      <c r="K45" t="n">
        <v>0</v>
      </c>
      <c r="L45" t="n">
        <v>0</v>
      </c>
      <c r="M45" t="n">
        <v>0</v>
      </c>
      <c r="N45" t="n">
        <v>0</v>
      </c>
      <c r="O45" t="n">
        <v>1</v>
      </c>
      <c r="P45" t="n">
        <v>0</v>
      </c>
      <c r="Q45" t="n">
        <v>1</v>
      </c>
      <c r="R45" s="2" t="inlineStr">
        <is>
          <t>Tallticka</t>
        </is>
      </c>
      <c r="S45">
        <f>HYPERLINK("https://klasma.github.io/Logging_2505/artfynd/A 57926-2021 artfynd.xlsx", "A 57926-2021")</f>
        <v/>
      </c>
      <c r="T45">
        <f>HYPERLINK("https://klasma.github.io/Logging_2505/kartor/A 57926-2021 karta.png", "A 57926-2021")</f>
        <v/>
      </c>
      <c r="V45">
        <f>HYPERLINK("https://klasma.github.io/Logging_2505/klagomål/A 57926-2021 FSC-klagomål.docx", "A 57926-2021")</f>
        <v/>
      </c>
      <c r="W45">
        <f>HYPERLINK("https://klasma.github.io/Logging_2505/klagomålsmail/A 57926-2021 FSC-klagomål mail.docx", "A 57926-2021")</f>
        <v/>
      </c>
      <c r="X45">
        <f>HYPERLINK("https://klasma.github.io/Logging_2505/tillsyn/A 57926-2021 tillsynsbegäran.docx", "A 57926-2021")</f>
        <v/>
      </c>
      <c r="Y45">
        <f>HYPERLINK("https://klasma.github.io/Logging_2505/tillsynsmail/A 57926-2021 tillsynsbegäran mail.docx", "A 57926-2021")</f>
        <v/>
      </c>
    </row>
    <row r="46" ht="15" customHeight="1">
      <c r="A46" t="inlineStr">
        <is>
          <t>A 57994-2021</t>
        </is>
      </c>
      <c r="B46" s="1" t="n">
        <v>44487</v>
      </c>
      <c r="C46" s="1" t="n">
        <v>45588</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33873-2022</t>
        </is>
      </c>
      <c r="B47" s="1" t="n">
        <v>44790</v>
      </c>
      <c r="C47" s="1" t="n">
        <v>45588</v>
      </c>
      <c r="D47" t="inlineStr">
        <is>
          <t>NORRBOTTENS LÄN</t>
        </is>
      </c>
      <c r="E47" t="inlineStr">
        <is>
          <t>ARVIDSJAUR</t>
        </is>
      </c>
      <c r="F47" t="inlineStr">
        <is>
          <t>Sveaskog</t>
        </is>
      </c>
      <c r="G47" t="n">
        <v>15.8</v>
      </c>
      <c r="H47" t="n">
        <v>0</v>
      </c>
      <c r="I47" t="n">
        <v>0</v>
      </c>
      <c r="J47" t="n">
        <v>0</v>
      </c>
      <c r="K47" t="n">
        <v>1</v>
      </c>
      <c r="L47" t="n">
        <v>0</v>
      </c>
      <c r="M47" t="n">
        <v>0</v>
      </c>
      <c r="N47" t="n">
        <v>0</v>
      </c>
      <c r="O47" t="n">
        <v>1</v>
      </c>
      <c r="P47" t="n">
        <v>1</v>
      </c>
      <c r="Q47" t="n">
        <v>1</v>
      </c>
      <c r="R47" s="2" t="inlineStr">
        <is>
          <t>Smalfotad taggsvamp</t>
        </is>
      </c>
      <c r="S47">
        <f>HYPERLINK("https://klasma.github.io/Logging_2505/artfynd/A 33873-2022 artfynd.xlsx", "A 33873-2022")</f>
        <v/>
      </c>
      <c r="T47">
        <f>HYPERLINK("https://klasma.github.io/Logging_2505/kartor/A 33873-2022 karta.png", "A 33873-2022")</f>
        <v/>
      </c>
      <c r="V47">
        <f>HYPERLINK("https://klasma.github.io/Logging_2505/klagomål/A 33873-2022 FSC-klagomål.docx", "A 33873-2022")</f>
        <v/>
      </c>
      <c r="W47">
        <f>HYPERLINK("https://klasma.github.io/Logging_2505/klagomålsmail/A 33873-2022 FSC-klagomål mail.docx", "A 33873-2022")</f>
        <v/>
      </c>
      <c r="X47">
        <f>HYPERLINK("https://klasma.github.io/Logging_2505/tillsyn/A 33873-2022 tillsynsbegäran.docx", "A 33873-2022")</f>
        <v/>
      </c>
      <c r="Y47">
        <f>HYPERLINK("https://klasma.github.io/Logging_2505/tillsynsmail/A 33873-2022 tillsynsbegäran mail.docx", "A 33873-2022")</f>
        <v/>
      </c>
    </row>
    <row r="48" ht="15" customHeight="1">
      <c r="A48" t="inlineStr">
        <is>
          <t>A 42556-2022</t>
        </is>
      </c>
      <c r="B48" s="1" t="n">
        <v>44831</v>
      </c>
      <c r="C48" s="1" t="n">
        <v>45588</v>
      </c>
      <c r="D48" t="inlineStr">
        <is>
          <t>NORRBOTTENS LÄN</t>
        </is>
      </c>
      <c r="E48" t="inlineStr">
        <is>
          <t>ARVIDSJAUR</t>
        </is>
      </c>
      <c r="F48" t="inlineStr">
        <is>
          <t>Sveaskog</t>
        </is>
      </c>
      <c r="G48" t="n">
        <v>14.6</v>
      </c>
      <c r="H48" t="n">
        <v>0</v>
      </c>
      <c r="I48" t="n">
        <v>0</v>
      </c>
      <c r="J48" t="n">
        <v>1</v>
      </c>
      <c r="K48" t="n">
        <v>0</v>
      </c>
      <c r="L48" t="n">
        <v>0</v>
      </c>
      <c r="M48" t="n">
        <v>0</v>
      </c>
      <c r="N48" t="n">
        <v>0</v>
      </c>
      <c r="O48" t="n">
        <v>1</v>
      </c>
      <c r="P48" t="n">
        <v>0</v>
      </c>
      <c r="Q48" t="n">
        <v>1</v>
      </c>
      <c r="R48" s="2" t="inlineStr">
        <is>
          <t>Motaggsvamp</t>
        </is>
      </c>
      <c r="S48">
        <f>HYPERLINK("https://klasma.github.io/Logging_2505/artfynd/A 42556-2022 artfynd.xlsx", "A 42556-2022")</f>
        <v/>
      </c>
      <c r="T48">
        <f>HYPERLINK("https://klasma.github.io/Logging_2505/kartor/A 42556-2022 karta.png", "A 42556-2022")</f>
        <v/>
      </c>
      <c r="V48">
        <f>HYPERLINK("https://klasma.github.io/Logging_2505/klagomål/A 42556-2022 FSC-klagomål.docx", "A 42556-2022")</f>
        <v/>
      </c>
      <c r="W48">
        <f>HYPERLINK("https://klasma.github.io/Logging_2505/klagomålsmail/A 42556-2022 FSC-klagomål mail.docx", "A 42556-2022")</f>
        <v/>
      </c>
      <c r="X48">
        <f>HYPERLINK("https://klasma.github.io/Logging_2505/tillsyn/A 42556-2022 tillsynsbegäran.docx", "A 42556-2022")</f>
        <v/>
      </c>
      <c r="Y48">
        <f>HYPERLINK("https://klasma.github.io/Logging_2505/tillsynsmail/A 42556-2022 tillsynsbegäran mail.docx", "A 42556-2022")</f>
        <v/>
      </c>
    </row>
    <row r="49" ht="15" customHeight="1">
      <c r="A49" t="inlineStr">
        <is>
          <t>A 47954-2022</t>
        </is>
      </c>
      <c r="B49" s="1" t="n">
        <v>44855</v>
      </c>
      <c r="C49" s="1" t="n">
        <v>45588</v>
      </c>
      <c r="D49" t="inlineStr">
        <is>
          <t>NORRBOTTENS LÄN</t>
        </is>
      </c>
      <c r="E49" t="inlineStr">
        <is>
          <t>ARVIDSJAUR</t>
        </is>
      </c>
      <c r="F49" t="inlineStr">
        <is>
          <t>Sveaskog</t>
        </is>
      </c>
      <c r="G49" t="n">
        <v>3.3</v>
      </c>
      <c r="H49" t="n">
        <v>1</v>
      </c>
      <c r="I49" t="n">
        <v>0</v>
      </c>
      <c r="J49" t="n">
        <v>1</v>
      </c>
      <c r="K49" t="n">
        <v>0</v>
      </c>
      <c r="L49" t="n">
        <v>0</v>
      </c>
      <c r="M49" t="n">
        <v>0</v>
      </c>
      <c r="N49" t="n">
        <v>0</v>
      </c>
      <c r="O49" t="n">
        <v>1</v>
      </c>
      <c r="P49" t="n">
        <v>0</v>
      </c>
      <c r="Q49" t="n">
        <v>1</v>
      </c>
      <c r="R49" s="2" t="inlineStr">
        <is>
          <t>Spillkråka</t>
        </is>
      </c>
      <c r="S49">
        <f>HYPERLINK("https://klasma.github.io/Logging_2505/artfynd/A 47954-2022 artfynd.xlsx", "A 47954-2022")</f>
        <v/>
      </c>
      <c r="T49">
        <f>HYPERLINK("https://klasma.github.io/Logging_2505/kartor/A 47954-2022 karta.png", "A 47954-2022")</f>
        <v/>
      </c>
      <c r="V49">
        <f>HYPERLINK("https://klasma.github.io/Logging_2505/klagomål/A 47954-2022 FSC-klagomål.docx", "A 47954-2022")</f>
        <v/>
      </c>
      <c r="W49">
        <f>HYPERLINK("https://klasma.github.io/Logging_2505/klagomålsmail/A 47954-2022 FSC-klagomål mail.docx", "A 47954-2022")</f>
        <v/>
      </c>
      <c r="X49">
        <f>HYPERLINK("https://klasma.github.io/Logging_2505/tillsyn/A 47954-2022 tillsynsbegäran.docx", "A 47954-2022")</f>
        <v/>
      </c>
      <c r="Y49">
        <f>HYPERLINK("https://klasma.github.io/Logging_2505/tillsynsmail/A 47954-2022 tillsynsbegäran mail.docx", "A 47954-2022")</f>
        <v/>
      </c>
      <c r="Z49">
        <f>HYPERLINK("https://klasma.github.io/Logging_2505/fåglar/A 47954-2022 prioriterade fågelarter.docx", "A 47954-2022")</f>
        <v/>
      </c>
    </row>
    <row r="50" ht="15" customHeight="1">
      <c r="A50" t="inlineStr">
        <is>
          <t>A 2397-2023</t>
        </is>
      </c>
      <c r="B50" s="1" t="n">
        <v>44942</v>
      </c>
      <c r="C50" s="1" t="n">
        <v>45588</v>
      </c>
      <c r="D50" t="inlineStr">
        <is>
          <t>NORRBOTTENS LÄN</t>
        </is>
      </c>
      <c r="E50" t="inlineStr">
        <is>
          <t>ARVIDSJAUR</t>
        </is>
      </c>
      <c r="G50" t="n">
        <v>9.5</v>
      </c>
      <c r="H50" t="n">
        <v>0</v>
      </c>
      <c r="I50" t="n">
        <v>1</v>
      </c>
      <c r="J50" t="n">
        <v>0</v>
      </c>
      <c r="K50" t="n">
        <v>0</v>
      </c>
      <c r="L50" t="n">
        <v>0</v>
      </c>
      <c r="M50" t="n">
        <v>0</v>
      </c>
      <c r="N50" t="n">
        <v>0</v>
      </c>
      <c r="O50" t="n">
        <v>0</v>
      </c>
      <c r="P50" t="n">
        <v>0</v>
      </c>
      <c r="Q50" t="n">
        <v>1</v>
      </c>
      <c r="R50" s="2" t="inlineStr">
        <is>
          <t>Stuplav</t>
        </is>
      </c>
      <c r="S50">
        <f>HYPERLINK("https://klasma.github.io/Logging_2505/artfynd/A 2397-2023 artfynd.xlsx", "A 2397-2023")</f>
        <v/>
      </c>
      <c r="T50">
        <f>HYPERLINK("https://klasma.github.io/Logging_2505/kartor/A 2397-2023 karta.png", "A 2397-2023")</f>
        <v/>
      </c>
      <c r="V50">
        <f>HYPERLINK("https://klasma.github.io/Logging_2505/klagomål/A 2397-2023 FSC-klagomål.docx", "A 2397-2023")</f>
        <v/>
      </c>
      <c r="W50">
        <f>HYPERLINK("https://klasma.github.io/Logging_2505/klagomålsmail/A 2397-2023 FSC-klagomål mail.docx", "A 2397-2023")</f>
        <v/>
      </c>
      <c r="X50">
        <f>HYPERLINK("https://klasma.github.io/Logging_2505/tillsyn/A 2397-2023 tillsynsbegäran.docx", "A 2397-2023")</f>
        <v/>
      </c>
      <c r="Y50">
        <f>HYPERLINK("https://klasma.github.io/Logging_2505/tillsynsmail/A 2397-2023 tillsynsbegäran mail.docx", "A 2397-2023")</f>
        <v/>
      </c>
    </row>
    <row r="51" ht="15" customHeight="1">
      <c r="A51" t="inlineStr">
        <is>
          <t>A 29314-2023</t>
        </is>
      </c>
      <c r="B51" s="1" t="n">
        <v>45105</v>
      </c>
      <c r="C51" s="1" t="n">
        <v>45588</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38166-2023</t>
        </is>
      </c>
      <c r="B52" s="1" t="n">
        <v>45161</v>
      </c>
      <c r="C52" s="1" t="n">
        <v>45588</v>
      </c>
      <c r="D52" t="inlineStr">
        <is>
          <t>NORRBOTTENS LÄN</t>
        </is>
      </c>
      <c r="E52" t="inlineStr">
        <is>
          <t>ARVIDSJAUR</t>
        </is>
      </c>
      <c r="F52" t="inlineStr">
        <is>
          <t>Sveaskog</t>
        </is>
      </c>
      <c r="G52" t="n">
        <v>8.1</v>
      </c>
      <c r="H52" t="n">
        <v>0</v>
      </c>
      <c r="I52" t="n">
        <v>0</v>
      </c>
      <c r="J52" t="n">
        <v>1</v>
      </c>
      <c r="K52" t="n">
        <v>0</v>
      </c>
      <c r="L52" t="n">
        <v>0</v>
      </c>
      <c r="M52" t="n">
        <v>0</v>
      </c>
      <c r="N52" t="n">
        <v>0</v>
      </c>
      <c r="O52" t="n">
        <v>1</v>
      </c>
      <c r="P52" t="n">
        <v>0</v>
      </c>
      <c r="Q52" t="n">
        <v>1</v>
      </c>
      <c r="R52" s="2" t="inlineStr">
        <is>
          <t>Violmussling</t>
        </is>
      </c>
      <c r="S52">
        <f>HYPERLINK("https://klasma.github.io/Logging_2505/artfynd/A 38166-2023 artfynd.xlsx", "A 38166-2023")</f>
        <v/>
      </c>
      <c r="T52">
        <f>HYPERLINK("https://klasma.github.io/Logging_2505/kartor/A 38166-2023 karta.png", "A 38166-2023")</f>
        <v/>
      </c>
      <c r="V52">
        <f>HYPERLINK("https://klasma.github.io/Logging_2505/klagomål/A 38166-2023 FSC-klagomål.docx", "A 38166-2023")</f>
        <v/>
      </c>
      <c r="W52">
        <f>HYPERLINK("https://klasma.github.io/Logging_2505/klagomålsmail/A 38166-2023 FSC-klagomål mail.docx", "A 38166-2023")</f>
        <v/>
      </c>
      <c r="X52">
        <f>HYPERLINK("https://klasma.github.io/Logging_2505/tillsyn/A 38166-2023 tillsynsbegäran.docx", "A 38166-2023")</f>
        <v/>
      </c>
      <c r="Y52">
        <f>HYPERLINK("https://klasma.github.io/Logging_2505/tillsynsmail/A 38166-2023 tillsynsbegäran mail.docx", "A 38166-2023")</f>
        <v/>
      </c>
    </row>
    <row r="53" ht="15" customHeight="1">
      <c r="A53" t="inlineStr">
        <is>
          <t>A 38755-2023</t>
        </is>
      </c>
      <c r="B53" s="1" t="n">
        <v>45163</v>
      </c>
      <c r="C53" s="1" t="n">
        <v>45588</v>
      </c>
      <c r="D53" t="inlineStr">
        <is>
          <t>NORRBOTTENS LÄN</t>
        </is>
      </c>
      <c r="E53" t="inlineStr">
        <is>
          <t>ARVIDSJAUR</t>
        </is>
      </c>
      <c r="F53" t="inlineStr">
        <is>
          <t>Sveaskog</t>
        </is>
      </c>
      <c r="G53" t="n">
        <v>9.6</v>
      </c>
      <c r="H53" t="n">
        <v>1</v>
      </c>
      <c r="I53" t="n">
        <v>0</v>
      </c>
      <c r="J53" t="n">
        <v>1</v>
      </c>
      <c r="K53" t="n">
        <v>0</v>
      </c>
      <c r="L53" t="n">
        <v>0</v>
      </c>
      <c r="M53" t="n">
        <v>0</v>
      </c>
      <c r="N53" t="n">
        <v>0</v>
      </c>
      <c r="O53" t="n">
        <v>1</v>
      </c>
      <c r="P53" t="n">
        <v>0</v>
      </c>
      <c r="Q53" t="n">
        <v>1</v>
      </c>
      <c r="R53" s="2" t="inlineStr">
        <is>
          <t>Höstlåsbräken</t>
        </is>
      </c>
      <c r="S53">
        <f>HYPERLINK("https://klasma.github.io/Logging_2505/artfynd/A 38755-2023 artfynd.xlsx", "A 38755-2023")</f>
        <v/>
      </c>
      <c r="T53">
        <f>HYPERLINK("https://klasma.github.io/Logging_2505/kartor/A 38755-2023 karta.png", "A 38755-2023")</f>
        <v/>
      </c>
      <c r="V53">
        <f>HYPERLINK("https://klasma.github.io/Logging_2505/klagomål/A 38755-2023 FSC-klagomål.docx", "A 38755-2023")</f>
        <v/>
      </c>
      <c r="W53">
        <f>HYPERLINK("https://klasma.github.io/Logging_2505/klagomålsmail/A 38755-2023 FSC-klagomål mail.docx", "A 38755-2023")</f>
        <v/>
      </c>
      <c r="X53">
        <f>HYPERLINK("https://klasma.github.io/Logging_2505/tillsyn/A 38755-2023 tillsynsbegäran.docx", "A 38755-2023")</f>
        <v/>
      </c>
      <c r="Y53">
        <f>HYPERLINK("https://klasma.github.io/Logging_2505/tillsynsmail/A 38755-2023 tillsynsbegäran mail.docx", "A 38755-2023")</f>
        <v/>
      </c>
    </row>
    <row r="54" ht="15" customHeight="1">
      <c r="A54" t="inlineStr">
        <is>
          <t>A 32599-2024</t>
        </is>
      </c>
      <c r="B54" s="1" t="n">
        <v>45513</v>
      </c>
      <c r="C54" s="1" t="n">
        <v>45588</v>
      </c>
      <c r="D54" t="inlineStr">
        <is>
          <t>NORRBOTTENS LÄN</t>
        </is>
      </c>
      <c r="E54" t="inlineStr">
        <is>
          <t>ARVIDSJAUR</t>
        </is>
      </c>
      <c r="F54" t="inlineStr">
        <is>
          <t>Sveaskog</t>
        </is>
      </c>
      <c r="G54" t="n">
        <v>12.2</v>
      </c>
      <c r="H54" t="n">
        <v>0</v>
      </c>
      <c r="I54" t="n">
        <v>0</v>
      </c>
      <c r="J54" t="n">
        <v>1</v>
      </c>
      <c r="K54" t="n">
        <v>0</v>
      </c>
      <c r="L54" t="n">
        <v>0</v>
      </c>
      <c r="M54" t="n">
        <v>0</v>
      </c>
      <c r="N54" t="n">
        <v>0</v>
      </c>
      <c r="O54" t="n">
        <v>1</v>
      </c>
      <c r="P54" t="n">
        <v>0</v>
      </c>
      <c r="Q54" t="n">
        <v>1</v>
      </c>
      <c r="R54" s="2" t="inlineStr">
        <is>
          <t>Lunglav</t>
        </is>
      </c>
      <c r="S54">
        <f>HYPERLINK("https://klasma.github.io/Logging_2505/artfynd/A 32599-2024 artfynd.xlsx", "A 32599-2024")</f>
        <v/>
      </c>
      <c r="T54">
        <f>HYPERLINK("https://klasma.github.io/Logging_2505/kartor/A 32599-2024 karta.png", "A 32599-2024")</f>
        <v/>
      </c>
      <c r="V54">
        <f>HYPERLINK("https://klasma.github.io/Logging_2505/klagomål/A 32599-2024 FSC-klagomål.docx", "A 32599-2024")</f>
        <v/>
      </c>
      <c r="W54">
        <f>HYPERLINK("https://klasma.github.io/Logging_2505/klagomålsmail/A 32599-2024 FSC-klagomål mail.docx", "A 32599-2024")</f>
        <v/>
      </c>
      <c r="X54">
        <f>HYPERLINK("https://klasma.github.io/Logging_2505/tillsyn/A 32599-2024 tillsynsbegäran.docx", "A 32599-2024")</f>
        <v/>
      </c>
      <c r="Y54">
        <f>HYPERLINK("https://klasma.github.io/Logging_2505/tillsynsmail/A 32599-2024 tillsynsbegäran mail.docx", "A 32599-2024")</f>
        <v/>
      </c>
    </row>
    <row r="55" ht="15" customHeight="1">
      <c r="A55" t="inlineStr">
        <is>
          <t>A 42664-2024</t>
        </is>
      </c>
      <c r="B55" s="1" t="n">
        <v>45566</v>
      </c>
      <c r="C55" s="1" t="n">
        <v>45588</v>
      </c>
      <c r="D55" t="inlineStr">
        <is>
          <t>NORRBOTTENS LÄN</t>
        </is>
      </c>
      <c r="E55" t="inlineStr">
        <is>
          <t>ARVIDSJAUR</t>
        </is>
      </c>
      <c r="F55" t="inlineStr">
        <is>
          <t>Sveaskog</t>
        </is>
      </c>
      <c r="G55" t="n">
        <v>11.6</v>
      </c>
      <c r="H55" t="n">
        <v>0</v>
      </c>
      <c r="I55" t="n">
        <v>1</v>
      </c>
      <c r="J55" t="n">
        <v>0</v>
      </c>
      <c r="K55" t="n">
        <v>0</v>
      </c>
      <c r="L55" t="n">
        <v>0</v>
      </c>
      <c r="M55" t="n">
        <v>0</v>
      </c>
      <c r="N55" t="n">
        <v>0</v>
      </c>
      <c r="O55" t="n">
        <v>0</v>
      </c>
      <c r="P55" t="n">
        <v>0</v>
      </c>
      <c r="Q55" t="n">
        <v>1</v>
      </c>
      <c r="R55" s="2" t="inlineStr">
        <is>
          <t>Dropptaggsvamp</t>
        </is>
      </c>
      <c r="S55">
        <f>HYPERLINK("https://klasma.github.io/Logging_2505/artfynd/A 42664-2024 artfynd.xlsx", "A 42664-2024")</f>
        <v/>
      </c>
      <c r="T55">
        <f>HYPERLINK("https://klasma.github.io/Logging_2505/kartor/A 42664-2024 karta.png", "A 42664-2024")</f>
        <v/>
      </c>
      <c r="V55">
        <f>HYPERLINK("https://klasma.github.io/Logging_2505/klagomål/A 42664-2024 FSC-klagomål.docx", "A 42664-2024")</f>
        <v/>
      </c>
      <c r="W55">
        <f>HYPERLINK("https://klasma.github.io/Logging_2505/klagomålsmail/A 42664-2024 FSC-klagomål mail.docx", "A 42664-2024")</f>
        <v/>
      </c>
      <c r="X55">
        <f>HYPERLINK("https://klasma.github.io/Logging_2505/tillsyn/A 42664-2024 tillsynsbegäran.docx", "A 42664-2024")</f>
        <v/>
      </c>
      <c r="Y55">
        <f>HYPERLINK("https://klasma.github.io/Logging_2505/tillsynsmail/A 42664-2024 tillsynsbegäran mail.docx", "A 42664-2024")</f>
        <v/>
      </c>
    </row>
    <row r="56" ht="15" customHeight="1">
      <c r="A56" t="inlineStr">
        <is>
          <t>A 20581-2019</t>
        </is>
      </c>
      <c r="B56" s="1" t="n">
        <v>43572</v>
      </c>
      <c r="C56" s="1" t="n">
        <v>45588</v>
      </c>
      <c r="D56" t="inlineStr">
        <is>
          <t>NORRBOTTENS LÄN</t>
        </is>
      </c>
      <c r="E56" t="inlineStr">
        <is>
          <t>ARVIDSJAUR</t>
        </is>
      </c>
      <c r="G56" t="n">
        <v>1</v>
      </c>
      <c r="H56" t="n">
        <v>0</v>
      </c>
      <c r="I56" t="n">
        <v>0</v>
      </c>
      <c r="J56" t="n">
        <v>0</v>
      </c>
      <c r="K56" t="n">
        <v>0</v>
      </c>
      <c r="L56" t="n">
        <v>0</v>
      </c>
      <c r="M56" t="n">
        <v>0</v>
      </c>
      <c r="N56" t="n">
        <v>0</v>
      </c>
      <c r="O56" t="n">
        <v>0</v>
      </c>
      <c r="P56" t="n">
        <v>0</v>
      </c>
      <c r="Q56" t="n">
        <v>0</v>
      </c>
      <c r="R56" s="2" t="inlineStr"/>
    </row>
    <row r="57" ht="15" customHeight="1">
      <c r="A57" t="inlineStr">
        <is>
          <t>A 24255-2019</t>
        </is>
      </c>
      <c r="B57" s="1" t="n">
        <v>43597</v>
      </c>
      <c r="C57" s="1" t="n">
        <v>45588</v>
      </c>
      <c r="D57" t="inlineStr">
        <is>
          <t>NORRBOTTENS LÄN</t>
        </is>
      </c>
      <c r="E57" t="inlineStr">
        <is>
          <t>ARVIDSJAUR</t>
        </is>
      </c>
      <c r="G57" t="n">
        <v>2.8</v>
      </c>
      <c r="H57" t="n">
        <v>0</v>
      </c>
      <c r="I57" t="n">
        <v>0</v>
      </c>
      <c r="J57" t="n">
        <v>0</v>
      </c>
      <c r="K57" t="n">
        <v>0</v>
      </c>
      <c r="L57" t="n">
        <v>0</v>
      </c>
      <c r="M57" t="n">
        <v>0</v>
      </c>
      <c r="N57" t="n">
        <v>0</v>
      </c>
      <c r="O57" t="n">
        <v>0</v>
      </c>
      <c r="P57" t="n">
        <v>0</v>
      </c>
      <c r="Q57" t="n">
        <v>0</v>
      </c>
      <c r="R57" s="2" t="inlineStr"/>
    </row>
    <row r="58" ht="15" customHeight="1">
      <c r="A58" t="inlineStr">
        <is>
          <t>A 25217-2019</t>
        </is>
      </c>
      <c r="B58" s="1" t="n">
        <v>43601</v>
      </c>
      <c r="C58" s="1" t="n">
        <v>45588</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24920-2019</t>
        </is>
      </c>
      <c r="B59" s="1" t="n">
        <v>43602</v>
      </c>
      <c r="C59" s="1" t="n">
        <v>45588</v>
      </c>
      <c r="D59" t="inlineStr">
        <is>
          <t>NORRBOTTENS LÄN</t>
        </is>
      </c>
      <c r="E59" t="inlineStr">
        <is>
          <t>ARVIDSJAUR</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24865-2019</t>
        </is>
      </c>
      <c r="B60" s="1" t="n">
        <v>43602</v>
      </c>
      <c r="C60" s="1" t="n">
        <v>45588</v>
      </c>
      <c r="D60" t="inlineStr">
        <is>
          <t>NORRBOTTENS LÄN</t>
        </is>
      </c>
      <c r="E60" t="inlineStr">
        <is>
          <t>ARVIDSJAUR</t>
        </is>
      </c>
      <c r="F60" t="inlineStr">
        <is>
          <t>Sveaskog</t>
        </is>
      </c>
      <c r="G60" t="n">
        <v>21.2</v>
      </c>
      <c r="H60" t="n">
        <v>0</v>
      </c>
      <c r="I60" t="n">
        <v>0</v>
      </c>
      <c r="J60" t="n">
        <v>0</v>
      </c>
      <c r="K60" t="n">
        <v>0</v>
      </c>
      <c r="L60" t="n">
        <v>0</v>
      </c>
      <c r="M60" t="n">
        <v>0</v>
      </c>
      <c r="N60" t="n">
        <v>0</v>
      </c>
      <c r="O60" t="n">
        <v>0</v>
      </c>
      <c r="P60" t="n">
        <v>0</v>
      </c>
      <c r="Q60" t="n">
        <v>0</v>
      </c>
      <c r="R60" s="2" t="inlineStr"/>
    </row>
    <row r="61" ht="15" customHeight="1">
      <c r="A61" t="inlineStr">
        <is>
          <t>A 24999-2019</t>
        </is>
      </c>
      <c r="B61" s="1" t="n">
        <v>43602</v>
      </c>
      <c r="C61" s="1" t="n">
        <v>45588</v>
      </c>
      <c r="D61" t="inlineStr">
        <is>
          <t>NORRBOTTENS LÄN</t>
        </is>
      </c>
      <c r="E61" t="inlineStr">
        <is>
          <t>ARVIDSJAUR</t>
        </is>
      </c>
      <c r="F61" t="inlineStr">
        <is>
          <t>Sveaskog</t>
        </is>
      </c>
      <c r="G61" t="n">
        <v>68.09999999999999</v>
      </c>
      <c r="H61" t="n">
        <v>0</v>
      </c>
      <c r="I61" t="n">
        <v>0</v>
      </c>
      <c r="J61" t="n">
        <v>0</v>
      </c>
      <c r="K61" t="n">
        <v>0</v>
      </c>
      <c r="L61" t="n">
        <v>0</v>
      </c>
      <c r="M61" t="n">
        <v>0</v>
      </c>
      <c r="N61" t="n">
        <v>0</v>
      </c>
      <c r="O61" t="n">
        <v>0</v>
      </c>
      <c r="P61" t="n">
        <v>0</v>
      </c>
      <c r="Q61" t="n">
        <v>0</v>
      </c>
      <c r="R61" s="2" t="inlineStr"/>
    </row>
    <row r="62" ht="15" customHeight="1">
      <c r="A62" t="inlineStr">
        <is>
          <t>A 24945-2019</t>
        </is>
      </c>
      <c r="B62" s="1" t="n">
        <v>43602</v>
      </c>
      <c r="C62" s="1" t="n">
        <v>45588</v>
      </c>
      <c r="D62" t="inlineStr">
        <is>
          <t>NORRBOTTENS LÄN</t>
        </is>
      </c>
      <c r="E62" t="inlineStr">
        <is>
          <t>ARVIDSJAUR</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24870-2019</t>
        </is>
      </c>
      <c r="B63" s="1" t="n">
        <v>43602</v>
      </c>
      <c r="C63" s="1" t="n">
        <v>45588</v>
      </c>
      <c r="D63" t="inlineStr">
        <is>
          <t>NORRBOTTENS LÄN</t>
        </is>
      </c>
      <c r="E63" t="inlineStr">
        <is>
          <t>ARVIDSJAUR</t>
        </is>
      </c>
      <c r="F63" t="inlineStr">
        <is>
          <t>Sveaskog</t>
        </is>
      </c>
      <c r="G63" t="n">
        <v>85.2</v>
      </c>
      <c r="H63" t="n">
        <v>0</v>
      </c>
      <c r="I63" t="n">
        <v>0</v>
      </c>
      <c r="J63" t="n">
        <v>0</v>
      </c>
      <c r="K63" t="n">
        <v>0</v>
      </c>
      <c r="L63" t="n">
        <v>0</v>
      </c>
      <c r="M63" t="n">
        <v>0</v>
      </c>
      <c r="N63" t="n">
        <v>0</v>
      </c>
      <c r="O63" t="n">
        <v>0</v>
      </c>
      <c r="P63" t="n">
        <v>0</v>
      </c>
      <c r="Q63" t="n">
        <v>0</v>
      </c>
      <c r="R63" s="2" t="inlineStr"/>
    </row>
    <row r="64" ht="15" customHeight="1">
      <c r="A64" t="inlineStr">
        <is>
          <t>A 25253-2019</t>
        </is>
      </c>
      <c r="B64" s="1" t="n">
        <v>43605</v>
      </c>
      <c r="C64" s="1" t="n">
        <v>45588</v>
      </c>
      <c r="D64" t="inlineStr">
        <is>
          <t>NORRBOTTENS LÄN</t>
        </is>
      </c>
      <c r="E64" t="inlineStr">
        <is>
          <t>ARVIDSJAUR</t>
        </is>
      </c>
      <c r="F64" t="inlineStr">
        <is>
          <t>Sveaskog</t>
        </is>
      </c>
      <c r="G64" t="n">
        <v>43.2</v>
      </c>
      <c r="H64" t="n">
        <v>0</v>
      </c>
      <c r="I64" t="n">
        <v>0</v>
      </c>
      <c r="J64" t="n">
        <v>0</v>
      </c>
      <c r="K64" t="n">
        <v>0</v>
      </c>
      <c r="L64" t="n">
        <v>0</v>
      </c>
      <c r="M64" t="n">
        <v>0</v>
      </c>
      <c r="N64" t="n">
        <v>0</v>
      </c>
      <c r="O64" t="n">
        <v>0</v>
      </c>
      <c r="P64" t="n">
        <v>0</v>
      </c>
      <c r="Q64" t="n">
        <v>0</v>
      </c>
      <c r="R64" s="2" t="inlineStr"/>
    </row>
    <row r="65" ht="15" customHeight="1">
      <c r="A65" t="inlineStr">
        <is>
          <t>A 25274-2019</t>
        </is>
      </c>
      <c r="B65" s="1" t="n">
        <v>43605</v>
      </c>
      <c r="C65" s="1" t="n">
        <v>45588</v>
      </c>
      <c r="D65" t="inlineStr">
        <is>
          <t>NORRBOTTENS LÄN</t>
        </is>
      </c>
      <c r="E65" t="inlineStr">
        <is>
          <t>ARVIDSJAUR</t>
        </is>
      </c>
      <c r="F65" t="inlineStr">
        <is>
          <t>Sveaskog</t>
        </is>
      </c>
      <c r="G65" t="n">
        <v>35.4</v>
      </c>
      <c r="H65" t="n">
        <v>0</v>
      </c>
      <c r="I65" t="n">
        <v>0</v>
      </c>
      <c r="J65" t="n">
        <v>0</v>
      </c>
      <c r="K65" t="n">
        <v>0</v>
      </c>
      <c r="L65" t="n">
        <v>0</v>
      </c>
      <c r="M65" t="n">
        <v>0</v>
      </c>
      <c r="N65" t="n">
        <v>0</v>
      </c>
      <c r="O65" t="n">
        <v>0</v>
      </c>
      <c r="P65" t="n">
        <v>0</v>
      </c>
      <c r="Q65" t="n">
        <v>0</v>
      </c>
      <c r="R65" s="2" t="inlineStr"/>
    </row>
    <row r="66" ht="15" customHeight="1">
      <c r="A66" t="inlineStr">
        <is>
          <t>A 25437-2019</t>
        </is>
      </c>
      <c r="B66" s="1" t="n">
        <v>43605</v>
      </c>
      <c r="C66" s="1" t="n">
        <v>45588</v>
      </c>
      <c r="D66" t="inlineStr">
        <is>
          <t>NORRBOTTENS LÄN</t>
        </is>
      </c>
      <c r="E66" t="inlineStr">
        <is>
          <t>ARVIDSJAUR</t>
        </is>
      </c>
      <c r="G66" t="n">
        <v>3.7</v>
      </c>
      <c r="H66" t="n">
        <v>0</v>
      </c>
      <c r="I66" t="n">
        <v>0</v>
      </c>
      <c r="J66" t="n">
        <v>0</v>
      </c>
      <c r="K66" t="n">
        <v>0</v>
      </c>
      <c r="L66" t="n">
        <v>0</v>
      </c>
      <c r="M66" t="n">
        <v>0</v>
      </c>
      <c r="N66" t="n">
        <v>0</v>
      </c>
      <c r="O66" t="n">
        <v>0</v>
      </c>
      <c r="P66" t="n">
        <v>0</v>
      </c>
      <c r="Q66" t="n">
        <v>0</v>
      </c>
      <c r="R66" s="2" t="inlineStr"/>
    </row>
    <row r="67" ht="15" customHeight="1">
      <c r="A67" t="inlineStr">
        <is>
          <t>A 27000-2019</t>
        </is>
      </c>
      <c r="B67" s="1" t="n">
        <v>43614</v>
      </c>
      <c r="C67" s="1" t="n">
        <v>45588</v>
      </c>
      <c r="D67" t="inlineStr">
        <is>
          <t>NORRBOTTENS LÄN</t>
        </is>
      </c>
      <c r="E67" t="inlineStr">
        <is>
          <t>ARVIDSJAUR</t>
        </is>
      </c>
      <c r="F67" t="inlineStr">
        <is>
          <t>Sveaskog</t>
        </is>
      </c>
      <c r="G67" t="n">
        <v>57.7</v>
      </c>
      <c r="H67" t="n">
        <v>0</v>
      </c>
      <c r="I67" t="n">
        <v>0</v>
      </c>
      <c r="J67" t="n">
        <v>0</v>
      </c>
      <c r="K67" t="n">
        <v>0</v>
      </c>
      <c r="L67" t="n">
        <v>0</v>
      </c>
      <c r="M67" t="n">
        <v>0</v>
      </c>
      <c r="N67" t="n">
        <v>0</v>
      </c>
      <c r="O67" t="n">
        <v>0</v>
      </c>
      <c r="P67" t="n">
        <v>0</v>
      </c>
      <c r="Q67" t="n">
        <v>0</v>
      </c>
      <c r="R67" s="2" t="inlineStr"/>
    </row>
    <row r="68" ht="15" customHeight="1">
      <c r="A68" t="inlineStr">
        <is>
          <t>A 27361-2019</t>
        </is>
      </c>
      <c r="B68" s="1" t="n">
        <v>43616</v>
      </c>
      <c r="C68" s="1" t="n">
        <v>45588</v>
      </c>
      <c r="D68" t="inlineStr">
        <is>
          <t>NORRBOTTENS LÄN</t>
        </is>
      </c>
      <c r="E68" t="inlineStr">
        <is>
          <t>ARVIDSJAUR</t>
        </is>
      </c>
      <c r="G68" t="n">
        <v>2.2</v>
      </c>
      <c r="H68" t="n">
        <v>0</v>
      </c>
      <c r="I68" t="n">
        <v>0</v>
      </c>
      <c r="J68" t="n">
        <v>0</v>
      </c>
      <c r="K68" t="n">
        <v>0</v>
      </c>
      <c r="L68" t="n">
        <v>0</v>
      </c>
      <c r="M68" t="n">
        <v>0</v>
      </c>
      <c r="N68" t="n">
        <v>0</v>
      </c>
      <c r="O68" t="n">
        <v>0</v>
      </c>
      <c r="P68" t="n">
        <v>0</v>
      </c>
      <c r="Q68" t="n">
        <v>0</v>
      </c>
      <c r="R68" s="2" t="inlineStr"/>
    </row>
    <row r="69" ht="15" customHeight="1">
      <c r="A69" t="inlineStr">
        <is>
          <t>A 30410-2019</t>
        </is>
      </c>
      <c r="B69" s="1" t="n">
        <v>43635</v>
      </c>
      <c r="C69" s="1" t="n">
        <v>45588</v>
      </c>
      <c r="D69" t="inlineStr">
        <is>
          <t>NORRBOTTENS LÄN</t>
        </is>
      </c>
      <c r="E69" t="inlineStr">
        <is>
          <t>ARVIDSJAUR</t>
        </is>
      </c>
      <c r="F69" t="inlineStr">
        <is>
          <t>Sveaskog</t>
        </is>
      </c>
      <c r="G69" t="n">
        <v>7.5</v>
      </c>
      <c r="H69" t="n">
        <v>0</v>
      </c>
      <c r="I69" t="n">
        <v>0</v>
      </c>
      <c r="J69" t="n">
        <v>0</v>
      </c>
      <c r="K69" t="n">
        <v>0</v>
      </c>
      <c r="L69" t="n">
        <v>0</v>
      </c>
      <c r="M69" t="n">
        <v>0</v>
      </c>
      <c r="N69" t="n">
        <v>0</v>
      </c>
      <c r="O69" t="n">
        <v>0</v>
      </c>
      <c r="P69" t="n">
        <v>0</v>
      </c>
      <c r="Q69" t="n">
        <v>0</v>
      </c>
      <c r="R69" s="2" t="inlineStr"/>
    </row>
    <row r="70" ht="15" customHeight="1">
      <c r="A70" t="inlineStr">
        <is>
          <t>A 32003-2019</t>
        </is>
      </c>
      <c r="B70" s="1" t="n">
        <v>43642</v>
      </c>
      <c r="C70" s="1" t="n">
        <v>45588</v>
      </c>
      <c r="D70" t="inlineStr">
        <is>
          <t>NORRBOTTENS LÄN</t>
        </is>
      </c>
      <c r="E70" t="inlineStr">
        <is>
          <t>ARVIDSJAUR</t>
        </is>
      </c>
      <c r="G70" t="n">
        <v>7</v>
      </c>
      <c r="H70" t="n">
        <v>0</v>
      </c>
      <c r="I70" t="n">
        <v>0</v>
      </c>
      <c r="J70" t="n">
        <v>0</v>
      </c>
      <c r="K70" t="n">
        <v>0</v>
      </c>
      <c r="L70" t="n">
        <v>0</v>
      </c>
      <c r="M70" t="n">
        <v>0</v>
      </c>
      <c r="N70" t="n">
        <v>0</v>
      </c>
      <c r="O70" t="n">
        <v>0</v>
      </c>
      <c r="P70" t="n">
        <v>0</v>
      </c>
      <c r="Q70" t="n">
        <v>0</v>
      </c>
      <c r="R70" s="2" t="inlineStr"/>
    </row>
    <row r="71" ht="15" customHeight="1">
      <c r="A71" t="inlineStr">
        <is>
          <t>A 33038-2019</t>
        </is>
      </c>
      <c r="B71" s="1" t="n">
        <v>43649</v>
      </c>
      <c r="C71" s="1" t="n">
        <v>45588</v>
      </c>
      <c r="D71" t="inlineStr">
        <is>
          <t>NORRBOTTENS LÄN</t>
        </is>
      </c>
      <c r="E71" t="inlineStr">
        <is>
          <t>ARVIDSJAUR</t>
        </is>
      </c>
      <c r="F71" t="inlineStr">
        <is>
          <t>Sveaskog</t>
        </is>
      </c>
      <c r="G71" t="n">
        <v>8.6</v>
      </c>
      <c r="H71" t="n">
        <v>0</v>
      </c>
      <c r="I71" t="n">
        <v>0</v>
      </c>
      <c r="J71" t="n">
        <v>0</v>
      </c>
      <c r="K71" t="n">
        <v>0</v>
      </c>
      <c r="L71" t="n">
        <v>0</v>
      </c>
      <c r="M71" t="n">
        <v>0</v>
      </c>
      <c r="N71" t="n">
        <v>0</v>
      </c>
      <c r="O71" t="n">
        <v>0</v>
      </c>
      <c r="P71" t="n">
        <v>0</v>
      </c>
      <c r="Q71" t="n">
        <v>0</v>
      </c>
      <c r="R71" s="2" t="inlineStr"/>
    </row>
    <row r="72" ht="15" customHeight="1">
      <c r="A72" t="inlineStr">
        <is>
          <t>A 34222-2019</t>
        </is>
      </c>
      <c r="B72" s="1" t="n">
        <v>43655</v>
      </c>
      <c r="C72" s="1" t="n">
        <v>45588</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37523-2019</t>
        </is>
      </c>
      <c r="B73" s="1" t="n">
        <v>43663</v>
      </c>
      <c r="C73" s="1" t="n">
        <v>45588</v>
      </c>
      <c r="D73" t="inlineStr">
        <is>
          <t>NORRBOTTENS LÄN</t>
        </is>
      </c>
      <c r="E73" t="inlineStr">
        <is>
          <t>ARVIDSJAUR</t>
        </is>
      </c>
      <c r="G73" t="n">
        <v>2.5</v>
      </c>
      <c r="H73" t="n">
        <v>0</v>
      </c>
      <c r="I73" t="n">
        <v>0</v>
      </c>
      <c r="J73" t="n">
        <v>0</v>
      </c>
      <c r="K73" t="n">
        <v>0</v>
      </c>
      <c r="L73" t="n">
        <v>0</v>
      </c>
      <c r="M73" t="n">
        <v>0</v>
      </c>
      <c r="N73" t="n">
        <v>0</v>
      </c>
      <c r="O73" t="n">
        <v>0</v>
      </c>
      <c r="P73" t="n">
        <v>0</v>
      </c>
      <c r="Q73" t="n">
        <v>0</v>
      </c>
      <c r="R73" s="2" t="inlineStr"/>
    </row>
    <row r="74" ht="15" customHeight="1">
      <c r="A74" t="inlineStr">
        <is>
          <t>A 36404-2019</t>
        </is>
      </c>
      <c r="B74" s="1" t="n">
        <v>43663</v>
      </c>
      <c r="C74" s="1" t="n">
        <v>45588</v>
      </c>
      <c r="D74" t="inlineStr">
        <is>
          <t>NORRBOTTENS LÄN</t>
        </is>
      </c>
      <c r="E74" t="inlineStr">
        <is>
          <t>ARVIDSJAUR</t>
        </is>
      </c>
      <c r="G74" t="n">
        <v>7.2</v>
      </c>
      <c r="H74" t="n">
        <v>0</v>
      </c>
      <c r="I74" t="n">
        <v>0</v>
      </c>
      <c r="J74" t="n">
        <v>0</v>
      </c>
      <c r="K74" t="n">
        <v>0</v>
      </c>
      <c r="L74" t="n">
        <v>0</v>
      </c>
      <c r="M74" t="n">
        <v>0</v>
      </c>
      <c r="N74" t="n">
        <v>0</v>
      </c>
      <c r="O74" t="n">
        <v>0</v>
      </c>
      <c r="P74" t="n">
        <v>0</v>
      </c>
      <c r="Q74" t="n">
        <v>0</v>
      </c>
      <c r="R74" s="2" t="inlineStr"/>
    </row>
    <row r="75" ht="15" customHeight="1">
      <c r="A75" t="inlineStr">
        <is>
          <t>A 36526-2019</t>
        </is>
      </c>
      <c r="B75" s="1" t="n">
        <v>43668</v>
      </c>
      <c r="C75" s="1" t="n">
        <v>45588</v>
      </c>
      <c r="D75" t="inlineStr">
        <is>
          <t>NORRBOTTENS LÄN</t>
        </is>
      </c>
      <c r="E75" t="inlineStr">
        <is>
          <t>ARVIDSJAUR</t>
        </is>
      </c>
      <c r="F75" t="inlineStr">
        <is>
          <t>Allmännings- och besparingsskogar</t>
        </is>
      </c>
      <c r="G75" t="n">
        <v>4.2</v>
      </c>
      <c r="H75" t="n">
        <v>0</v>
      </c>
      <c r="I75" t="n">
        <v>0</v>
      </c>
      <c r="J75" t="n">
        <v>0</v>
      </c>
      <c r="K75" t="n">
        <v>0</v>
      </c>
      <c r="L75" t="n">
        <v>0</v>
      </c>
      <c r="M75" t="n">
        <v>0</v>
      </c>
      <c r="N75" t="n">
        <v>0</v>
      </c>
      <c r="O75" t="n">
        <v>0</v>
      </c>
      <c r="P75" t="n">
        <v>0</v>
      </c>
      <c r="Q75" t="n">
        <v>0</v>
      </c>
      <c r="R75" s="2" t="inlineStr"/>
    </row>
    <row r="76" ht="15" customHeight="1">
      <c r="A76" t="inlineStr">
        <is>
          <t>A 38020-2019</t>
        </is>
      </c>
      <c r="B76" s="1" t="n">
        <v>43683</v>
      </c>
      <c r="C76" s="1" t="n">
        <v>45588</v>
      </c>
      <c r="D76" t="inlineStr">
        <is>
          <t>NORRBOTTENS LÄN</t>
        </is>
      </c>
      <c r="E76" t="inlineStr">
        <is>
          <t>ARVIDSJAUR</t>
        </is>
      </c>
      <c r="G76" t="n">
        <v>3</v>
      </c>
      <c r="H76" t="n">
        <v>0</v>
      </c>
      <c r="I76" t="n">
        <v>0</v>
      </c>
      <c r="J76" t="n">
        <v>0</v>
      </c>
      <c r="K76" t="n">
        <v>0</v>
      </c>
      <c r="L76" t="n">
        <v>0</v>
      </c>
      <c r="M76" t="n">
        <v>0</v>
      </c>
      <c r="N76" t="n">
        <v>0</v>
      </c>
      <c r="O76" t="n">
        <v>0</v>
      </c>
      <c r="P76" t="n">
        <v>0</v>
      </c>
      <c r="Q76" t="n">
        <v>0</v>
      </c>
      <c r="R76" s="2" t="inlineStr"/>
    </row>
    <row r="77" ht="15" customHeight="1">
      <c r="A77" t="inlineStr">
        <is>
          <t>A 38638-2019</t>
        </is>
      </c>
      <c r="B77" s="1" t="n">
        <v>43686</v>
      </c>
      <c r="C77" s="1" t="n">
        <v>45588</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40693-2019</t>
        </is>
      </c>
      <c r="B78" s="1" t="n">
        <v>43697</v>
      </c>
      <c r="C78" s="1" t="n">
        <v>45588</v>
      </c>
      <c r="D78" t="inlineStr">
        <is>
          <t>NORRBOTTENS LÄN</t>
        </is>
      </c>
      <c r="E78" t="inlineStr">
        <is>
          <t>ARVIDSJAUR</t>
        </is>
      </c>
      <c r="G78" t="n">
        <v>5</v>
      </c>
      <c r="H78" t="n">
        <v>0</v>
      </c>
      <c r="I78" t="n">
        <v>0</v>
      </c>
      <c r="J78" t="n">
        <v>0</v>
      </c>
      <c r="K78" t="n">
        <v>0</v>
      </c>
      <c r="L78" t="n">
        <v>0</v>
      </c>
      <c r="M78" t="n">
        <v>0</v>
      </c>
      <c r="N78" t="n">
        <v>0</v>
      </c>
      <c r="O78" t="n">
        <v>0</v>
      </c>
      <c r="P78" t="n">
        <v>0</v>
      </c>
      <c r="Q78" t="n">
        <v>0</v>
      </c>
      <c r="R78" s="2" t="inlineStr"/>
    </row>
    <row r="79" ht="15" customHeight="1">
      <c r="A79" t="inlineStr">
        <is>
          <t>A 44560-2019</t>
        </is>
      </c>
      <c r="B79" s="1" t="n">
        <v>43706</v>
      </c>
      <c r="C79" s="1" t="n">
        <v>45588</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44572-2019</t>
        </is>
      </c>
      <c r="B80" s="1" t="n">
        <v>43706</v>
      </c>
      <c r="C80" s="1" t="n">
        <v>45588</v>
      </c>
      <c r="D80" t="inlineStr">
        <is>
          <t>NORRBOTTENS LÄN</t>
        </is>
      </c>
      <c r="E80" t="inlineStr">
        <is>
          <t>ARVIDSJAUR</t>
        </is>
      </c>
      <c r="G80" t="n">
        <v>10.4</v>
      </c>
      <c r="H80" t="n">
        <v>0</v>
      </c>
      <c r="I80" t="n">
        <v>0</v>
      </c>
      <c r="J80" t="n">
        <v>0</v>
      </c>
      <c r="K80" t="n">
        <v>0</v>
      </c>
      <c r="L80" t="n">
        <v>0</v>
      </c>
      <c r="M80" t="n">
        <v>0</v>
      </c>
      <c r="N80" t="n">
        <v>0</v>
      </c>
      <c r="O80" t="n">
        <v>0</v>
      </c>
      <c r="P80" t="n">
        <v>0</v>
      </c>
      <c r="Q80" t="n">
        <v>0</v>
      </c>
      <c r="R80" s="2" t="inlineStr"/>
    </row>
    <row r="81" ht="15" customHeight="1">
      <c r="A81" t="inlineStr">
        <is>
          <t>A 44565-2019</t>
        </is>
      </c>
      <c r="B81" s="1" t="n">
        <v>43706</v>
      </c>
      <c r="C81" s="1" t="n">
        <v>45588</v>
      </c>
      <c r="D81" t="inlineStr">
        <is>
          <t>NORRBOTTENS LÄN</t>
        </is>
      </c>
      <c r="E81" t="inlineStr">
        <is>
          <t>ARVIDSJAUR</t>
        </is>
      </c>
      <c r="G81" t="n">
        <v>6.8</v>
      </c>
      <c r="H81" t="n">
        <v>0</v>
      </c>
      <c r="I81" t="n">
        <v>0</v>
      </c>
      <c r="J81" t="n">
        <v>0</v>
      </c>
      <c r="K81" t="n">
        <v>0</v>
      </c>
      <c r="L81" t="n">
        <v>0</v>
      </c>
      <c r="M81" t="n">
        <v>0</v>
      </c>
      <c r="N81" t="n">
        <v>0</v>
      </c>
      <c r="O81" t="n">
        <v>0</v>
      </c>
      <c r="P81" t="n">
        <v>0</v>
      </c>
      <c r="Q81" t="n">
        <v>0</v>
      </c>
      <c r="R81" s="2" t="inlineStr"/>
    </row>
    <row r="82" ht="15" customHeight="1">
      <c r="A82" t="inlineStr">
        <is>
          <t>A 43756-2019</t>
        </is>
      </c>
      <c r="B82" s="1" t="n">
        <v>43707</v>
      </c>
      <c r="C82" s="1" t="n">
        <v>45588</v>
      </c>
      <c r="D82" t="inlineStr">
        <is>
          <t>NORRBOTTENS LÄN</t>
        </is>
      </c>
      <c r="E82" t="inlineStr">
        <is>
          <t>ARVIDSJAUR</t>
        </is>
      </c>
      <c r="F82" t="inlineStr">
        <is>
          <t>Sveaskog</t>
        </is>
      </c>
      <c r="G82" t="n">
        <v>2</v>
      </c>
      <c r="H82" t="n">
        <v>0</v>
      </c>
      <c r="I82" t="n">
        <v>0</v>
      </c>
      <c r="J82" t="n">
        <v>0</v>
      </c>
      <c r="K82" t="n">
        <v>0</v>
      </c>
      <c r="L82" t="n">
        <v>0</v>
      </c>
      <c r="M82" t="n">
        <v>0</v>
      </c>
      <c r="N82" t="n">
        <v>0</v>
      </c>
      <c r="O82" t="n">
        <v>0</v>
      </c>
      <c r="P82" t="n">
        <v>0</v>
      </c>
      <c r="Q82" t="n">
        <v>0</v>
      </c>
      <c r="R82" s="2" t="inlineStr"/>
    </row>
    <row r="83" ht="15" customHeight="1">
      <c r="A83" t="inlineStr">
        <is>
          <t>A 46068-2019</t>
        </is>
      </c>
      <c r="B83" s="1" t="n">
        <v>43713</v>
      </c>
      <c r="C83" s="1" t="n">
        <v>45588</v>
      </c>
      <c r="D83" t="inlineStr">
        <is>
          <t>NORRBOTTENS LÄN</t>
        </is>
      </c>
      <c r="E83" t="inlineStr">
        <is>
          <t>ARVIDSJAUR</t>
        </is>
      </c>
      <c r="G83" t="n">
        <v>2.4</v>
      </c>
      <c r="H83" t="n">
        <v>0</v>
      </c>
      <c r="I83" t="n">
        <v>0</v>
      </c>
      <c r="J83" t="n">
        <v>0</v>
      </c>
      <c r="K83" t="n">
        <v>0</v>
      </c>
      <c r="L83" t="n">
        <v>0</v>
      </c>
      <c r="M83" t="n">
        <v>0</v>
      </c>
      <c r="N83" t="n">
        <v>0</v>
      </c>
      <c r="O83" t="n">
        <v>0</v>
      </c>
      <c r="P83" t="n">
        <v>0</v>
      </c>
      <c r="Q83" t="n">
        <v>0</v>
      </c>
      <c r="R83" s="2" t="inlineStr"/>
    </row>
    <row r="84" ht="15" customHeight="1">
      <c r="A84" t="inlineStr">
        <is>
          <t>A 46075-2019</t>
        </is>
      </c>
      <c r="B84" s="1" t="n">
        <v>43713</v>
      </c>
      <c r="C84" s="1" t="n">
        <v>45588</v>
      </c>
      <c r="D84" t="inlineStr">
        <is>
          <t>NORRBOTTENS LÄN</t>
        </is>
      </c>
      <c r="E84" t="inlineStr">
        <is>
          <t>ARVIDSJAUR</t>
        </is>
      </c>
      <c r="G84" t="n">
        <v>12.5</v>
      </c>
      <c r="H84" t="n">
        <v>0</v>
      </c>
      <c r="I84" t="n">
        <v>0</v>
      </c>
      <c r="J84" t="n">
        <v>0</v>
      </c>
      <c r="K84" t="n">
        <v>0</v>
      </c>
      <c r="L84" t="n">
        <v>0</v>
      </c>
      <c r="M84" t="n">
        <v>0</v>
      </c>
      <c r="N84" t="n">
        <v>0</v>
      </c>
      <c r="O84" t="n">
        <v>0</v>
      </c>
      <c r="P84" t="n">
        <v>0</v>
      </c>
      <c r="Q84" t="n">
        <v>0</v>
      </c>
      <c r="R84" s="2" t="inlineStr"/>
    </row>
    <row r="85" ht="15" customHeight="1">
      <c r="A85" t="inlineStr">
        <is>
          <t>A 46293-2019</t>
        </is>
      </c>
      <c r="B85" s="1" t="n">
        <v>43717</v>
      </c>
      <c r="C85" s="1" t="n">
        <v>45588</v>
      </c>
      <c r="D85" t="inlineStr">
        <is>
          <t>NORRBOTTENS LÄN</t>
        </is>
      </c>
      <c r="E85" t="inlineStr">
        <is>
          <t>ARVIDSJAUR</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46125-2019</t>
        </is>
      </c>
      <c r="B86" s="1" t="n">
        <v>43718</v>
      </c>
      <c r="C86" s="1" t="n">
        <v>45588</v>
      </c>
      <c r="D86" t="inlineStr">
        <is>
          <t>NORRBOTTENS LÄN</t>
        </is>
      </c>
      <c r="E86" t="inlineStr">
        <is>
          <t>ARVIDSJAUR</t>
        </is>
      </c>
      <c r="G86" t="n">
        <v>1.3</v>
      </c>
      <c r="H86" t="n">
        <v>0</v>
      </c>
      <c r="I86" t="n">
        <v>0</v>
      </c>
      <c r="J86" t="n">
        <v>0</v>
      </c>
      <c r="K86" t="n">
        <v>0</v>
      </c>
      <c r="L86" t="n">
        <v>0</v>
      </c>
      <c r="M86" t="n">
        <v>0</v>
      </c>
      <c r="N86" t="n">
        <v>0</v>
      </c>
      <c r="O86" t="n">
        <v>0</v>
      </c>
      <c r="P86" t="n">
        <v>0</v>
      </c>
      <c r="Q86" t="n">
        <v>0</v>
      </c>
      <c r="R86" s="2" t="inlineStr"/>
    </row>
    <row r="87" ht="15" customHeight="1">
      <c r="A87" t="inlineStr">
        <is>
          <t>A 46155-2019</t>
        </is>
      </c>
      <c r="B87" s="1" t="n">
        <v>43718</v>
      </c>
      <c r="C87" s="1" t="n">
        <v>45588</v>
      </c>
      <c r="D87" t="inlineStr">
        <is>
          <t>NORRBOTTENS LÄN</t>
        </is>
      </c>
      <c r="E87" t="inlineStr">
        <is>
          <t>ARVIDSJAUR</t>
        </is>
      </c>
      <c r="G87" t="n">
        <v>0.4</v>
      </c>
      <c r="H87" t="n">
        <v>0</v>
      </c>
      <c r="I87" t="n">
        <v>0</v>
      </c>
      <c r="J87" t="n">
        <v>0</v>
      </c>
      <c r="K87" t="n">
        <v>0</v>
      </c>
      <c r="L87" t="n">
        <v>0</v>
      </c>
      <c r="M87" t="n">
        <v>0</v>
      </c>
      <c r="N87" t="n">
        <v>0</v>
      </c>
      <c r="O87" t="n">
        <v>0</v>
      </c>
      <c r="P87" t="n">
        <v>0</v>
      </c>
      <c r="Q87" t="n">
        <v>0</v>
      </c>
      <c r="R87" s="2" t="inlineStr"/>
    </row>
    <row r="88" ht="15" customHeight="1">
      <c r="A88" t="inlineStr">
        <is>
          <t>A 48708-2019</t>
        </is>
      </c>
      <c r="B88" s="1" t="n">
        <v>43728</v>
      </c>
      <c r="C88" s="1" t="n">
        <v>45588</v>
      </c>
      <c r="D88" t="inlineStr">
        <is>
          <t>NORRBOTTENS LÄN</t>
        </is>
      </c>
      <c r="E88" t="inlineStr">
        <is>
          <t>ARVIDSJAUR</t>
        </is>
      </c>
      <c r="F88" t="inlineStr">
        <is>
          <t>Sveaskog</t>
        </is>
      </c>
      <c r="G88" t="n">
        <v>7.7</v>
      </c>
      <c r="H88" t="n">
        <v>0</v>
      </c>
      <c r="I88" t="n">
        <v>0</v>
      </c>
      <c r="J88" t="n">
        <v>0</v>
      </c>
      <c r="K88" t="n">
        <v>0</v>
      </c>
      <c r="L88" t="n">
        <v>0</v>
      </c>
      <c r="M88" t="n">
        <v>0</v>
      </c>
      <c r="N88" t="n">
        <v>0</v>
      </c>
      <c r="O88" t="n">
        <v>0</v>
      </c>
      <c r="P88" t="n">
        <v>0</v>
      </c>
      <c r="Q88" t="n">
        <v>0</v>
      </c>
      <c r="R88" s="2" t="inlineStr"/>
    </row>
    <row r="89" ht="15" customHeight="1">
      <c r="A89" t="inlineStr">
        <is>
          <t>A 48706-2019</t>
        </is>
      </c>
      <c r="B89" s="1" t="n">
        <v>43728</v>
      </c>
      <c r="C89" s="1" t="n">
        <v>45588</v>
      </c>
      <c r="D89" t="inlineStr">
        <is>
          <t>NORRBOTTENS LÄN</t>
        </is>
      </c>
      <c r="E89" t="inlineStr">
        <is>
          <t>ARVIDSJAUR</t>
        </is>
      </c>
      <c r="F89" t="inlineStr">
        <is>
          <t>Sveaskog</t>
        </is>
      </c>
      <c r="G89" t="n">
        <v>1.9</v>
      </c>
      <c r="H89" t="n">
        <v>0</v>
      </c>
      <c r="I89" t="n">
        <v>0</v>
      </c>
      <c r="J89" t="n">
        <v>0</v>
      </c>
      <c r="K89" t="n">
        <v>0</v>
      </c>
      <c r="L89" t="n">
        <v>0</v>
      </c>
      <c r="M89" t="n">
        <v>0</v>
      </c>
      <c r="N89" t="n">
        <v>0</v>
      </c>
      <c r="O89" t="n">
        <v>0</v>
      </c>
      <c r="P89" t="n">
        <v>0</v>
      </c>
      <c r="Q89" t="n">
        <v>0</v>
      </c>
      <c r="R89" s="2" t="inlineStr"/>
    </row>
    <row r="90" ht="15" customHeight="1">
      <c r="A90" t="inlineStr">
        <is>
          <t>A 49551-2019</t>
        </is>
      </c>
      <c r="B90" s="1" t="n">
        <v>43732</v>
      </c>
      <c r="C90" s="1" t="n">
        <v>45588</v>
      </c>
      <c r="D90" t="inlineStr">
        <is>
          <t>NORRBOTTENS LÄN</t>
        </is>
      </c>
      <c r="E90" t="inlineStr">
        <is>
          <t>ARVIDSJAUR</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51815-2019</t>
        </is>
      </c>
      <c r="B91" s="1" t="n">
        <v>43734</v>
      </c>
      <c r="C91" s="1" t="n">
        <v>45588</v>
      </c>
      <c r="D91" t="inlineStr">
        <is>
          <t>NORRBOTTENS LÄN</t>
        </is>
      </c>
      <c r="E91" t="inlineStr">
        <is>
          <t>ARVIDSJAUR</t>
        </is>
      </c>
      <c r="G91" t="n">
        <v>5.5</v>
      </c>
      <c r="H91" t="n">
        <v>0</v>
      </c>
      <c r="I91" t="n">
        <v>0</v>
      </c>
      <c r="J91" t="n">
        <v>0</v>
      </c>
      <c r="K91" t="n">
        <v>0</v>
      </c>
      <c r="L91" t="n">
        <v>0</v>
      </c>
      <c r="M91" t="n">
        <v>0</v>
      </c>
      <c r="N91" t="n">
        <v>0</v>
      </c>
      <c r="O91" t="n">
        <v>0</v>
      </c>
      <c r="P91" t="n">
        <v>0</v>
      </c>
      <c r="Q91" t="n">
        <v>0</v>
      </c>
      <c r="R91" s="2" t="inlineStr"/>
    </row>
    <row r="92" ht="15" customHeight="1">
      <c r="A92" t="inlineStr">
        <is>
          <t>A 52081-2019</t>
        </is>
      </c>
      <c r="B92" s="1" t="n">
        <v>43735</v>
      </c>
      <c r="C92" s="1" t="n">
        <v>45588</v>
      </c>
      <c r="D92" t="inlineStr">
        <is>
          <t>NORRBOTTENS LÄN</t>
        </is>
      </c>
      <c r="E92" t="inlineStr">
        <is>
          <t>ARVIDSJAUR</t>
        </is>
      </c>
      <c r="G92" t="n">
        <v>0.2</v>
      </c>
      <c r="H92" t="n">
        <v>0</v>
      </c>
      <c r="I92" t="n">
        <v>0</v>
      </c>
      <c r="J92" t="n">
        <v>0</v>
      </c>
      <c r="K92" t="n">
        <v>0</v>
      </c>
      <c r="L92" t="n">
        <v>0</v>
      </c>
      <c r="M92" t="n">
        <v>0</v>
      </c>
      <c r="N92" t="n">
        <v>0</v>
      </c>
      <c r="O92" t="n">
        <v>0</v>
      </c>
      <c r="P92" t="n">
        <v>0</v>
      </c>
      <c r="Q92" t="n">
        <v>0</v>
      </c>
      <c r="R92" s="2" t="inlineStr"/>
    </row>
    <row r="93" ht="15" customHeight="1">
      <c r="A93" t="inlineStr">
        <is>
          <t>A 50788-2019</t>
        </is>
      </c>
      <c r="B93" s="1" t="n">
        <v>43738</v>
      </c>
      <c r="C93" s="1" t="n">
        <v>45588</v>
      </c>
      <c r="D93" t="inlineStr">
        <is>
          <t>NORRBOTTENS LÄN</t>
        </is>
      </c>
      <c r="E93" t="inlineStr">
        <is>
          <t>ARVIDSJAUR</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53994-2019</t>
        </is>
      </c>
      <c r="B94" s="1" t="n">
        <v>43742</v>
      </c>
      <c r="C94" s="1" t="n">
        <v>45588</v>
      </c>
      <c r="D94" t="inlineStr">
        <is>
          <t>NORRBOTTENS LÄN</t>
        </is>
      </c>
      <c r="E94" t="inlineStr">
        <is>
          <t>ARVIDSJAUR</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54828-2019</t>
        </is>
      </c>
      <c r="B95" s="1" t="n">
        <v>43749</v>
      </c>
      <c r="C95" s="1" t="n">
        <v>45588</v>
      </c>
      <c r="D95" t="inlineStr">
        <is>
          <t>NORRBOTTENS LÄN</t>
        </is>
      </c>
      <c r="E95" t="inlineStr">
        <is>
          <t>ARVIDSJAUR</t>
        </is>
      </c>
      <c r="G95" t="n">
        <v>3.5</v>
      </c>
      <c r="H95" t="n">
        <v>0</v>
      </c>
      <c r="I95" t="n">
        <v>0</v>
      </c>
      <c r="J95" t="n">
        <v>0</v>
      </c>
      <c r="K95" t="n">
        <v>0</v>
      </c>
      <c r="L95" t="n">
        <v>0</v>
      </c>
      <c r="M95" t="n">
        <v>0</v>
      </c>
      <c r="N95" t="n">
        <v>0</v>
      </c>
      <c r="O95" t="n">
        <v>0</v>
      </c>
      <c r="P95" t="n">
        <v>0</v>
      </c>
      <c r="Q95" t="n">
        <v>0</v>
      </c>
      <c r="R95" s="2" t="inlineStr"/>
    </row>
    <row r="96" ht="15" customHeight="1">
      <c r="A96" t="inlineStr">
        <is>
          <t>A 54852-2019</t>
        </is>
      </c>
      <c r="B96" s="1" t="n">
        <v>43749</v>
      </c>
      <c r="C96" s="1" t="n">
        <v>45588</v>
      </c>
      <c r="D96" t="inlineStr">
        <is>
          <t>NORRBOTTENS LÄN</t>
        </is>
      </c>
      <c r="E96" t="inlineStr">
        <is>
          <t>ARVIDSJAUR</t>
        </is>
      </c>
      <c r="G96" t="n">
        <v>2.4</v>
      </c>
      <c r="H96" t="n">
        <v>0</v>
      </c>
      <c r="I96" t="n">
        <v>0</v>
      </c>
      <c r="J96" t="n">
        <v>0</v>
      </c>
      <c r="K96" t="n">
        <v>0</v>
      </c>
      <c r="L96" t="n">
        <v>0</v>
      </c>
      <c r="M96" t="n">
        <v>0</v>
      </c>
      <c r="N96" t="n">
        <v>0</v>
      </c>
      <c r="O96" t="n">
        <v>0</v>
      </c>
      <c r="P96" t="n">
        <v>0</v>
      </c>
      <c r="Q96" t="n">
        <v>0</v>
      </c>
      <c r="R96" s="2" t="inlineStr"/>
    </row>
    <row r="97" ht="15" customHeight="1">
      <c r="A97" t="inlineStr">
        <is>
          <t>A 55784-2019</t>
        </is>
      </c>
      <c r="B97" s="1" t="n">
        <v>43759</v>
      </c>
      <c r="C97" s="1" t="n">
        <v>45588</v>
      </c>
      <c r="D97" t="inlineStr">
        <is>
          <t>NORRBOTTENS LÄN</t>
        </is>
      </c>
      <c r="E97" t="inlineStr">
        <is>
          <t>ARVIDSJAUR</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58054-2019</t>
        </is>
      </c>
      <c r="B98" s="1" t="n">
        <v>43763</v>
      </c>
      <c r="C98" s="1" t="n">
        <v>45588</v>
      </c>
      <c r="D98" t="inlineStr">
        <is>
          <t>NORRBOTTENS LÄN</t>
        </is>
      </c>
      <c r="E98" t="inlineStr">
        <is>
          <t>ARVIDSJAUR</t>
        </is>
      </c>
      <c r="G98" t="n">
        <v>4.5</v>
      </c>
      <c r="H98" t="n">
        <v>0</v>
      </c>
      <c r="I98" t="n">
        <v>0</v>
      </c>
      <c r="J98" t="n">
        <v>0</v>
      </c>
      <c r="K98" t="n">
        <v>0</v>
      </c>
      <c r="L98" t="n">
        <v>0</v>
      </c>
      <c r="M98" t="n">
        <v>0</v>
      </c>
      <c r="N98" t="n">
        <v>0</v>
      </c>
      <c r="O98" t="n">
        <v>0</v>
      </c>
      <c r="P98" t="n">
        <v>0</v>
      </c>
      <c r="Q98" t="n">
        <v>0</v>
      </c>
      <c r="R98" s="2" t="inlineStr"/>
    </row>
    <row r="99" ht="15" customHeight="1">
      <c r="A99" t="inlineStr">
        <is>
          <t>A 58713-2019</t>
        </is>
      </c>
      <c r="B99" s="1" t="n">
        <v>43773</v>
      </c>
      <c r="C99" s="1" t="n">
        <v>45588</v>
      </c>
      <c r="D99" t="inlineStr">
        <is>
          <t>NORRBOTTENS LÄN</t>
        </is>
      </c>
      <c r="E99" t="inlineStr">
        <is>
          <t>ARVIDSJAUR</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58949-2019</t>
        </is>
      </c>
      <c r="B100" s="1" t="n">
        <v>43774</v>
      </c>
      <c r="C100" s="1" t="n">
        <v>45588</v>
      </c>
      <c r="D100" t="inlineStr">
        <is>
          <t>NORRBOTTENS LÄN</t>
        </is>
      </c>
      <c r="E100" t="inlineStr">
        <is>
          <t>ARVIDSJAUR</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59019-2019</t>
        </is>
      </c>
      <c r="B101" s="1" t="n">
        <v>43774</v>
      </c>
      <c r="C101" s="1" t="n">
        <v>45588</v>
      </c>
      <c r="D101" t="inlineStr">
        <is>
          <t>NORRBOTTENS LÄN</t>
        </is>
      </c>
      <c r="E101" t="inlineStr">
        <is>
          <t>ARVIDSJAUR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62629-2019</t>
        </is>
      </c>
      <c r="B102" s="1" t="n">
        <v>43789</v>
      </c>
      <c r="C102" s="1" t="n">
        <v>45588</v>
      </c>
      <c r="D102" t="inlineStr">
        <is>
          <t>NORRBOTTENS LÄN</t>
        </is>
      </c>
      <c r="E102" t="inlineStr">
        <is>
          <t>ARVIDSJAUR</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938-2020</t>
        </is>
      </c>
      <c r="B103" s="1" t="n">
        <v>43818</v>
      </c>
      <c r="C103" s="1" t="n">
        <v>45588</v>
      </c>
      <c r="D103" t="inlineStr">
        <is>
          <t>NORRBOTTENS LÄN</t>
        </is>
      </c>
      <c r="E103" t="inlineStr">
        <is>
          <t>ARVIDSJAUR</t>
        </is>
      </c>
      <c r="G103" t="n">
        <v>0.6</v>
      </c>
      <c r="H103" t="n">
        <v>0</v>
      </c>
      <c r="I103" t="n">
        <v>0</v>
      </c>
      <c r="J103" t="n">
        <v>0</v>
      </c>
      <c r="K103" t="n">
        <v>0</v>
      </c>
      <c r="L103" t="n">
        <v>0</v>
      </c>
      <c r="M103" t="n">
        <v>0</v>
      </c>
      <c r="N103" t="n">
        <v>0</v>
      </c>
      <c r="O103" t="n">
        <v>0</v>
      </c>
      <c r="P103" t="n">
        <v>0</v>
      </c>
      <c r="Q103" t="n">
        <v>0</v>
      </c>
      <c r="R103" s="2" t="inlineStr"/>
    </row>
    <row r="104" ht="15" customHeight="1">
      <c r="A104" t="inlineStr">
        <is>
          <t>A 934-2020</t>
        </is>
      </c>
      <c r="B104" s="1" t="n">
        <v>43818</v>
      </c>
      <c r="C104" s="1" t="n">
        <v>45588</v>
      </c>
      <c r="D104" t="inlineStr">
        <is>
          <t>NORRBOTTENS LÄN</t>
        </is>
      </c>
      <c r="E104" t="inlineStr">
        <is>
          <t>ARVIDSJAUR</t>
        </is>
      </c>
      <c r="G104" t="n">
        <v>3.2</v>
      </c>
      <c r="H104" t="n">
        <v>0</v>
      </c>
      <c r="I104" t="n">
        <v>0</v>
      </c>
      <c r="J104" t="n">
        <v>0</v>
      </c>
      <c r="K104" t="n">
        <v>0</v>
      </c>
      <c r="L104" t="n">
        <v>0</v>
      </c>
      <c r="M104" t="n">
        <v>0</v>
      </c>
      <c r="N104" t="n">
        <v>0</v>
      </c>
      <c r="O104" t="n">
        <v>0</v>
      </c>
      <c r="P104" t="n">
        <v>0</v>
      </c>
      <c r="Q104" t="n">
        <v>0</v>
      </c>
      <c r="R104" s="2" t="inlineStr"/>
    </row>
    <row r="105" ht="15" customHeight="1">
      <c r="A105" t="inlineStr">
        <is>
          <t>A 1621-2020</t>
        </is>
      </c>
      <c r="B105" s="1" t="n">
        <v>43844</v>
      </c>
      <c r="C105" s="1" t="n">
        <v>45588</v>
      </c>
      <c r="D105" t="inlineStr">
        <is>
          <t>NORRBOTTENS LÄN</t>
        </is>
      </c>
      <c r="E105" t="inlineStr">
        <is>
          <t>ARVIDSJAUR</t>
        </is>
      </c>
      <c r="G105" t="n">
        <v>7.3</v>
      </c>
      <c r="H105" t="n">
        <v>0</v>
      </c>
      <c r="I105" t="n">
        <v>0</v>
      </c>
      <c r="J105" t="n">
        <v>0</v>
      </c>
      <c r="K105" t="n">
        <v>0</v>
      </c>
      <c r="L105" t="n">
        <v>0</v>
      </c>
      <c r="M105" t="n">
        <v>0</v>
      </c>
      <c r="N105" t="n">
        <v>0</v>
      </c>
      <c r="O105" t="n">
        <v>0</v>
      </c>
      <c r="P105" t="n">
        <v>0</v>
      </c>
      <c r="Q105" t="n">
        <v>0</v>
      </c>
      <c r="R105" s="2" t="inlineStr"/>
    </row>
    <row r="106" ht="15" customHeight="1">
      <c r="A106" t="inlineStr">
        <is>
          <t>A 3902-2020</t>
        </is>
      </c>
      <c r="B106" s="1" t="n">
        <v>43846</v>
      </c>
      <c r="C106" s="1" t="n">
        <v>45588</v>
      </c>
      <c r="D106" t="inlineStr">
        <is>
          <t>NORRBOTTENS LÄN</t>
        </is>
      </c>
      <c r="E106" t="inlineStr">
        <is>
          <t>ARVIDSJAUR</t>
        </is>
      </c>
      <c r="G106" t="n">
        <v>1</v>
      </c>
      <c r="H106" t="n">
        <v>0</v>
      </c>
      <c r="I106" t="n">
        <v>0</v>
      </c>
      <c r="J106" t="n">
        <v>0</v>
      </c>
      <c r="K106" t="n">
        <v>0</v>
      </c>
      <c r="L106" t="n">
        <v>0</v>
      </c>
      <c r="M106" t="n">
        <v>0</v>
      </c>
      <c r="N106" t="n">
        <v>0</v>
      </c>
      <c r="O106" t="n">
        <v>0</v>
      </c>
      <c r="P106" t="n">
        <v>0</v>
      </c>
      <c r="Q106" t="n">
        <v>0</v>
      </c>
      <c r="R106" s="2" t="inlineStr"/>
    </row>
    <row r="107" ht="15" customHeight="1">
      <c r="A107" t="inlineStr">
        <is>
          <t>A 4433-2020</t>
        </is>
      </c>
      <c r="B107" s="1" t="n">
        <v>43850</v>
      </c>
      <c r="C107" s="1" t="n">
        <v>45588</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4568-2020</t>
        </is>
      </c>
      <c r="B108" s="1" t="n">
        <v>43850</v>
      </c>
      <c r="C108" s="1" t="n">
        <v>45588</v>
      </c>
      <c r="D108" t="inlineStr">
        <is>
          <t>NORRBOTTENS LÄN</t>
        </is>
      </c>
      <c r="E108" t="inlineStr">
        <is>
          <t>ARVIDSJAUR</t>
        </is>
      </c>
      <c r="G108" t="n">
        <v>10.2</v>
      </c>
      <c r="H108" t="n">
        <v>0</v>
      </c>
      <c r="I108" t="n">
        <v>0</v>
      </c>
      <c r="J108" t="n">
        <v>0</v>
      </c>
      <c r="K108" t="n">
        <v>0</v>
      </c>
      <c r="L108" t="n">
        <v>0</v>
      </c>
      <c r="M108" t="n">
        <v>0</v>
      </c>
      <c r="N108" t="n">
        <v>0</v>
      </c>
      <c r="O108" t="n">
        <v>0</v>
      </c>
      <c r="P108" t="n">
        <v>0</v>
      </c>
      <c r="Q108" t="n">
        <v>0</v>
      </c>
      <c r="R108" s="2" t="inlineStr"/>
    </row>
    <row r="109" ht="15" customHeight="1">
      <c r="A109" t="inlineStr">
        <is>
          <t>A 9376-2020</t>
        </is>
      </c>
      <c r="B109" s="1" t="n">
        <v>43880</v>
      </c>
      <c r="C109" s="1" t="n">
        <v>45588</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9596-2020</t>
        </is>
      </c>
      <c r="B110" s="1" t="n">
        <v>43880</v>
      </c>
      <c r="C110" s="1" t="n">
        <v>45588</v>
      </c>
      <c r="D110" t="inlineStr">
        <is>
          <t>NORRBOTTENS LÄN</t>
        </is>
      </c>
      <c r="E110" t="inlineStr">
        <is>
          <t>ARVIDSJAUR</t>
        </is>
      </c>
      <c r="G110" t="n">
        <v>0.6</v>
      </c>
      <c r="H110" t="n">
        <v>0</v>
      </c>
      <c r="I110" t="n">
        <v>0</v>
      </c>
      <c r="J110" t="n">
        <v>0</v>
      </c>
      <c r="K110" t="n">
        <v>0</v>
      </c>
      <c r="L110" t="n">
        <v>0</v>
      </c>
      <c r="M110" t="n">
        <v>0</v>
      </c>
      <c r="N110" t="n">
        <v>0</v>
      </c>
      <c r="O110" t="n">
        <v>0</v>
      </c>
      <c r="P110" t="n">
        <v>0</v>
      </c>
      <c r="Q110" t="n">
        <v>0</v>
      </c>
      <c r="R110" s="2" t="inlineStr"/>
    </row>
    <row r="111" ht="15" customHeight="1">
      <c r="A111" t="inlineStr">
        <is>
          <t>A 9871-2020</t>
        </is>
      </c>
      <c r="B111" s="1" t="n">
        <v>43881</v>
      </c>
      <c r="C111" s="1" t="n">
        <v>45588</v>
      </c>
      <c r="D111" t="inlineStr">
        <is>
          <t>NORRBOTTENS LÄN</t>
        </is>
      </c>
      <c r="E111" t="inlineStr">
        <is>
          <t>ARVIDSJAUR</t>
        </is>
      </c>
      <c r="F111" t="inlineStr">
        <is>
          <t>Allmännings- och besparingsskogar</t>
        </is>
      </c>
      <c r="G111" t="n">
        <v>0.9</v>
      </c>
      <c r="H111" t="n">
        <v>0</v>
      </c>
      <c r="I111" t="n">
        <v>0</v>
      </c>
      <c r="J111" t="n">
        <v>0</v>
      </c>
      <c r="K111" t="n">
        <v>0</v>
      </c>
      <c r="L111" t="n">
        <v>0</v>
      </c>
      <c r="M111" t="n">
        <v>0</v>
      </c>
      <c r="N111" t="n">
        <v>0</v>
      </c>
      <c r="O111" t="n">
        <v>0</v>
      </c>
      <c r="P111" t="n">
        <v>0</v>
      </c>
      <c r="Q111" t="n">
        <v>0</v>
      </c>
      <c r="R111" s="2" t="inlineStr"/>
    </row>
    <row r="112" ht="15" customHeight="1">
      <c r="A112" t="inlineStr">
        <is>
          <t>A 13390-2020</t>
        </is>
      </c>
      <c r="B112" s="1" t="n">
        <v>43894</v>
      </c>
      <c r="C112" s="1" t="n">
        <v>45588</v>
      </c>
      <c r="D112" t="inlineStr">
        <is>
          <t>NORRBOTTENS LÄN</t>
        </is>
      </c>
      <c r="E112" t="inlineStr">
        <is>
          <t>ARVIDSJAUR</t>
        </is>
      </c>
      <c r="G112" t="n">
        <v>13.1</v>
      </c>
      <c r="H112" t="n">
        <v>0</v>
      </c>
      <c r="I112" t="n">
        <v>0</v>
      </c>
      <c r="J112" t="n">
        <v>0</v>
      </c>
      <c r="K112" t="n">
        <v>0</v>
      </c>
      <c r="L112" t="n">
        <v>0</v>
      </c>
      <c r="M112" t="n">
        <v>0</v>
      </c>
      <c r="N112" t="n">
        <v>0</v>
      </c>
      <c r="O112" t="n">
        <v>0</v>
      </c>
      <c r="P112" t="n">
        <v>0</v>
      </c>
      <c r="Q112" t="n">
        <v>0</v>
      </c>
      <c r="R112" s="2" t="inlineStr"/>
    </row>
    <row r="113" ht="15" customHeight="1">
      <c r="A113" t="inlineStr">
        <is>
          <t>A 14208-2020</t>
        </is>
      </c>
      <c r="B113" s="1" t="n">
        <v>43900</v>
      </c>
      <c r="C113" s="1" t="n">
        <v>45588</v>
      </c>
      <c r="D113" t="inlineStr">
        <is>
          <t>NORRBOTTENS LÄN</t>
        </is>
      </c>
      <c r="E113" t="inlineStr">
        <is>
          <t>ARVIDSJAUR</t>
        </is>
      </c>
      <c r="G113" t="n">
        <v>4.8</v>
      </c>
      <c r="H113" t="n">
        <v>0</v>
      </c>
      <c r="I113" t="n">
        <v>0</v>
      </c>
      <c r="J113" t="n">
        <v>0</v>
      </c>
      <c r="K113" t="n">
        <v>0</v>
      </c>
      <c r="L113" t="n">
        <v>0</v>
      </c>
      <c r="M113" t="n">
        <v>0</v>
      </c>
      <c r="N113" t="n">
        <v>0</v>
      </c>
      <c r="O113" t="n">
        <v>0</v>
      </c>
      <c r="P113" t="n">
        <v>0</v>
      </c>
      <c r="Q113" t="n">
        <v>0</v>
      </c>
      <c r="R113" s="2" t="inlineStr"/>
    </row>
    <row r="114" ht="15" customHeight="1">
      <c r="A114" t="inlineStr">
        <is>
          <t>A 14141-2020</t>
        </is>
      </c>
      <c r="B114" s="1" t="n">
        <v>43900</v>
      </c>
      <c r="C114" s="1" t="n">
        <v>45588</v>
      </c>
      <c r="D114" t="inlineStr">
        <is>
          <t>NORRBOTTENS LÄN</t>
        </is>
      </c>
      <c r="E114" t="inlineStr">
        <is>
          <t>ARVIDSJAUR</t>
        </is>
      </c>
      <c r="G114" t="n">
        <v>3.3</v>
      </c>
      <c r="H114" t="n">
        <v>0</v>
      </c>
      <c r="I114" t="n">
        <v>0</v>
      </c>
      <c r="J114" t="n">
        <v>0</v>
      </c>
      <c r="K114" t="n">
        <v>0</v>
      </c>
      <c r="L114" t="n">
        <v>0</v>
      </c>
      <c r="M114" t="n">
        <v>0</v>
      </c>
      <c r="N114" t="n">
        <v>0</v>
      </c>
      <c r="O114" t="n">
        <v>0</v>
      </c>
      <c r="P114" t="n">
        <v>0</v>
      </c>
      <c r="Q114" t="n">
        <v>0</v>
      </c>
      <c r="R114" s="2" t="inlineStr"/>
    </row>
    <row r="115" ht="15" customHeight="1">
      <c r="A115" t="inlineStr">
        <is>
          <t>A 20301-2020</t>
        </is>
      </c>
      <c r="B115" s="1" t="n">
        <v>43944</v>
      </c>
      <c r="C115" s="1" t="n">
        <v>45588</v>
      </c>
      <c r="D115" t="inlineStr">
        <is>
          <t>NORRBOTTENS LÄN</t>
        </is>
      </c>
      <c r="E115" t="inlineStr">
        <is>
          <t>ARVIDSJAUR</t>
        </is>
      </c>
      <c r="G115" t="n">
        <v>13.1</v>
      </c>
      <c r="H115" t="n">
        <v>0</v>
      </c>
      <c r="I115" t="n">
        <v>0</v>
      </c>
      <c r="J115" t="n">
        <v>0</v>
      </c>
      <c r="K115" t="n">
        <v>0</v>
      </c>
      <c r="L115" t="n">
        <v>0</v>
      </c>
      <c r="M115" t="n">
        <v>0</v>
      </c>
      <c r="N115" t="n">
        <v>0</v>
      </c>
      <c r="O115" t="n">
        <v>0</v>
      </c>
      <c r="P115" t="n">
        <v>0</v>
      </c>
      <c r="Q115" t="n">
        <v>0</v>
      </c>
      <c r="R115" s="2" t="inlineStr"/>
    </row>
    <row r="116" ht="15" customHeight="1">
      <c r="A116" t="inlineStr">
        <is>
          <t>A 22933-2020</t>
        </is>
      </c>
      <c r="B116" s="1" t="n">
        <v>43964</v>
      </c>
      <c r="C116" s="1" t="n">
        <v>45588</v>
      </c>
      <c r="D116" t="inlineStr">
        <is>
          <t>NORRBOTTENS LÄN</t>
        </is>
      </c>
      <c r="E116" t="inlineStr">
        <is>
          <t>ARVIDSJAUR</t>
        </is>
      </c>
      <c r="F116" t="inlineStr">
        <is>
          <t>Allmännings- och besparingsskogar</t>
        </is>
      </c>
      <c r="G116" t="n">
        <v>0.3</v>
      </c>
      <c r="H116" t="n">
        <v>0</v>
      </c>
      <c r="I116" t="n">
        <v>0</v>
      </c>
      <c r="J116" t="n">
        <v>0</v>
      </c>
      <c r="K116" t="n">
        <v>0</v>
      </c>
      <c r="L116" t="n">
        <v>0</v>
      </c>
      <c r="M116" t="n">
        <v>0</v>
      </c>
      <c r="N116" t="n">
        <v>0</v>
      </c>
      <c r="O116" t="n">
        <v>0</v>
      </c>
      <c r="P116" t="n">
        <v>0</v>
      </c>
      <c r="Q116" t="n">
        <v>0</v>
      </c>
      <c r="R116" s="2" t="inlineStr"/>
    </row>
    <row r="117" ht="15" customHeight="1">
      <c r="A117" t="inlineStr">
        <is>
          <t>A 22953-2020</t>
        </is>
      </c>
      <c r="B117" s="1" t="n">
        <v>43964</v>
      </c>
      <c r="C117" s="1" t="n">
        <v>45588</v>
      </c>
      <c r="D117" t="inlineStr">
        <is>
          <t>NORRBOTTENS LÄN</t>
        </is>
      </c>
      <c r="E117" t="inlineStr">
        <is>
          <t>ARVIDSJAUR</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24232-2020</t>
        </is>
      </c>
      <c r="B118" s="1" t="n">
        <v>43976</v>
      </c>
      <c r="C118" s="1" t="n">
        <v>45588</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26201-2020</t>
        </is>
      </c>
      <c r="B119" s="1" t="n">
        <v>43986</v>
      </c>
      <c r="C119" s="1" t="n">
        <v>45588</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31333-2020</t>
        </is>
      </c>
      <c r="B120" s="1" t="n">
        <v>44012</v>
      </c>
      <c r="C120" s="1" t="n">
        <v>45588</v>
      </c>
      <c r="D120" t="inlineStr">
        <is>
          <t>NORRBOTTENS LÄN</t>
        </is>
      </c>
      <c r="E120" t="inlineStr">
        <is>
          <t>ARVIDSJAUR</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32190-2020</t>
        </is>
      </c>
      <c r="B121" s="1" t="n">
        <v>44015</v>
      </c>
      <c r="C121" s="1" t="n">
        <v>45588</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33042-2020</t>
        </is>
      </c>
      <c r="B122" s="1" t="n">
        <v>44021</v>
      </c>
      <c r="C122" s="1" t="n">
        <v>45588</v>
      </c>
      <c r="D122" t="inlineStr">
        <is>
          <t>NORRBOTTENS LÄN</t>
        </is>
      </c>
      <c r="E122" t="inlineStr">
        <is>
          <t>ARVIDSJAUR</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35784-2020</t>
        </is>
      </c>
      <c r="B123" s="1" t="n">
        <v>44046</v>
      </c>
      <c r="C123" s="1" t="n">
        <v>45588</v>
      </c>
      <c r="D123" t="inlineStr">
        <is>
          <t>NORRBOTTENS LÄN</t>
        </is>
      </c>
      <c r="E123" t="inlineStr">
        <is>
          <t>ARVIDSJAUR</t>
        </is>
      </c>
      <c r="F123" t="inlineStr">
        <is>
          <t>Övriga Aktiebolag</t>
        </is>
      </c>
      <c r="G123" t="n">
        <v>5.2</v>
      </c>
      <c r="H123" t="n">
        <v>0</v>
      </c>
      <c r="I123" t="n">
        <v>0</v>
      </c>
      <c r="J123" t="n">
        <v>0</v>
      </c>
      <c r="K123" t="n">
        <v>0</v>
      </c>
      <c r="L123" t="n">
        <v>0</v>
      </c>
      <c r="M123" t="n">
        <v>0</v>
      </c>
      <c r="N123" t="n">
        <v>0</v>
      </c>
      <c r="O123" t="n">
        <v>0</v>
      </c>
      <c r="P123" t="n">
        <v>0</v>
      </c>
      <c r="Q123" t="n">
        <v>0</v>
      </c>
      <c r="R123" s="2" t="inlineStr"/>
    </row>
    <row r="124" ht="15" customHeight="1">
      <c r="A124" t="inlineStr">
        <is>
          <t>A 37727-2020</t>
        </is>
      </c>
      <c r="B124" s="1" t="n">
        <v>44056</v>
      </c>
      <c r="C124" s="1" t="n">
        <v>45588</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42684-2020</t>
        </is>
      </c>
      <c r="B125" s="1" t="n">
        <v>44075</v>
      </c>
      <c r="C125" s="1" t="n">
        <v>45588</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42394-2020</t>
        </is>
      </c>
      <c r="B126" s="1" t="n">
        <v>44076</v>
      </c>
      <c r="C126" s="1" t="n">
        <v>45588</v>
      </c>
      <c r="D126" t="inlineStr">
        <is>
          <t>NORRBOTTENS LÄN</t>
        </is>
      </c>
      <c r="E126" t="inlineStr">
        <is>
          <t>ARVIDSJAUR</t>
        </is>
      </c>
      <c r="F126" t="inlineStr">
        <is>
          <t>Sveaskog</t>
        </is>
      </c>
      <c r="G126" t="n">
        <v>5.2</v>
      </c>
      <c r="H126" t="n">
        <v>0</v>
      </c>
      <c r="I126" t="n">
        <v>0</v>
      </c>
      <c r="J126" t="n">
        <v>0</v>
      </c>
      <c r="K126" t="n">
        <v>0</v>
      </c>
      <c r="L126" t="n">
        <v>0</v>
      </c>
      <c r="M126" t="n">
        <v>0</v>
      </c>
      <c r="N126" t="n">
        <v>0</v>
      </c>
      <c r="O126" t="n">
        <v>0</v>
      </c>
      <c r="P126" t="n">
        <v>0</v>
      </c>
      <c r="Q126" t="n">
        <v>0</v>
      </c>
      <c r="R126" s="2" t="inlineStr"/>
    </row>
    <row r="127" ht="15" customHeight="1">
      <c r="A127" t="inlineStr">
        <is>
          <t>A 42227-2020</t>
        </is>
      </c>
      <c r="B127" s="1" t="n">
        <v>44076</v>
      </c>
      <c r="C127" s="1" t="n">
        <v>45588</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44087-2020</t>
        </is>
      </c>
      <c r="B128" s="1" t="n">
        <v>44081</v>
      </c>
      <c r="C128" s="1" t="n">
        <v>45588</v>
      </c>
      <c r="D128" t="inlineStr">
        <is>
          <t>NORRBOTTENS LÄN</t>
        </is>
      </c>
      <c r="E128" t="inlineStr">
        <is>
          <t>ARVIDSJAUR</t>
        </is>
      </c>
      <c r="G128" t="n">
        <v>3.5</v>
      </c>
      <c r="H128" t="n">
        <v>0</v>
      </c>
      <c r="I128" t="n">
        <v>0</v>
      </c>
      <c r="J128" t="n">
        <v>0</v>
      </c>
      <c r="K128" t="n">
        <v>0</v>
      </c>
      <c r="L128" t="n">
        <v>0</v>
      </c>
      <c r="M128" t="n">
        <v>0</v>
      </c>
      <c r="N128" t="n">
        <v>0</v>
      </c>
      <c r="O128" t="n">
        <v>0</v>
      </c>
      <c r="P128" t="n">
        <v>0</v>
      </c>
      <c r="Q128" t="n">
        <v>0</v>
      </c>
      <c r="R128" s="2" t="inlineStr"/>
    </row>
    <row r="129" ht="15" customHeight="1">
      <c r="A129" t="inlineStr">
        <is>
          <t>A 43475-2020</t>
        </is>
      </c>
      <c r="B129" s="1" t="n">
        <v>44082</v>
      </c>
      <c r="C129" s="1" t="n">
        <v>45588</v>
      </c>
      <c r="D129" t="inlineStr">
        <is>
          <t>NORRBOTTENS LÄN</t>
        </is>
      </c>
      <c r="E129" t="inlineStr">
        <is>
          <t>ARVIDSJAUR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43753-2020</t>
        </is>
      </c>
      <c r="B130" s="1" t="n">
        <v>44082</v>
      </c>
      <c r="C130" s="1" t="n">
        <v>45588</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46904-2020</t>
        </is>
      </c>
      <c r="B131" s="1" t="n">
        <v>44089</v>
      </c>
      <c r="C131" s="1" t="n">
        <v>45588</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46333-2020</t>
        </is>
      </c>
      <c r="B132" s="1" t="n">
        <v>44092</v>
      </c>
      <c r="C132" s="1" t="n">
        <v>45588</v>
      </c>
      <c r="D132" t="inlineStr">
        <is>
          <t>NORRBOTTENS LÄN</t>
        </is>
      </c>
      <c r="E132" t="inlineStr">
        <is>
          <t>ARVIDSJAUR</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46330-2020</t>
        </is>
      </c>
      <c r="B133" s="1" t="n">
        <v>44092</v>
      </c>
      <c r="C133" s="1" t="n">
        <v>45588</v>
      </c>
      <c r="D133" t="inlineStr">
        <is>
          <t>NORRBOTTENS LÄN</t>
        </is>
      </c>
      <c r="E133" t="inlineStr">
        <is>
          <t>ARVIDSJAUR</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47189-2020</t>
        </is>
      </c>
      <c r="B134" s="1" t="n">
        <v>44092</v>
      </c>
      <c r="C134" s="1" t="n">
        <v>45588</v>
      </c>
      <c r="D134" t="inlineStr">
        <is>
          <t>NORRBOTTENS LÄN</t>
        </is>
      </c>
      <c r="E134" t="inlineStr">
        <is>
          <t>ARVIDSJAUR</t>
        </is>
      </c>
      <c r="G134" t="n">
        <v>1.2</v>
      </c>
      <c r="H134" t="n">
        <v>0</v>
      </c>
      <c r="I134" t="n">
        <v>0</v>
      </c>
      <c r="J134" t="n">
        <v>0</v>
      </c>
      <c r="K134" t="n">
        <v>0</v>
      </c>
      <c r="L134" t="n">
        <v>0</v>
      </c>
      <c r="M134" t="n">
        <v>0</v>
      </c>
      <c r="N134" t="n">
        <v>0</v>
      </c>
      <c r="O134" t="n">
        <v>0</v>
      </c>
      <c r="P134" t="n">
        <v>0</v>
      </c>
      <c r="Q134" t="n">
        <v>0</v>
      </c>
      <c r="R134" s="2" t="inlineStr"/>
    </row>
    <row r="135" ht="15" customHeight="1">
      <c r="A135" t="inlineStr">
        <is>
          <t>A 50667-2020</t>
        </is>
      </c>
      <c r="B135" s="1" t="n">
        <v>44111</v>
      </c>
      <c r="C135" s="1" t="n">
        <v>45588</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52459-2020</t>
        </is>
      </c>
      <c r="B136" s="1" t="n">
        <v>44116</v>
      </c>
      <c r="C136" s="1" t="n">
        <v>45588</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53398-2020</t>
        </is>
      </c>
      <c r="B137" s="1" t="n">
        <v>44123</v>
      </c>
      <c r="C137" s="1" t="n">
        <v>45588</v>
      </c>
      <c r="D137" t="inlineStr">
        <is>
          <t>NORRBOTTENS LÄN</t>
        </is>
      </c>
      <c r="E137" t="inlineStr">
        <is>
          <t>ARVIDSJAUR</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54842-2020</t>
        </is>
      </c>
      <c r="B138" s="1" t="n">
        <v>44126</v>
      </c>
      <c r="C138" s="1" t="n">
        <v>45588</v>
      </c>
      <c r="D138" t="inlineStr">
        <is>
          <t>NORRBOTTENS LÄN</t>
        </is>
      </c>
      <c r="E138" t="inlineStr">
        <is>
          <t>ARVIDSJAUR</t>
        </is>
      </c>
      <c r="G138" t="n">
        <v>4.1</v>
      </c>
      <c r="H138" t="n">
        <v>0</v>
      </c>
      <c r="I138" t="n">
        <v>0</v>
      </c>
      <c r="J138" t="n">
        <v>0</v>
      </c>
      <c r="K138" t="n">
        <v>0</v>
      </c>
      <c r="L138" t="n">
        <v>0</v>
      </c>
      <c r="M138" t="n">
        <v>0</v>
      </c>
      <c r="N138" t="n">
        <v>0</v>
      </c>
      <c r="O138" t="n">
        <v>0</v>
      </c>
      <c r="P138" t="n">
        <v>0</v>
      </c>
      <c r="Q138" t="n">
        <v>0</v>
      </c>
      <c r="R138" s="2" t="inlineStr"/>
    </row>
    <row r="139" ht="15" customHeight="1">
      <c r="A139" t="inlineStr">
        <is>
          <t>A 55542-2020</t>
        </is>
      </c>
      <c r="B139" s="1" t="n">
        <v>44131</v>
      </c>
      <c r="C139" s="1" t="n">
        <v>45588</v>
      </c>
      <c r="D139" t="inlineStr">
        <is>
          <t>NORRBOTTENS LÄN</t>
        </is>
      </c>
      <c r="E139" t="inlineStr">
        <is>
          <t>ARVIDSJAUR</t>
        </is>
      </c>
      <c r="F139" t="inlineStr">
        <is>
          <t>Sveaskog</t>
        </is>
      </c>
      <c r="G139" t="n">
        <v>9.6</v>
      </c>
      <c r="H139" t="n">
        <v>0</v>
      </c>
      <c r="I139" t="n">
        <v>0</v>
      </c>
      <c r="J139" t="n">
        <v>0</v>
      </c>
      <c r="K139" t="n">
        <v>0</v>
      </c>
      <c r="L139" t="n">
        <v>0</v>
      </c>
      <c r="M139" t="n">
        <v>0</v>
      </c>
      <c r="N139" t="n">
        <v>0</v>
      </c>
      <c r="O139" t="n">
        <v>0</v>
      </c>
      <c r="P139" t="n">
        <v>0</v>
      </c>
      <c r="Q139" t="n">
        <v>0</v>
      </c>
      <c r="R139" s="2" t="inlineStr"/>
    </row>
    <row r="140" ht="15" customHeight="1">
      <c r="A140" t="inlineStr">
        <is>
          <t>A 55702-2020</t>
        </is>
      </c>
      <c r="B140" s="1" t="n">
        <v>44132</v>
      </c>
      <c r="C140" s="1" t="n">
        <v>45588</v>
      </c>
      <c r="D140" t="inlineStr">
        <is>
          <t>NORRBOTTENS LÄN</t>
        </is>
      </c>
      <c r="E140" t="inlineStr">
        <is>
          <t>ARVIDSJAUR</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55830-2020</t>
        </is>
      </c>
      <c r="B141" s="1" t="n">
        <v>44132</v>
      </c>
      <c r="C141" s="1" t="n">
        <v>45588</v>
      </c>
      <c r="D141" t="inlineStr">
        <is>
          <t>NORRBOTTENS LÄN</t>
        </is>
      </c>
      <c r="E141" t="inlineStr">
        <is>
          <t>ARVIDSJAUR</t>
        </is>
      </c>
      <c r="F141" t="inlineStr">
        <is>
          <t>Sveaskog</t>
        </is>
      </c>
      <c r="G141" t="n">
        <v>2.5</v>
      </c>
      <c r="H141" t="n">
        <v>0</v>
      </c>
      <c r="I141" t="n">
        <v>0</v>
      </c>
      <c r="J141" t="n">
        <v>0</v>
      </c>
      <c r="K141" t="n">
        <v>0</v>
      </c>
      <c r="L141" t="n">
        <v>0</v>
      </c>
      <c r="M141" t="n">
        <v>0</v>
      </c>
      <c r="N141" t="n">
        <v>0</v>
      </c>
      <c r="O141" t="n">
        <v>0</v>
      </c>
      <c r="P141" t="n">
        <v>0</v>
      </c>
      <c r="Q141" t="n">
        <v>0</v>
      </c>
      <c r="R141" s="2" t="inlineStr"/>
    </row>
    <row r="142" ht="15" customHeight="1">
      <c r="A142" t="inlineStr">
        <is>
          <t>A 59922-2020</t>
        </is>
      </c>
      <c r="B142" s="1" t="n">
        <v>44148</v>
      </c>
      <c r="C142" s="1" t="n">
        <v>45588</v>
      </c>
      <c r="D142" t="inlineStr">
        <is>
          <t>NORRBOTTENS LÄN</t>
        </is>
      </c>
      <c r="E142" t="inlineStr">
        <is>
          <t>ARVIDSJAUR</t>
        </is>
      </c>
      <c r="G142" t="n">
        <v>16.1</v>
      </c>
      <c r="H142" t="n">
        <v>0</v>
      </c>
      <c r="I142" t="n">
        <v>0</v>
      </c>
      <c r="J142" t="n">
        <v>0</v>
      </c>
      <c r="K142" t="n">
        <v>0</v>
      </c>
      <c r="L142" t="n">
        <v>0</v>
      </c>
      <c r="M142" t="n">
        <v>0</v>
      </c>
      <c r="N142" t="n">
        <v>0</v>
      </c>
      <c r="O142" t="n">
        <v>0</v>
      </c>
      <c r="P142" t="n">
        <v>0</v>
      </c>
      <c r="Q142" t="n">
        <v>0</v>
      </c>
      <c r="R142" s="2" t="inlineStr"/>
    </row>
    <row r="143" ht="15" customHeight="1">
      <c r="A143" t="inlineStr">
        <is>
          <t>A 59929-2020</t>
        </is>
      </c>
      <c r="B143" s="1" t="n">
        <v>44148</v>
      </c>
      <c r="C143" s="1" t="n">
        <v>45588</v>
      </c>
      <c r="D143" t="inlineStr">
        <is>
          <t>NORRBOTTENS LÄN</t>
        </is>
      </c>
      <c r="E143" t="inlineStr">
        <is>
          <t>ARVIDSJAUR</t>
        </is>
      </c>
      <c r="G143" t="n">
        <v>4.3</v>
      </c>
      <c r="H143" t="n">
        <v>0</v>
      </c>
      <c r="I143" t="n">
        <v>0</v>
      </c>
      <c r="J143" t="n">
        <v>0</v>
      </c>
      <c r="K143" t="n">
        <v>0</v>
      </c>
      <c r="L143" t="n">
        <v>0</v>
      </c>
      <c r="M143" t="n">
        <v>0</v>
      </c>
      <c r="N143" t="n">
        <v>0</v>
      </c>
      <c r="O143" t="n">
        <v>0</v>
      </c>
      <c r="P143" t="n">
        <v>0</v>
      </c>
      <c r="Q143" t="n">
        <v>0</v>
      </c>
      <c r="R143" s="2" t="inlineStr"/>
    </row>
    <row r="144" ht="15" customHeight="1">
      <c r="A144" t="inlineStr">
        <is>
          <t>A 59926-2020</t>
        </is>
      </c>
      <c r="B144" s="1" t="n">
        <v>44151</v>
      </c>
      <c r="C144" s="1" t="n">
        <v>45588</v>
      </c>
      <c r="D144" t="inlineStr">
        <is>
          <t>NORRBOTTENS LÄN</t>
        </is>
      </c>
      <c r="E144" t="inlineStr">
        <is>
          <t>ARVIDSJAUR</t>
        </is>
      </c>
      <c r="G144" t="n">
        <v>3.6</v>
      </c>
      <c r="H144" t="n">
        <v>0</v>
      </c>
      <c r="I144" t="n">
        <v>0</v>
      </c>
      <c r="J144" t="n">
        <v>0</v>
      </c>
      <c r="K144" t="n">
        <v>0</v>
      </c>
      <c r="L144" t="n">
        <v>0</v>
      </c>
      <c r="M144" t="n">
        <v>0</v>
      </c>
      <c r="N144" t="n">
        <v>0</v>
      </c>
      <c r="O144" t="n">
        <v>0</v>
      </c>
      <c r="P144" t="n">
        <v>0</v>
      </c>
      <c r="Q144" t="n">
        <v>0</v>
      </c>
      <c r="R144" s="2" t="inlineStr"/>
    </row>
    <row r="145" ht="15" customHeight="1">
      <c r="A145" t="inlineStr">
        <is>
          <t>A 63638-2020</t>
        </is>
      </c>
      <c r="B145" s="1" t="n">
        <v>44162</v>
      </c>
      <c r="C145" s="1" t="n">
        <v>45588</v>
      </c>
      <c r="D145" t="inlineStr">
        <is>
          <t>NORRBOTTENS LÄN</t>
        </is>
      </c>
      <c r="E145" t="inlineStr">
        <is>
          <t>ARVIDSJAUR</t>
        </is>
      </c>
      <c r="G145" t="n">
        <v>5.1</v>
      </c>
      <c r="H145" t="n">
        <v>0</v>
      </c>
      <c r="I145" t="n">
        <v>0</v>
      </c>
      <c r="J145" t="n">
        <v>0</v>
      </c>
      <c r="K145" t="n">
        <v>0</v>
      </c>
      <c r="L145" t="n">
        <v>0</v>
      </c>
      <c r="M145" t="n">
        <v>0</v>
      </c>
      <c r="N145" t="n">
        <v>0</v>
      </c>
      <c r="O145" t="n">
        <v>0</v>
      </c>
      <c r="P145" t="n">
        <v>0</v>
      </c>
      <c r="Q145" t="n">
        <v>0</v>
      </c>
      <c r="R145" s="2" t="inlineStr"/>
    </row>
    <row r="146" ht="15" customHeight="1">
      <c r="A146" t="inlineStr">
        <is>
          <t>A 67384-2020</t>
        </is>
      </c>
      <c r="B146" s="1" t="n">
        <v>44179</v>
      </c>
      <c r="C146" s="1" t="n">
        <v>45588</v>
      </c>
      <c r="D146" t="inlineStr">
        <is>
          <t>NORRBOTTENS LÄN</t>
        </is>
      </c>
      <c r="E146" t="inlineStr">
        <is>
          <t>ARVIDSJAUR</t>
        </is>
      </c>
      <c r="G146" t="n">
        <v>3.1</v>
      </c>
      <c r="H146" t="n">
        <v>0</v>
      </c>
      <c r="I146" t="n">
        <v>0</v>
      </c>
      <c r="J146" t="n">
        <v>0</v>
      </c>
      <c r="K146" t="n">
        <v>0</v>
      </c>
      <c r="L146" t="n">
        <v>0</v>
      </c>
      <c r="M146" t="n">
        <v>0</v>
      </c>
      <c r="N146" t="n">
        <v>0</v>
      </c>
      <c r="O146" t="n">
        <v>0</v>
      </c>
      <c r="P146" t="n">
        <v>0</v>
      </c>
      <c r="Q146" t="n">
        <v>0</v>
      </c>
      <c r="R146" s="2" t="inlineStr"/>
    </row>
    <row r="147" ht="15" customHeight="1">
      <c r="A147" t="inlineStr">
        <is>
          <t>A 67127-2020</t>
        </is>
      </c>
      <c r="B147" s="1" t="n">
        <v>44180</v>
      </c>
      <c r="C147" s="1" t="n">
        <v>45588</v>
      </c>
      <c r="D147" t="inlineStr">
        <is>
          <t>NORRBOTTENS LÄN</t>
        </is>
      </c>
      <c r="E147" t="inlineStr">
        <is>
          <t>ARVIDSJAUR</t>
        </is>
      </c>
      <c r="F147" t="inlineStr">
        <is>
          <t>Sveaskog</t>
        </is>
      </c>
      <c r="G147" t="n">
        <v>6.5</v>
      </c>
      <c r="H147" t="n">
        <v>0</v>
      </c>
      <c r="I147" t="n">
        <v>0</v>
      </c>
      <c r="J147" t="n">
        <v>0</v>
      </c>
      <c r="K147" t="n">
        <v>0</v>
      </c>
      <c r="L147" t="n">
        <v>0</v>
      </c>
      <c r="M147" t="n">
        <v>0</v>
      </c>
      <c r="N147" t="n">
        <v>0</v>
      </c>
      <c r="O147" t="n">
        <v>0</v>
      </c>
      <c r="P147" t="n">
        <v>0</v>
      </c>
      <c r="Q147" t="n">
        <v>0</v>
      </c>
      <c r="R147" s="2" t="inlineStr"/>
    </row>
    <row r="148" ht="15" customHeight="1">
      <c r="A148" t="inlineStr">
        <is>
          <t>A 2748-2021</t>
        </is>
      </c>
      <c r="B148" s="1" t="n">
        <v>44215</v>
      </c>
      <c r="C148" s="1" t="n">
        <v>45588</v>
      </c>
      <c r="D148" t="inlineStr">
        <is>
          <t>NORRBOTTENS LÄN</t>
        </is>
      </c>
      <c r="E148" t="inlineStr">
        <is>
          <t>ARVIDSJAUR</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8483-2021</t>
        </is>
      </c>
      <c r="B149" s="1" t="n">
        <v>44244</v>
      </c>
      <c r="C149" s="1" t="n">
        <v>45588</v>
      </c>
      <c r="D149" t="inlineStr">
        <is>
          <t>NORRBOTTENS LÄN</t>
        </is>
      </c>
      <c r="E149" t="inlineStr">
        <is>
          <t>ARVIDSJAUR</t>
        </is>
      </c>
      <c r="G149" t="n">
        <v>33.1</v>
      </c>
      <c r="H149" t="n">
        <v>0</v>
      </c>
      <c r="I149" t="n">
        <v>0</v>
      </c>
      <c r="J149" t="n">
        <v>0</v>
      </c>
      <c r="K149" t="n">
        <v>0</v>
      </c>
      <c r="L149" t="n">
        <v>0</v>
      </c>
      <c r="M149" t="n">
        <v>0</v>
      </c>
      <c r="N149" t="n">
        <v>0</v>
      </c>
      <c r="O149" t="n">
        <v>0</v>
      </c>
      <c r="P149" t="n">
        <v>0</v>
      </c>
      <c r="Q149" t="n">
        <v>0</v>
      </c>
      <c r="R149" s="2" t="inlineStr"/>
    </row>
    <row r="150" ht="15" customHeight="1">
      <c r="A150" t="inlineStr">
        <is>
          <t>A 9871-2021</t>
        </is>
      </c>
      <c r="B150" s="1" t="n">
        <v>44252</v>
      </c>
      <c r="C150" s="1" t="n">
        <v>45588</v>
      </c>
      <c r="D150" t="inlineStr">
        <is>
          <t>NORRBOTTENS LÄN</t>
        </is>
      </c>
      <c r="E150" t="inlineStr">
        <is>
          <t>ARVIDSJAUR</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9864-2021</t>
        </is>
      </c>
      <c r="B151" s="1" t="n">
        <v>44252</v>
      </c>
      <c r="C151" s="1" t="n">
        <v>45588</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11076-2021</t>
        </is>
      </c>
      <c r="B152" s="1" t="n">
        <v>44259</v>
      </c>
      <c r="C152" s="1" t="n">
        <v>45588</v>
      </c>
      <c r="D152" t="inlineStr">
        <is>
          <t>NORRBOTTENS LÄN</t>
        </is>
      </c>
      <c r="E152" t="inlineStr">
        <is>
          <t>ARVIDSJAUR</t>
        </is>
      </c>
      <c r="G152" t="n">
        <v>5.1</v>
      </c>
      <c r="H152" t="n">
        <v>0</v>
      </c>
      <c r="I152" t="n">
        <v>0</v>
      </c>
      <c r="J152" t="n">
        <v>0</v>
      </c>
      <c r="K152" t="n">
        <v>0</v>
      </c>
      <c r="L152" t="n">
        <v>0</v>
      </c>
      <c r="M152" t="n">
        <v>0</v>
      </c>
      <c r="N152" t="n">
        <v>0</v>
      </c>
      <c r="O152" t="n">
        <v>0</v>
      </c>
      <c r="P152" t="n">
        <v>0</v>
      </c>
      <c r="Q152" t="n">
        <v>0</v>
      </c>
      <c r="R152" s="2" t="inlineStr"/>
    </row>
    <row r="153" ht="15" customHeight="1">
      <c r="A153" t="inlineStr">
        <is>
          <t>A 19889-2021</t>
        </is>
      </c>
      <c r="B153" s="1" t="n">
        <v>44312</v>
      </c>
      <c r="C153" s="1" t="n">
        <v>45588</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19904-2021</t>
        </is>
      </c>
      <c r="B154" s="1" t="n">
        <v>44312</v>
      </c>
      <c r="C154" s="1" t="n">
        <v>45588</v>
      </c>
      <c r="D154" t="inlineStr">
        <is>
          <t>NORRBOTTENS LÄN</t>
        </is>
      </c>
      <c r="E154" t="inlineStr">
        <is>
          <t>ARVIDSJAUR</t>
        </is>
      </c>
      <c r="G154" t="n">
        <v>0.7</v>
      </c>
      <c r="H154" t="n">
        <v>0</v>
      </c>
      <c r="I154" t="n">
        <v>0</v>
      </c>
      <c r="J154" t="n">
        <v>0</v>
      </c>
      <c r="K154" t="n">
        <v>0</v>
      </c>
      <c r="L154" t="n">
        <v>0</v>
      </c>
      <c r="M154" t="n">
        <v>0</v>
      </c>
      <c r="N154" t="n">
        <v>0</v>
      </c>
      <c r="O154" t="n">
        <v>0</v>
      </c>
      <c r="P154" t="n">
        <v>0</v>
      </c>
      <c r="Q154" t="n">
        <v>0</v>
      </c>
      <c r="R154" s="2" t="inlineStr"/>
    </row>
    <row r="155" ht="15" customHeight="1">
      <c r="A155" t="inlineStr">
        <is>
          <t>A 21270-2021</t>
        </is>
      </c>
      <c r="B155" s="1" t="n">
        <v>44320</v>
      </c>
      <c r="C155" s="1" t="n">
        <v>45588</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21271-2021</t>
        </is>
      </c>
      <c r="B156" s="1" t="n">
        <v>44320</v>
      </c>
      <c r="C156" s="1" t="n">
        <v>45588</v>
      </c>
      <c r="D156" t="inlineStr">
        <is>
          <t>NORRBOTTENS LÄN</t>
        </is>
      </c>
      <c r="E156" t="inlineStr">
        <is>
          <t>ARVIDSJAUR</t>
        </is>
      </c>
      <c r="G156" t="n">
        <v>1.8</v>
      </c>
      <c r="H156" t="n">
        <v>0</v>
      </c>
      <c r="I156" t="n">
        <v>0</v>
      </c>
      <c r="J156" t="n">
        <v>0</v>
      </c>
      <c r="K156" t="n">
        <v>0</v>
      </c>
      <c r="L156" t="n">
        <v>0</v>
      </c>
      <c r="M156" t="n">
        <v>0</v>
      </c>
      <c r="N156" t="n">
        <v>0</v>
      </c>
      <c r="O156" t="n">
        <v>0</v>
      </c>
      <c r="P156" t="n">
        <v>0</v>
      </c>
      <c r="Q156" t="n">
        <v>0</v>
      </c>
      <c r="R156" s="2" t="inlineStr"/>
    </row>
    <row r="157" ht="15" customHeight="1">
      <c r="A157" t="inlineStr">
        <is>
          <t>A 21272-2021</t>
        </is>
      </c>
      <c r="B157" s="1" t="n">
        <v>44320</v>
      </c>
      <c r="C157" s="1" t="n">
        <v>45588</v>
      </c>
      <c r="D157" t="inlineStr">
        <is>
          <t>NORRBOTTENS LÄN</t>
        </is>
      </c>
      <c r="E157" t="inlineStr">
        <is>
          <t>ARVIDSJAUR</t>
        </is>
      </c>
      <c r="G157" t="n">
        <v>2.1</v>
      </c>
      <c r="H157" t="n">
        <v>0</v>
      </c>
      <c r="I157" t="n">
        <v>0</v>
      </c>
      <c r="J157" t="n">
        <v>0</v>
      </c>
      <c r="K157" t="n">
        <v>0</v>
      </c>
      <c r="L157" t="n">
        <v>0</v>
      </c>
      <c r="M157" t="n">
        <v>0</v>
      </c>
      <c r="N157" t="n">
        <v>0</v>
      </c>
      <c r="O157" t="n">
        <v>0</v>
      </c>
      <c r="P157" t="n">
        <v>0</v>
      </c>
      <c r="Q157" t="n">
        <v>0</v>
      </c>
      <c r="R157" s="2" t="inlineStr"/>
    </row>
    <row r="158" ht="15" customHeight="1">
      <c r="A158" t="inlineStr">
        <is>
          <t>A 22328-2021</t>
        </is>
      </c>
      <c r="B158" s="1" t="n">
        <v>44321</v>
      </c>
      <c r="C158" s="1" t="n">
        <v>45588</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21797-2021</t>
        </is>
      </c>
      <c r="B159" s="1" t="n">
        <v>44322</v>
      </c>
      <c r="C159" s="1" t="n">
        <v>45588</v>
      </c>
      <c r="D159" t="inlineStr">
        <is>
          <t>NORRBOTTENS LÄN</t>
        </is>
      </c>
      <c r="E159" t="inlineStr">
        <is>
          <t>ARVIDSJAUR</t>
        </is>
      </c>
      <c r="G159" t="n">
        <v>9.1</v>
      </c>
      <c r="H159" t="n">
        <v>0</v>
      </c>
      <c r="I159" t="n">
        <v>0</v>
      </c>
      <c r="J159" t="n">
        <v>0</v>
      </c>
      <c r="K159" t="n">
        <v>0</v>
      </c>
      <c r="L159" t="n">
        <v>0</v>
      </c>
      <c r="M159" t="n">
        <v>0</v>
      </c>
      <c r="N159" t="n">
        <v>0</v>
      </c>
      <c r="O159" t="n">
        <v>0</v>
      </c>
      <c r="P159" t="n">
        <v>0</v>
      </c>
      <c r="Q159" t="n">
        <v>0</v>
      </c>
      <c r="R159" s="2" t="inlineStr"/>
    </row>
    <row r="160" ht="15" customHeight="1">
      <c r="A160" t="inlineStr">
        <is>
          <t>A 22837-2021</t>
        </is>
      </c>
      <c r="B160" s="1" t="n">
        <v>44326</v>
      </c>
      <c r="C160" s="1" t="n">
        <v>45588</v>
      </c>
      <c r="D160" t="inlineStr">
        <is>
          <t>NORRBOTTENS LÄN</t>
        </is>
      </c>
      <c r="E160" t="inlineStr">
        <is>
          <t>ARVIDSJAUR</t>
        </is>
      </c>
      <c r="G160" t="n">
        <v>3</v>
      </c>
      <c r="H160" t="n">
        <v>0</v>
      </c>
      <c r="I160" t="n">
        <v>0</v>
      </c>
      <c r="J160" t="n">
        <v>0</v>
      </c>
      <c r="K160" t="n">
        <v>0</v>
      </c>
      <c r="L160" t="n">
        <v>0</v>
      </c>
      <c r="M160" t="n">
        <v>0</v>
      </c>
      <c r="N160" t="n">
        <v>0</v>
      </c>
      <c r="O160" t="n">
        <v>0</v>
      </c>
      <c r="P160" t="n">
        <v>0</v>
      </c>
      <c r="Q160" t="n">
        <v>0</v>
      </c>
      <c r="R160" s="2" t="inlineStr"/>
    </row>
    <row r="161" ht="15" customHeight="1">
      <c r="A161" t="inlineStr">
        <is>
          <t>A 23586-2021</t>
        </is>
      </c>
      <c r="B161" s="1" t="n">
        <v>44334</v>
      </c>
      <c r="C161" s="1" t="n">
        <v>45588</v>
      </c>
      <c r="D161" t="inlineStr">
        <is>
          <t>NORRBOTTENS LÄN</t>
        </is>
      </c>
      <c r="E161" t="inlineStr">
        <is>
          <t>ARVIDSJAUR</t>
        </is>
      </c>
      <c r="G161" t="n">
        <v>2.7</v>
      </c>
      <c r="H161" t="n">
        <v>0</v>
      </c>
      <c r="I161" t="n">
        <v>0</v>
      </c>
      <c r="J161" t="n">
        <v>0</v>
      </c>
      <c r="K161" t="n">
        <v>0</v>
      </c>
      <c r="L161" t="n">
        <v>0</v>
      </c>
      <c r="M161" t="n">
        <v>0</v>
      </c>
      <c r="N161" t="n">
        <v>0</v>
      </c>
      <c r="O161" t="n">
        <v>0</v>
      </c>
      <c r="P161" t="n">
        <v>0</v>
      </c>
      <c r="Q161" t="n">
        <v>0</v>
      </c>
      <c r="R161" s="2" t="inlineStr"/>
    </row>
    <row r="162" ht="15" customHeight="1">
      <c r="A162" t="inlineStr">
        <is>
          <t>A 23583-2021</t>
        </is>
      </c>
      <c r="B162" s="1" t="n">
        <v>44334</v>
      </c>
      <c r="C162" s="1" t="n">
        <v>45588</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23588-2021</t>
        </is>
      </c>
      <c r="B163" s="1" t="n">
        <v>44334</v>
      </c>
      <c r="C163" s="1" t="n">
        <v>45588</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23580-2021</t>
        </is>
      </c>
      <c r="B164" s="1" t="n">
        <v>44334</v>
      </c>
      <c r="C164" s="1" t="n">
        <v>45588</v>
      </c>
      <c r="D164" t="inlineStr">
        <is>
          <t>NORRBOTTENS LÄN</t>
        </is>
      </c>
      <c r="E164" t="inlineStr">
        <is>
          <t>ARVIDSJAUR</t>
        </is>
      </c>
      <c r="G164" t="n">
        <v>0.7</v>
      </c>
      <c r="H164" t="n">
        <v>0</v>
      </c>
      <c r="I164" t="n">
        <v>0</v>
      </c>
      <c r="J164" t="n">
        <v>0</v>
      </c>
      <c r="K164" t="n">
        <v>0</v>
      </c>
      <c r="L164" t="n">
        <v>0</v>
      </c>
      <c r="M164" t="n">
        <v>0</v>
      </c>
      <c r="N164" t="n">
        <v>0</v>
      </c>
      <c r="O164" t="n">
        <v>0</v>
      </c>
      <c r="P164" t="n">
        <v>0</v>
      </c>
      <c r="Q164" t="n">
        <v>0</v>
      </c>
      <c r="R164" s="2" t="inlineStr"/>
    </row>
    <row r="165" ht="15" customHeight="1">
      <c r="A165" t="inlineStr">
        <is>
          <t>A 28628-2021</t>
        </is>
      </c>
      <c r="B165" s="1" t="n">
        <v>44356</v>
      </c>
      <c r="C165" s="1" t="n">
        <v>45588</v>
      </c>
      <c r="D165" t="inlineStr">
        <is>
          <t>NORRBOTTENS LÄN</t>
        </is>
      </c>
      <c r="E165" t="inlineStr">
        <is>
          <t>ARVIDSJAUR</t>
        </is>
      </c>
      <c r="G165" t="n">
        <v>0.8</v>
      </c>
      <c r="H165" t="n">
        <v>0</v>
      </c>
      <c r="I165" t="n">
        <v>0</v>
      </c>
      <c r="J165" t="n">
        <v>0</v>
      </c>
      <c r="K165" t="n">
        <v>0</v>
      </c>
      <c r="L165" t="n">
        <v>0</v>
      </c>
      <c r="M165" t="n">
        <v>0</v>
      </c>
      <c r="N165" t="n">
        <v>0</v>
      </c>
      <c r="O165" t="n">
        <v>0</v>
      </c>
      <c r="P165" t="n">
        <v>0</v>
      </c>
      <c r="Q165" t="n">
        <v>0</v>
      </c>
      <c r="R165" s="2" t="inlineStr"/>
    </row>
    <row r="166" ht="15" customHeight="1">
      <c r="A166" t="inlineStr">
        <is>
          <t>A 29947-2021</t>
        </is>
      </c>
      <c r="B166" s="1" t="n">
        <v>44363</v>
      </c>
      <c r="C166" s="1" t="n">
        <v>45588</v>
      </c>
      <c r="D166" t="inlineStr">
        <is>
          <t>NORRBOTTENS LÄN</t>
        </is>
      </c>
      <c r="E166" t="inlineStr">
        <is>
          <t>ARVIDSJAUR</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30562-2021</t>
        </is>
      </c>
      <c r="B167" s="1" t="n">
        <v>44364</v>
      </c>
      <c r="C167" s="1" t="n">
        <v>45588</v>
      </c>
      <c r="D167" t="inlineStr">
        <is>
          <t>NORRBOTTENS LÄN</t>
        </is>
      </c>
      <c r="E167" t="inlineStr">
        <is>
          <t>ARVIDSJAUR</t>
        </is>
      </c>
      <c r="G167" t="n">
        <v>4.4</v>
      </c>
      <c r="H167" t="n">
        <v>0</v>
      </c>
      <c r="I167" t="n">
        <v>0</v>
      </c>
      <c r="J167" t="n">
        <v>0</v>
      </c>
      <c r="K167" t="n">
        <v>0</v>
      </c>
      <c r="L167" t="n">
        <v>0</v>
      </c>
      <c r="M167" t="n">
        <v>0</v>
      </c>
      <c r="N167" t="n">
        <v>0</v>
      </c>
      <c r="O167" t="n">
        <v>0</v>
      </c>
      <c r="P167" t="n">
        <v>0</v>
      </c>
      <c r="Q167" t="n">
        <v>0</v>
      </c>
      <c r="R167" s="2" t="inlineStr"/>
    </row>
    <row r="168" ht="15" customHeight="1">
      <c r="A168" t="inlineStr">
        <is>
          <t>A 30651-2021</t>
        </is>
      </c>
      <c r="B168" s="1" t="n">
        <v>44365</v>
      </c>
      <c r="C168" s="1" t="n">
        <v>45588</v>
      </c>
      <c r="D168" t="inlineStr">
        <is>
          <t>NORRBOTTENS LÄN</t>
        </is>
      </c>
      <c r="E168" t="inlineStr">
        <is>
          <t>ARVIDSJAUR</t>
        </is>
      </c>
      <c r="F168" t="inlineStr">
        <is>
          <t>Allmännings- och besparingsskogar</t>
        </is>
      </c>
      <c r="G168" t="n">
        <v>27</v>
      </c>
      <c r="H168" t="n">
        <v>0</v>
      </c>
      <c r="I168" t="n">
        <v>0</v>
      </c>
      <c r="J168" t="n">
        <v>0</v>
      </c>
      <c r="K168" t="n">
        <v>0</v>
      </c>
      <c r="L168" t="n">
        <v>0</v>
      </c>
      <c r="M168" t="n">
        <v>0</v>
      </c>
      <c r="N168" t="n">
        <v>0</v>
      </c>
      <c r="O168" t="n">
        <v>0</v>
      </c>
      <c r="P168" t="n">
        <v>0</v>
      </c>
      <c r="Q168" t="n">
        <v>0</v>
      </c>
      <c r="R168" s="2" t="inlineStr"/>
    </row>
    <row r="169" ht="15" customHeight="1">
      <c r="A169" t="inlineStr">
        <is>
          <t>A 31446-2021</t>
        </is>
      </c>
      <c r="B169" s="1" t="n">
        <v>44369</v>
      </c>
      <c r="C169" s="1" t="n">
        <v>45588</v>
      </c>
      <c r="D169" t="inlineStr">
        <is>
          <t>NORRBOTTENS LÄN</t>
        </is>
      </c>
      <c r="E169" t="inlineStr">
        <is>
          <t>ARVIDSJAUR</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31453-2021</t>
        </is>
      </c>
      <c r="B170" s="1" t="n">
        <v>44369</v>
      </c>
      <c r="C170" s="1" t="n">
        <v>45588</v>
      </c>
      <c r="D170" t="inlineStr">
        <is>
          <t>NORRBOTTENS LÄN</t>
        </is>
      </c>
      <c r="E170" t="inlineStr">
        <is>
          <t>ARVIDSJAUR</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31573-2021</t>
        </is>
      </c>
      <c r="B171" s="1" t="n">
        <v>44369</v>
      </c>
      <c r="C171" s="1" t="n">
        <v>45588</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33336-2021</t>
        </is>
      </c>
      <c r="B172" s="1" t="n">
        <v>44377</v>
      </c>
      <c r="C172" s="1" t="n">
        <v>45588</v>
      </c>
      <c r="D172" t="inlineStr">
        <is>
          <t>NORRBOTTENS LÄN</t>
        </is>
      </c>
      <c r="E172" t="inlineStr">
        <is>
          <t>ARVIDSJAUR</t>
        </is>
      </c>
      <c r="G172" t="n">
        <v>13.9</v>
      </c>
      <c r="H172" t="n">
        <v>0</v>
      </c>
      <c r="I172" t="n">
        <v>0</v>
      </c>
      <c r="J172" t="n">
        <v>0</v>
      </c>
      <c r="K172" t="n">
        <v>0</v>
      </c>
      <c r="L172" t="n">
        <v>0</v>
      </c>
      <c r="M172" t="n">
        <v>0</v>
      </c>
      <c r="N172" t="n">
        <v>0</v>
      </c>
      <c r="O172" t="n">
        <v>0</v>
      </c>
      <c r="P172" t="n">
        <v>0</v>
      </c>
      <c r="Q172" t="n">
        <v>0</v>
      </c>
      <c r="R172" s="2" t="inlineStr"/>
    </row>
    <row r="173" ht="15" customHeight="1">
      <c r="A173" t="inlineStr">
        <is>
          <t>A 34244-2021</t>
        </is>
      </c>
      <c r="B173" s="1" t="n">
        <v>44379</v>
      </c>
      <c r="C173" s="1" t="n">
        <v>45588</v>
      </c>
      <c r="D173" t="inlineStr">
        <is>
          <t>NORRBOTTENS LÄN</t>
        </is>
      </c>
      <c r="E173" t="inlineStr">
        <is>
          <t>ARVIDSJAUR</t>
        </is>
      </c>
      <c r="F173" t="inlineStr">
        <is>
          <t>Sveaskog</t>
        </is>
      </c>
      <c r="G173" t="n">
        <v>11.3</v>
      </c>
      <c r="H173" t="n">
        <v>0</v>
      </c>
      <c r="I173" t="n">
        <v>0</v>
      </c>
      <c r="J173" t="n">
        <v>0</v>
      </c>
      <c r="K173" t="n">
        <v>0</v>
      </c>
      <c r="L173" t="n">
        <v>0</v>
      </c>
      <c r="M173" t="n">
        <v>0</v>
      </c>
      <c r="N173" t="n">
        <v>0</v>
      </c>
      <c r="O173" t="n">
        <v>0</v>
      </c>
      <c r="P173" t="n">
        <v>0</v>
      </c>
      <c r="Q173" t="n">
        <v>0</v>
      </c>
      <c r="R173" s="2" t="inlineStr"/>
    </row>
    <row r="174" ht="15" customHeight="1">
      <c r="A174" t="inlineStr">
        <is>
          <t>A 34253-2021</t>
        </is>
      </c>
      <c r="B174" s="1" t="n">
        <v>44379</v>
      </c>
      <c r="C174" s="1" t="n">
        <v>45588</v>
      </c>
      <c r="D174" t="inlineStr">
        <is>
          <t>NORRBOTTENS LÄN</t>
        </is>
      </c>
      <c r="E174" t="inlineStr">
        <is>
          <t>ARVIDSJAUR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34510-2021</t>
        </is>
      </c>
      <c r="B175" s="1" t="n">
        <v>44382</v>
      </c>
      <c r="C175" s="1" t="n">
        <v>45588</v>
      </c>
      <c r="D175" t="inlineStr">
        <is>
          <t>NORRBOTTENS LÄN</t>
        </is>
      </c>
      <c r="E175" t="inlineStr">
        <is>
          <t>ARVIDSJAUR</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34636-2021</t>
        </is>
      </c>
      <c r="B176" s="1" t="n">
        <v>44382</v>
      </c>
      <c r="C176" s="1" t="n">
        <v>45588</v>
      </c>
      <c r="D176" t="inlineStr">
        <is>
          <t>NORRBOTTENS LÄN</t>
        </is>
      </c>
      <c r="E176" t="inlineStr">
        <is>
          <t>ARVIDSJAUR</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34962-2021</t>
        </is>
      </c>
      <c r="B177" s="1" t="n">
        <v>44382</v>
      </c>
      <c r="C177" s="1" t="n">
        <v>45588</v>
      </c>
      <c r="D177" t="inlineStr">
        <is>
          <t>NORRBOTTENS LÄN</t>
        </is>
      </c>
      <c r="E177" t="inlineStr">
        <is>
          <t>ARVIDSJAUR</t>
        </is>
      </c>
      <c r="G177" t="n">
        <v>1.9</v>
      </c>
      <c r="H177" t="n">
        <v>0</v>
      </c>
      <c r="I177" t="n">
        <v>0</v>
      </c>
      <c r="J177" t="n">
        <v>0</v>
      </c>
      <c r="K177" t="n">
        <v>0</v>
      </c>
      <c r="L177" t="n">
        <v>0</v>
      </c>
      <c r="M177" t="n">
        <v>0</v>
      </c>
      <c r="N177" t="n">
        <v>0</v>
      </c>
      <c r="O177" t="n">
        <v>0</v>
      </c>
      <c r="P177" t="n">
        <v>0</v>
      </c>
      <c r="Q177" t="n">
        <v>0</v>
      </c>
      <c r="R177" s="2" t="inlineStr"/>
    </row>
    <row r="178" ht="15" customHeight="1">
      <c r="A178" t="inlineStr">
        <is>
          <t>A 35740-2021</t>
        </is>
      </c>
      <c r="B178" s="1" t="n">
        <v>44385</v>
      </c>
      <c r="C178" s="1" t="n">
        <v>45588</v>
      </c>
      <c r="D178" t="inlineStr">
        <is>
          <t>NORRBOTTENS LÄN</t>
        </is>
      </c>
      <c r="E178" t="inlineStr">
        <is>
          <t>ARVIDSJAUR</t>
        </is>
      </c>
      <c r="G178" t="n">
        <v>11.7</v>
      </c>
      <c r="H178" t="n">
        <v>0</v>
      </c>
      <c r="I178" t="n">
        <v>0</v>
      </c>
      <c r="J178" t="n">
        <v>0</v>
      </c>
      <c r="K178" t="n">
        <v>0</v>
      </c>
      <c r="L178" t="n">
        <v>0</v>
      </c>
      <c r="M178" t="n">
        <v>0</v>
      </c>
      <c r="N178" t="n">
        <v>0</v>
      </c>
      <c r="O178" t="n">
        <v>0</v>
      </c>
      <c r="P178" t="n">
        <v>0</v>
      </c>
      <c r="Q178" t="n">
        <v>0</v>
      </c>
      <c r="R178" s="2" t="inlineStr"/>
    </row>
    <row r="179" ht="15" customHeight="1">
      <c r="A179" t="inlineStr">
        <is>
          <t>A 36303-2021</t>
        </is>
      </c>
      <c r="B179" s="1" t="n">
        <v>44389</v>
      </c>
      <c r="C179" s="1" t="n">
        <v>45588</v>
      </c>
      <c r="D179" t="inlineStr">
        <is>
          <t>NORRBOTTENS LÄN</t>
        </is>
      </c>
      <c r="E179" t="inlineStr">
        <is>
          <t>ARVIDSJAUR</t>
        </is>
      </c>
      <c r="G179" t="n">
        <v>9.6</v>
      </c>
      <c r="H179" t="n">
        <v>0</v>
      </c>
      <c r="I179" t="n">
        <v>0</v>
      </c>
      <c r="J179" t="n">
        <v>0</v>
      </c>
      <c r="K179" t="n">
        <v>0</v>
      </c>
      <c r="L179" t="n">
        <v>0</v>
      </c>
      <c r="M179" t="n">
        <v>0</v>
      </c>
      <c r="N179" t="n">
        <v>0</v>
      </c>
      <c r="O179" t="n">
        <v>0</v>
      </c>
      <c r="P179" t="n">
        <v>0</v>
      </c>
      <c r="Q179" t="n">
        <v>0</v>
      </c>
      <c r="R179" s="2" t="inlineStr"/>
    </row>
    <row r="180" ht="15" customHeight="1">
      <c r="A180" t="inlineStr">
        <is>
          <t>A 36297-2021</t>
        </is>
      </c>
      <c r="B180" s="1" t="n">
        <v>44389</v>
      </c>
      <c r="C180" s="1" t="n">
        <v>45588</v>
      </c>
      <c r="D180" t="inlineStr">
        <is>
          <t>NORRBOTTENS LÄN</t>
        </is>
      </c>
      <c r="E180" t="inlineStr">
        <is>
          <t>ARVIDSJAUR</t>
        </is>
      </c>
      <c r="G180" t="n">
        <v>9.1</v>
      </c>
      <c r="H180" t="n">
        <v>0</v>
      </c>
      <c r="I180" t="n">
        <v>0</v>
      </c>
      <c r="J180" t="n">
        <v>0</v>
      </c>
      <c r="K180" t="n">
        <v>0</v>
      </c>
      <c r="L180" t="n">
        <v>0</v>
      </c>
      <c r="M180" t="n">
        <v>0</v>
      </c>
      <c r="N180" t="n">
        <v>0</v>
      </c>
      <c r="O180" t="n">
        <v>0</v>
      </c>
      <c r="P180" t="n">
        <v>0</v>
      </c>
      <c r="Q180" t="n">
        <v>0</v>
      </c>
      <c r="R180" s="2" t="inlineStr"/>
    </row>
    <row r="181" ht="15" customHeight="1">
      <c r="A181" t="inlineStr">
        <is>
          <t>A 36581-2021</t>
        </is>
      </c>
      <c r="B181" s="1" t="n">
        <v>44391</v>
      </c>
      <c r="C181" s="1" t="n">
        <v>45588</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40357-2021</t>
        </is>
      </c>
      <c r="B182" s="1" t="n">
        <v>44419</v>
      </c>
      <c r="C182" s="1" t="n">
        <v>45588</v>
      </c>
      <c r="D182" t="inlineStr">
        <is>
          <t>NORRBOTTENS LÄN</t>
        </is>
      </c>
      <c r="E182" t="inlineStr">
        <is>
          <t>ARVIDSJAUR</t>
        </is>
      </c>
      <c r="G182" t="n">
        <v>4.3</v>
      </c>
      <c r="H182" t="n">
        <v>0</v>
      </c>
      <c r="I182" t="n">
        <v>0</v>
      </c>
      <c r="J182" t="n">
        <v>0</v>
      </c>
      <c r="K182" t="n">
        <v>0</v>
      </c>
      <c r="L182" t="n">
        <v>0</v>
      </c>
      <c r="M182" t="n">
        <v>0</v>
      </c>
      <c r="N182" t="n">
        <v>0</v>
      </c>
      <c r="O182" t="n">
        <v>0</v>
      </c>
      <c r="P182" t="n">
        <v>0</v>
      </c>
      <c r="Q182" t="n">
        <v>0</v>
      </c>
      <c r="R182" s="2" t="inlineStr"/>
    </row>
    <row r="183" ht="15" customHeight="1">
      <c r="A183" t="inlineStr">
        <is>
          <t>A 40836-2021</t>
        </is>
      </c>
      <c r="B183" s="1" t="n">
        <v>44421</v>
      </c>
      <c r="C183" s="1" t="n">
        <v>45588</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40844-2021</t>
        </is>
      </c>
      <c r="B184" s="1" t="n">
        <v>44421</v>
      </c>
      <c r="C184" s="1" t="n">
        <v>45588</v>
      </c>
      <c r="D184" t="inlineStr">
        <is>
          <t>NORRBOTTENS LÄN</t>
        </is>
      </c>
      <c r="E184" t="inlineStr">
        <is>
          <t>ARVIDSJAUR</t>
        </is>
      </c>
      <c r="G184" t="n">
        <v>0.3</v>
      </c>
      <c r="H184" t="n">
        <v>0</v>
      </c>
      <c r="I184" t="n">
        <v>0</v>
      </c>
      <c r="J184" t="n">
        <v>0</v>
      </c>
      <c r="K184" t="n">
        <v>0</v>
      </c>
      <c r="L184" t="n">
        <v>0</v>
      </c>
      <c r="M184" t="n">
        <v>0</v>
      </c>
      <c r="N184" t="n">
        <v>0</v>
      </c>
      <c r="O184" t="n">
        <v>0</v>
      </c>
      <c r="P184" t="n">
        <v>0</v>
      </c>
      <c r="Q184" t="n">
        <v>0</v>
      </c>
      <c r="R184" s="2" t="inlineStr"/>
    </row>
    <row r="185" ht="15" customHeight="1">
      <c r="A185" t="inlineStr">
        <is>
          <t>A 41313-2021</t>
        </is>
      </c>
      <c r="B185" s="1" t="n">
        <v>44424</v>
      </c>
      <c r="C185" s="1" t="n">
        <v>45588</v>
      </c>
      <c r="D185" t="inlineStr">
        <is>
          <t>NORRBOTTENS LÄN</t>
        </is>
      </c>
      <c r="E185" t="inlineStr">
        <is>
          <t>ARVIDSJAUR</t>
        </is>
      </c>
      <c r="G185" t="n">
        <v>2</v>
      </c>
      <c r="H185" t="n">
        <v>0</v>
      </c>
      <c r="I185" t="n">
        <v>0</v>
      </c>
      <c r="J185" t="n">
        <v>0</v>
      </c>
      <c r="K185" t="n">
        <v>0</v>
      </c>
      <c r="L185" t="n">
        <v>0</v>
      </c>
      <c r="M185" t="n">
        <v>0</v>
      </c>
      <c r="N185" t="n">
        <v>0</v>
      </c>
      <c r="O185" t="n">
        <v>0</v>
      </c>
      <c r="P185" t="n">
        <v>0</v>
      </c>
      <c r="Q185" t="n">
        <v>0</v>
      </c>
      <c r="R185" s="2" t="inlineStr"/>
    </row>
    <row r="186" ht="15" customHeight="1">
      <c r="A186" t="inlineStr">
        <is>
          <t>A 41872-2021</t>
        </is>
      </c>
      <c r="B186" s="1" t="n">
        <v>44426</v>
      </c>
      <c r="C186" s="1" t="n">
        <v>45588</v>
      </c>
      <c r="D186" t="inlineStr">
        <is>
          <t>NORRBOTTENS LÄN</t>
        </is>
      </c>
      <c r="E186" t="inlineStr">
        <is>
          <t>ARVIDSJAUR</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42330-2021</t>
        </is>
      </c>
      <c r="B187" s="1" t="n">
        <v>44427</v>
      </c>
      <c r="C187" s="1" t="n">
        <v>45588</v>
      </c>
      <c r="D187" t="inlineStr">
        <is>
          <t>NORRBOTTENS LÄN</t>
        </is>
      </c>
      <c r="E187" t="inlineStr">
        <is>
          <t>ARVIDSJAUR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42674-2021</t>
        </is>
      </c>
      <c r="B188" s="1" t="n">
        <v>44428</v>
      </c>
      <c r="C188" s="1" t="n">
        <v>45588</v>
      </c>
      <c r="D188" t="inlineStr">
        <is>
          <t>NORRBOTTENS LÄN</t>
        </is>
      </c>
      <c r="E188" t="inlineStr">
        <is>
          <t>ARVIDSJAUR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42694-2021</t>
        </is>
      </c>
      <c r="B189" s="1" t="n">
        <v>44428</v>
      </c>
      <c r="C189" s="1" t="n">
        <v>45588</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43683-2021</t>
        </is>
      </c>
      <c r="B190" s="1" t="n">
        <v>44433</v>
      </c>
      <c r="C190" s="1" t="n">
        <v>45588</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43678-2021</t>
        </is>
      </c>
      <c r="B191" s="1" t="n">
        <v>44433</v>
      </c>
      <c r="C191" s="1" t="n">
        <v>45588</v>
      </c>
      <c r="D191" t="inlineStr">
        <is>
          <t>NORRBOTTENS LÄN</t>
        </is>
      </c>
      <c r="E191" t="inlineStr">
        <is>
          <t>ARVIDSJAUR</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44026-2021</t>
        </is>
      </c>
      <c r="B192" s="1" t="n">
        <v>44434</v>
      </c>
      <c r="C192" s="1" t="n">
        <v>45588</v>
      </c>
      <c r="D192" t="inlineStr">
        <is>
          <t>NORRBOTTENS LÄN</t>
        </is>
      </c>
      <c r="E192" t="inlineStr">
        <is>
          <t>ARVIDSJAUR</t>
        </is>
      </c>
      <c r="F192" t="inlineStr">
        <is>
          <t>Sveaskog</t>
        </is>
      </c>
      <c r="G192" t="n">
        <v>28.6</v>
      </c>
      <c r="H192" t="n">
        <v>0</v>
      </c>
      <c r="I192" t="n">
        <v>0</v>
      </c>
      <c r="J192" t="n">
        <v>0</v>
      </c>
      <c r="K192" t="n">
        <v>0</v>
      </c>
      <c r="L192" t="n">
        <v>0</v>
      </c>
      <c r="M192" t="n">
        <v>0</v>
      </c>
      <c r="N192" t="n">
        <v>0</v>
      </c>
      <c r="O192" t="n">
        <v>0</v>
      </c>
      <c r="P192" t="n">
        <v>0</v>
      </c>
      <c r="Q192" t="n">
        <v>0</v>
      </c>
      <c r="R192" s="2" t="inlineStr"/>
    </row>
    <row r="193" ht="15" customHeight="1">
      <c r="A193" t="inlineStr">
        <is>
          <t>A 45127-2021</t>
        </is>
      </c>
      <c r="B193" s="1" t="n">
        <v>44439</v>
      </c>
      <c r="C193" s="1" t="n">
        <v>45588</v>
      </c>
      <c r="D193" t="inlineStr">
        <is>
          <t>NORRBOTTENS LÄN</t>
        </is>
      </c>
      <c r="E193" t="inlineStr">
        <is>
          <t>ARVIDSJAUR</t>
        </is>
      </c>
      <c r="G193" t="n">
        <v>4.6</v>
      </c>
      <c r="H193" t="n">
        <v>0</v>
      </c>
      <c r="I193" t="n">
        <v>0</v>
      </c>
      <c r="J193" t="n">
        <v>0</v>
      </c>
      <c r="K193" t="n">
        <v>0</v>
      </c>
      <c r="L193" t="n">
        <v>0</v>
      </c>
      <c r="M193" t="n">
        <v>0</v>
      </c>
      <c r="N193" t="n">
        <v>0</v>
      </c>
      <c r="O193" t="n">
        <v>0</v>
      </c>
      <c r="P193" t="n">
        <v>0</v>
      </c>
      <c r="Q193" t="n">
        <v>0</v>
      </c>
      <c r="R193" s="2" t="inlineStr"/>
    </row>
    <row r="194" ht="15" customHeight="1">
      <c r="A194" t="inlineStr">
        <is>
          <t>A 45391-2021</t>
        </is>
      </c>
      <c r="B194" s="1" t="n">
        <v>44440</v>
      </c>
      <c r="C194" s="1" t="n">
        <v>45588</v>
      </c>
      <c r="D194" t="inlineStr">
        <is>
          <t>NORRBOTTENS LÄN</t>
        </is>
      </c>
      <c r="E194" t="inlineStr">
        <is>
          <t>ARVIDSJAUR</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45398-2021</t>
        </is>
      </c>
      <c r="B195" s="1" t="n">
        <v>44440</v>
      </c>
      <c r="C195" s="1" t="n">
        <v>45588</v>
      </c>
      <c r="D195" t="inlineStr">
        <is>
          <t>NORRBOTTENS LÄN</t>
        </is>
      </c>
      <c r="E195" t="inlineStr">
        <is>
          <t>ARVIDSJAUR</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45769-2021</t>
        </is>
      </c>
      <c r="B196" s="1" t="n">
        <v>44441</v>
      </c>
      <c r="C196" s="1" t="n">
        <v>45588</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46181-2021</t>
        </is>
      </c>
      <c r="B197" s="1" t="n">
        <v>44441</v>
      </c>
      <c r="C197" s="1" t="n">
        <v>45588</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46082-2021</t>
        </is>
      </c>
      <c r="B198" s="1" t="n">
        <v>44442</v>
      </c>
      <c r="C198" s="1" t="n">
        <v>45588</v>
      </c>
      <c r="D198" t="inlineStr">
        <is>
          <t>NORRBOTTENS LÄN</t>
        </is>
      </c>
      <c r="E198" t="inlineStr">
        <is>
          <t>ARVIDSJAUR</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46072-2021</t>
        </is>
      </c>
      <c r="B199" s="1" t="n">
        <v>44442</v>
      </c>
      <c r="C199" s="1" t="n">
        <v>45588</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46080-2021</t>
        </is>
      </c>
      <c r="B200" s="1" t="n">
        <v>44442</v>
      </c>
      <c r="C200" s="1" t="n">
        <v>45588</v>
      </c>
      <c r="D200" t="inlineStr">
        <is>
          <t>NORRBOTTENS LÄN</t>
        </is>
      </c>
      <c r="E200" t="inlineStr">
        <is>
          <t>ARVIDSJAUR</t>
        </is>
      </c>
      <c r="F200" t="inlineStr">
        <is>
          <t>Sveaskog</t>
        </is>
      </c>
      <c r="G200" t="n">
        <v>34.5</v>
      </c>
      <c r="H200" t="n">
        <v>0</v>
      </c>
      <c r="I200" t="n">
        <v>0</v>
      </c>
      <c r="J200" t="n">
        <v>0</v>
      </c>
      <c r="K200" t="n">
        <v>0</v>
      </c>
      <c r="L200" t="n">
        <v>0</v>
      </c>
      <c r="M200" t="n">
        <v>0</v>
      </c>
      <c r="N200" t="n">
        <v>0</v>
      </c>
      <c r="O200" t="n">
        <v>0</v>
      </c>
      <c r="P200" t="n">
        <v>0</v>
      </c>
      <c r="Q200" t="n">
        <v>0</v>
      </c>
      <c r="R200" s="2" t="inlineStr"/>
    </row>
    <row r="201" ht="15" customHeight="1">
      <c r="A201" t="inlineStr">
        <is>
          <t>A 46077-2021</t>
        </is>
      </c>
      <c r="B201" s="1" t="n">
        <v>44442</v>
      </c>
      <c r="C201" s="1" t="n">
        <v>45588</v>
      </c>
      <c r="D201" t="inlineStr">
        <is>
          <t>NORRBOTTENS LÄN</t>
        </is>
      </c>
      <c r="E201" t="inlineStr">
        <is>
          <t>ARVIDSJAUR</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48870-2021</t>
        </is>
      </c>
      <c r="B202" s="1" t="n">
        <v>44452</v>
      </c>
      <c r="C202" s="1" t="n">
        <v>45588</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49979-2021</t>
        </is>
      </c>
      <c r="B203" s="1" t="n">
        <v>44456</v>
      </c>
      <c r="C203" s="1" t="n">
        <v>45588</v>
      </c>
      <c r="D203" t="inlineStr">
        <is>
          <t>NORRBOTTENS LÄN</t>
        </is>
      </c>
      <c r="E203" t="inlineStr">
        <is>
          <t>ARVIDSJAUR</t>
        </is>
      </c>
      <c r="F203" t="inlineStr">
        <is>
          <t>Sveaskog</t>
        </is>
      </c>
      <c r="G203" t="n">
        <v>13.8</v>
      </c>
      <c r="H203" t="n">
        <v>0</v>
      </c>
      <c r="I203" t="n">
        <v>0</v>
      </c>
      <c r="J203" t="n">
        <v>0</v>
      </c>
      <c r="K203" t="n">
        <v>0</v>
      </c>
      <c r="L203" t="n">
        <v>0</v>
      </c>
      <c r="M203" t="n">
        <v>0</v>
      </c>
      <c r="N203" t="n">
        <v>0</v>
      </c>
      <c r="O203" t="n">
        <v>0</v>
      </c>
      <c r="P203" t="n">
        <v>0</v>
      </c>
      <c r="Q203" t="n">
        <v>0</v>
      </c>
      <c r="R203" s="2" t="inlineStr"/>
    </row>
    <row r="204" ht="15" customHeight="1">
      <c r="A204" t="inlineStr">
        <is>
          <t>A 51925-2021</t>
        </is>
      </c>
      <c r="B204" s="1" t="n">
        <v>44462</v>
      </c>
      <c r="C204" s="1" t="n">
        <v>45588</v>
      </c>
      <c r="D204" t="inlineStr">
        <is>
          <t>NORRBOTTENS LÄN</t>
        </is>
      </c>
      <c r="E204" t="inlineStr">
        <is>
          <t>ARVIDSJAUR</t>
        </is>
      </c>
      <c r="F204" t="inlineStr">
        <is>
          <t>SCA</t>
        </is>
      </c>
      <c r="G204" t="n">
        <v>22.6</v>
      </c>
      <c r="H204" t="n">
        <v>0</v>
      </c>
      <c r="I204" t="n">
        <v>0</v>
      </c>
      <c r="J204" t="n">
        <v>0</v>
      </c>
      <c r="K204" t="n">
        <v>0</v>
      </c>
      <c r="L204" t="n">
        <v>0</v>
      </c>
      <c r="M204" t="n">
        <v>0</v>
      </c>
      <c r="N204" t="n">
        <v>0</v>
      </c>
      <c r="O204" t="n">
        <v>0</v>
      </c>
      <c r="P204" t="n">
        <v>0</v>
      </c>
      <c r="Q204" t="n">
        <v>0</v>
      </c>
      <c r="R204" s="2" t="inlineStr"/>
    </row>
    <row r="205" ht="15" customHeight="1">
      <c r="A205" t="inlineStr">
        <is>
          <t>A 52109-2021</t>
        </is>
      </c>
      <c r="B205" s="1" t="n">
        <v>44463</v>
      </c>
      <c r="C205" s="1" t="n">
        <v>45588</v>
      </c>
      <c r="D205" t="inlineStr">
        <is>
          <t>NORRBOTTENS LÄN</t>
        </is>
      </c>
      <c r="E205" t="inlineStr">
        <is>
          <t>ARVIDSJAUR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52407-2021</t>
        </is>
      </c>
      <c r="B206" s="1" t="n">
        <v>44463</v>
      </c>
      <c r="C206" s="1" t="n">
        <v>45588</v>
      </c>
      <c r="D206" t="inlineStr">
        <is>
          <t>NORRBOTTENS LÄN</t>
        </is>
      </c>
      <c r="E206" t="inlineStr">
        <is>
          <t>ARVIDSJAUR</t>
        </is>
      </c>
      <c r="G206" t="n">
        <v>10.3</v>
      </c>
      <c r="H206" t="n">
        <v>0</v>
      </c>
      <c r="I206" t="n">
        <v>0</v>
      </c>
      <c r="J206" t="n">
        <v>0</v>
      </c>
      <c r="K206" t="n">
        <v>0</v>
      </c>
      <c r="L206" t="n">
        <v>0</v>
      </c>
      <c r="M206" t="n">
        <v>0</v>
      </c>
      <c r="N206" t="n">
        <v>0</v>
      </c>
      <c r="O206" t="n">
        <v>0</v>
      </c>
      <c r="P206" t="n">
        <v>0</v>
      </c>
      <c r="Q206" t="n">
        <v>0</v>
      </c>
      <c r="R206" s="2" t="inlineStr"/>
    </row>
    <row r="207" ht="15" customHeight="1">
      <c r="A207" t="inlineStr">
        <is>
          <t>A 52411-2021</t>
        </is>
      </c>
      <c r="B207" s="1" t="n">
        <v>44463</v>
      </c>
      <c r="C207" s="1" t="n">
        <v>45588</v>
      </c>
      <c r="D207" t="inlineStr">
        <is>
          <t>NORRBOTTENS LÄN</t>
        </is>
      </c>
      <c r="E207" t="inlineStr">
        <is>
          <t>ARVIDSJAUR</t>
        </is>
      </c>
      <c r="G207" t="n">
        <v>2</v>
      </c>
      <c r="H207" t="n">
        <v>0</v>
      </c>
      <c r="I207" t="n">
        <v>0</v>
      </c>
      <c r="J207" t="n">
        <v>0</v>
      </c>
      <c r="K207" t="n">
        <v>0</v>
      </c>
      <c r="L207" t="n">
        <v>0</v>
      </c>
      <c r="M207" t="n">
        <v>0</v>
      </c>
      <c r="N207" t="n">
        <v>0</v>
      </c>
      <c r="O207" t="n">
        <v>0</v>
      </c>
      <c r="P207" t="n">
        <v>0</v>
      </c>
      <c r="Q207" t="n">
        <v>0</v>
      </c>
      <c r="R207" s="2" t="inlineStr"/>
    </row>
    <row r="208" ht="15" customHeight="1">
      <c r="A208" t="inlineStr">
        <is>
          <t>A 54412-2021</t>
        </is>
      </c>
      <c r="B208" s="1" t="n">
        <v>44473</v>
      </c>
      <c r="C208" s="1" t="n">
        <v>45588</v>
      </c>
      <c r="D208" t="inlineStr">
        <is>
          <t>NORRBOTTENS LÄN</t>
        </is>
      </c>
      <c r="E208" t="inlineStr">
        <is>
          <t>ARVIDSJAUR</t>
        </is>
      </c>
      <c r="F208" t="inlineStr">
        <is>
          <t>Sveaskog</t>
        </is>
      </c>
      <c r="G208" t="n">
        <v>14.5</v>
      </c>
      <c r="H208" t="n">
        <v>0</v>
      </c>
      <c r="I208" t="n">
        <v>0</v>
      </c>
      <c r="J208" t="n">
        <v>0</v>
      </c>
      <c r="K208" t="n">
        <v>0</v>
      </c>
      <c r="L208" t="n">
        <v>0</v>
      </c>
      <c r="M208" t="n">
        <v>0</v>
      </c>
      <c r="N208" t="n">
        <v>0</v>
      </c>
      <c r="O208" t="n">
        <v>0</v>
      </c>
      <c r="P208" t="n">
        <v>0</v>
      </c>
      <c r="Q208" t="n">
        <v>0</v>
      </c>
      <c r="R208" s="2" t="inlineStr"/>
    </row>
    <row r="209" ht="15" customHeight="1">
      <c r="A209" t="inlineStr">
        <is>
          <t>A 54410-2021</t>
        </is>
      </c>
      <c r="B209" s="1" t="n">
        <v>44473</v>
      </c>
      <c r="C209" s="1" t="n">
        <v>45588</v>
      </c>
      <c r="D209" t="inlineStr">
        <is>
          <t>NORRBOTTENS LÄN</t>
        </is>
      </c>
      <c r="E209" t="inlineStr">
        <is>
          <t>ARVIDSJAUR</t>
        </is>
      </c>
      <c r="F209" t="inlineStr">
        <is>
          <t>Sveaskog</t>
        </is>
      </c>
      <c r="G209" t="n">
        <v>29.4</v>
      </c>
      <c r="H209" t="n">
        <v>0</v>
      </c>
      <c r="I209" t="n">
        <v>0</v>
      </c>
      <c r="J209" t="n">
        <v>0</v>
      </c>
      <c r="K209" t="n">
        <v>0</v>
      </c>
      <c r="L209" t="n">
        <v>0</v>
      </c>
      <c r="M209" t="n">
        <v>0</v>
      </c>
      <c r="N209" t="n">
        <v>0</v>
      </c>
      <c r="O209" t="n">
        <v>0</v>
      </c>
      <c r="P209" t="n">
        <v>0</v>
      </c>
      <c r="Q209" t="n">
        <v>0</v>
      </c>
      <c r="R209" s="2" t="inlineStr"/>
    </row>
    <row r="210" ht="15" customHeight="1">
      <c r="A210" t="inlineStr">
        <is>
          <t>A 55166-2021</t>
        </is>
      </c>
      <c r="B210" s="1" t="n">
        <v>44474</v>
      </c>
      <c r="C210" s="1" t="n">
        <v>45588</v>
      </c>
      <c r="D210" t="inlineStr">
        <is>
          <t>NORRBOTTENS LÄN</t>
        </is>
      </c>
      <c r="E210" t="inlineStr">
        <is>
          <t>ARVIDSJAUR</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55164-2021</t>
        </is>
      </c>
      <c r="B211" s="1" t="n">
        <v>44474</v>
      </c>
      <c r="C211" s="1" t="n">
        <v>45588</v>
      </c>
      <c r="D211" t="inlineStr">
        <is>
          <t>NORRBOTTENS LÄN</t>
        </is>
      </c>
      <c r="E211" t="inlineStr">
        <is>
          <t>ARVIDSJAUR</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55165-2021</t>
        </is>
      </c>
      <c r="B212" s="1" t="n">
        <v>44474</v>
      </c>
      <c r="C212" s="1" t="n">
        <v>45588</v>
      </c>
      <c r="D212" t="inlineStr">
        <is>
          <t>NORRBOTTENS LÄN</t>
        </is>
      </c>
      <c r="E212" t="inlineStr">
        <is>
          <t>ARVIDSJAUR</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57454-2021</t>
        </is>
      </c>
      <c r="B213" s="1" t="n">
        <v>44483</v>
      </c>
      <c r="C213" s="1" t="n">
        <v>45588</v>
      </c>
      <c r="D213" t="inlineStr">
        <is>
          <t>NORRBOTTENS LÄN</t>
        </is>
      </c>
      <c r="E213" t="inlineStr">
        <is>
          <t>ARVIDSJAUR</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57567-2021</t>
        </is>
      </c>
      <c r="B214" s="1" t="n">
        <v>44484</v>
      </c>
      <c r="C214" s="1" t="n">
        <v>45588</v>
      </c>
      <c r="D214" t="inlineStr">
        <is>
          <t>NORRBOTTENS LÄN</t>
        </is>
      </c>
      <c r="E214" t="inlineStr">
        <is>
          <t>ARVIDSJAUR</t>
        </is>
      </c>
      <c r="F214" t="inlineStr">
        <is>
          <t>Sveaskog</t>
        </is>
      </c>
      <c r="G214" t="n">
        <v>5.6</v>
      </c>
      <c r="H214" t="n">
        <v>0</v>
      </c>
      <c r="I214" t="n">
        <v>0</v>
      </c>
      <c r="J214" t="n">
        <v>0</v>
      </c>
      <c r="K214" t="n">
        <v>0</v>
      </c>
      <c r="L214" t="n">
        <v>0</v>
      </c>
      <c r="M214" t="n">
        <v>0</v>
      </c>
      <c r="N214" t="n">
        <v>0</v>
      </c>
      <c r="O214" t="n">
        <v>0</v>
      </c>
      <c r="P214" t="n">
        <v>0</v>
      </c>
      <c r="Q214" t="n">
        <v>0</v>
      </c>
      <c r="R214" s="2" t="inlineStr"/>
    </row>
    <row r="215" ht="15" customHeight="1">
      <c r="A215" t="inlineStr">
        <is>
          <t>A 57586-2021</t>
        </is>
      </c>
      <c r="B215" s="1" t="n">
        <v>44484</v>
      </c>
      <c r="C215" s="1" t="n">
        <v>45588</v>
      </c>
      <c r="D215" t="inlineStr">
        <is>
          <t>NORRBOTTENS LÄN</t>
        </is>
      </c>
      <c r="E215" t="inlineStr">
        <is>
          <t>ARVIDSJAUR</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57568-2021</t>
        </is>
      </c>
      <c r="B216" s="1" t="n">
        <v>44484</v>
      </c>
      <c r="C216" s="1" t="n">
        <v>45588</v>
      </c>
      <c r="D216" t="inlineStr">
        <is>
          <t>NORRBOTTENS LÄN</t>
        </is>
      </c>
      <c r="E216" t="inlineStr">
        <is>
          <t>ARVIDSJAUR</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57958-2021</t>
        </is>
      </c>
      <c r="B217" s="1" t="n">
        <v>44487</v>
      </c>
      <c r="C217" s="1" t="n">
        <v>45588</v>
      </c>
      <c r="D217" t="inlineStr">
        <is>
          <t>NORRBOTTENS LÄN</t>
        </is>
      </c>
      <c r="E217" t="inlineStr">
        <is>
          <t>ARVIDSJAUR</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58002-2021</t>
        </is>
      </c>
      <c r="B218" s="1" t="n">
        <v>44487</v>
      </c>
      <c r="C218" s="1" t="n">
        <v>45588</v>
      </c>
      <c r="D218" t="inlineStr">
        <is>
          <t>NORRBOTTENS LÄN</t>
        </is>
      </c>
      <c r="E218" t="inlineStr">
        <is>
          <t>ARVIDSJAUR</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57960-2021</t>
        </is>
      </c>
      <c r="B219" s="1" t="n">
        <v>44487</v>
      </c>
      <c r="C219" s="1" t="n">
        <v>45588</v>
      </c>
      <c r="D219" t="inlineStr">
        <is>
          <t>NORRBOTTENS LÄN</t>
        </is>
      </c>
      <c r="E219" t="inlineStr">
        <is>
          <t>ARVIDSJAUR</t>
        </is>
      </c>
      <c r="F219" t="inlineStr">
        <is>
          <t>Sveaskog</t>
        </is>
      </c>
      <c r="G219" t="n">
        <v>23.1</v>
      </c>
      <c r="H219" t="n">
        <v>0</v>
      </c>
      <c r="I219" t="n">
        <v>0</v>
      </c>
      <c r="J219" t="n">
        <v>0</v>
      </c>
      <c r="K219" t="n">
        <v>0</v>
      </c>
      <c r="L219" t="n">
        <v>0</v>
      </c>
      <c r="M219" t="n">
        <v>0</v>
      </c>
      <c r="N219" t="n">
        <v>0</v>
      </c>
      <c r="O219" t="n">
        <v>0</v>
      </c>
      <c r="P219" t="n">
        <v>0</v>
      </c>
      <c r="Q219" t="n">
        <v>0</v>
      </c>
      <c r="R219" s="2" t="inlineStr"/>
    </row>
    <row r="220" ht="15" customHeight="1">
      <c r="A220" t="inlineStr">
        <is>
          <t>A 57984-2021</t>
        </is>
      </c>
      <c r="B220" s="1" t="n">
        <v>44487</v>
      </c>
      <c r="C220" s="1" t="n">
        <v>45588</v>
      </c>
      <c r="D220" t="inlineStr">
        <is>
          <t>NORRBOTTENS LÄN</t>
        </is>
      </c>
      <c r="E220" t="inlineStr">
        <is>
          <t>ARVIDSJAUR</t>
        </is>
      </c>
      <c r="F220" t="inlineStr">
        <is>
          <t>Sveaskog</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58602-2021</t>
        </is>
      </c>
      <c r="B221" s="1" t="n">
        <v>44488</v>
      </c>
      <c r="C221" s="1" t="n">
        <v>45588</v>
      </c>
      <c r="D221" t="inlineStr">
        <is>
          <t>NORRBOTTENS LÄN</t>
        </is>
      </c>
      <c r="E221" t="inlineStr">
        <is>
          <t>ARVIDSJAUR</t>
        </is>
      </c>
      <c r="G221" t="n">
        <v>1</v>
      </c>
      <c r="H221" t="n">
        <v>0</v>
      </c>
      <c r="I221" t="n">
        <v>0</v>
      </c>
      <c r="J221" t="n">
        <v>0</v>
      </c>
      <c r="K221" t="n">
        <v>0</v>
      </c>
      <c r="L221" t="n">
        <v>0</v>
      </c>
      <c r="M221" t="n">
        <v>0</v>
      </c>
      <c r="N221" t="n">
        <v>0</v>
      </c>
      <c r="O221" t="n">
        <v>0</v>
      </c>
      <c r="P221" t="n">
        <v>0</v>
      </c>
      <c r="Q221" t="n">
        <v>0</v>
      </c>
      <c r="R221" s="2" t="inlineStr"/>
    </row>
    <row r="222" ht="15" customHeight="1">
      <c r="A222" t="inlineStr">
        <is>
          <t>A 58610-2021</t>
        </is>
      </c>
      <c r="B222" s="1" t="n">
        <v>44488</v>
      </c>
      <c r="C222" s="1" t="n">
        <v>45588</v>
      </c>
      <c r="D222" t="inlineStr">
        <is>
          <t>NORRBOTTENS LÄN</t>
        </is>
      </c>
      <c r="E222" t="inlineStr">
        <is>
          <t>ARVIDSJAUR</t>
        </is>
      </c>
      <c r="G222" t="n">
        <v>19</v>
      </c>
      <c r="H222" t="n">
        <v>0</v>
      </c>
      <c r="I222" t="n">
        <v>0</v>
      </c>
      <c r="J222" t="n">
        <v>0</v>
      </c>
      <c r="K222" t="n">
        <v>0</v>
      </c>
      <c r="L222" t="n">
        <v>0</v>
      </c>
      <c r="M222" t="n">
        <v>0</v>
      </c>
      <c r="N222" t="n">
        <v>0</v>
      </c>
      <c r="O222" t="n">
        <v>0</v>
      </c>
      <c r="P222" t="n">
        <v>0</v>
      </c>
      <c r="Q222" t="n">
        <v>0</v>
      </c>
      <c r="R222" s="2" t="inlineStr"/>
    </row>
    <row r="223" ht="15" customHeight="1">
      <c r="A223" t="inlineStr">
        <is>
          <t>A 58855-2021</t>
        </is>
      </c>
      <c r="B223" s="1" t="n">
        <v>44489</v>
      </c>
      <c r="C223" s="1" t="n">
        <v>45588</v>
      </c>
      <c r="D223" t="inlineStr">
        <is>
          <t>NORRBOTTENS LÄN</t>
        </is>
      </c>
      <c r="E223" t="inlineStr">
        <is>
          <t>ARVIDSJAUR</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58806-2021</t>
        </is>
      </c>
      <c r="B224" s="1" t="n">
        <v>44489</v>
      </c>
      <c r="C224" s="1" t="n">
        <v>45588</v>
      </c>
      <c r="D224" t="inlineStr">
        <is>
          <t>NORRBOTTENS LÄN</t>
        </is>
      </c>
      <c r="E224" t="inlineStr">
        <is>
          <t>ARVIDSJAUR</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59049-2021</t>
        </is>
      </c>
      <c r="B225" s="1" t="n">
        <v>44490</v>
      </c>
      <c r="C225" s="1" t="n">
        <v>45588</v>
      </c>
      <c r="D225" t="inlineStr">
        <is>
          <t>NORRBOTTENS LÄN</t>
        </is>
      </c>
      <c r="E225" t="inlineStr">
        <is>
          <t>ARVIDSJAUR</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60888-2021</t>
        </is>
      </c>
      <c r="B226" s="1" t="n">
        <v>44497</v>
      </c>
      <c r="C226" s="1" t="n">
        <v>45588</v>
      </c>
      <c r="D226" t="inlineStr">
        <is>
          <t>NORRBOTTENS LÄN</t>
        </is>
      </c>
      <c r="E226" t="inlineStr">
        <is>
          <t>ARVIDSJAUR</t>
        </is>
      </c>
      <c r="F226" t="inlineStr">
        <is>
          <t>Sveaskog</t>
        </is>
      </c>
      <c r="G226" t="n">
        <v>12.1</v>
      </c>
      <c r="H226" t="n">
        <v>0</v>
      </c>
      <c r="I226" t="n">
        <v>0</v>
      </c>
      <c r="J226" t="n">
        <v>0</v>
      </c>
      <c r="K226" t="n">
        <v>0</v>
      </c>
      <c r="L226" t="n">
        <v>0</v>
      </c>
      <c r="M226" t="n">
        <v>0</v>
      </c>
      <c r="N226" t="n">
        <v>0</v>
      </c>
      <c r="O226" t="n">
        <v>0</v>
      </c>
      <c r="P226" t="n">
        <v>0</v>
      </c>
      <c r="Q226" t="n">
        <v>0</v>
      </c>
      <c r="R226" s="2" t="inlineStr"/>
    </row>
    <row r="227" ht="15" customHeight="1">
      <c r="A227" t="inlineStr">
        <is>
          <t>A 61838-2021</t>
        </is>
      </c>
      <c r="B227" s="1" t="n">
        <v>44501</v>
      </c>
      <c r="C227" s="1" t="n">
        <v>45588</v>
      </c>
      <c r="D227" t="inlineStr">
        <is>
          <t>NORRBOTTENS LÄN</t>
        </is>
      </c>
      <c r="E227" t="inlineStr">
        <is>
          <t>ARVIDSJAUR</t>
        </is>
      </c>
      <c r="G227" t="n">
        <v>5.5</v>
      </c>
      <c r="H227" t="n">
        <v>0</v>
      </c>
      <c r="I227" t="n">
        <v>0</v>
      </c>
      <c r="J227" t="n">
        <v>0</v>
      </c>
      <c r="K227" t="n">
        <v>0</v>
      </c>
      <c r="L227" t="n">
        <v>0</v>
      </c>
      <c r="M227" t="n">
        <v>0</v>
      </c>
      <c r="N227" t="n">
        <v>0</v>
      </c>
      <c r="O227" t="n">
        <v>0</v>
      </c>
      <c r="P227" t="n">
        <v>0</v>
      </c>
      <c r="Q227" t="n">
        <v>0</v>
      </c>
      <c r="R227" s="2" t="inlineStr"/>
    </row>
    <row r="228" ht="15" customHeight="1">
      <c r="A228" t="inlineStr">
        <is>
          <t>A 64384-2021</t>
        </is>
      </c>
      <c r="B228" s="1" t="n">
        <v>44511</v>
      </c>
      <c r="C228" s="1" t="n">
        <v>45588</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64377-2021</t>
        </is>
      </c>
      <c r="B229" s="1" t="n">
        <v>44511</v>
      </c>
      <c r="C229" s="1" t="n">
        <v>45588</v>
      </c>
      <c r="D229" t="inlineStr">
        <is>
          <t>NORRBOTTENS LÄN</t>
        </is>
      </c>
      <c r="E229" t="inlineStr">
        <is>
          <t>ARVIDSJAUR</t>
        </is>
      </c>
      <c r="G229" t="n">
        <v>6.9</v>
      </c>
      <c r="H229" t="n">
        <v>0</v>
      </c>
      <c r="I229" t="n">
        <v>0</v>
      </c>
      <c r="J229" t="n">
        <v>0</v>
      </c>
      <c r="K229" t="n">
        <v>0</v>
      </c>
      <c r="L229" t="n">
        <v>0</v>
      </c>
      <c r="M229" t="n">
        <v>0</v>
      </c>
      <c r="N229" t="n">
        <v>0</v>
      </c>
      <c r="O229" t="n">
        <v>0</v>
      </c>
      <c r="P229" t="n">
        <v>0</v>
      </c>
      <c r="Q229" t="n">
        <v>0</v>
      </c>
      <c r="R229" s="2" t="inlineStr"/>
    </row>
    <row r="230" ht="15" customHeight="1">
      <c r="A230" t="inlineStr">
        <is>
          <t>A 68376-2021</t>
        </is>
      </c>
      <c r="B230" s="1" t="n">
        <v>44529</v>
      </c>
      <c r="C230" s="1" t="n">
        <v>45588</v>
      </c>
      <c r="D230" t="inlineStr">
        <is>
          <t>NORRBOTTENS LÄN</t>
        </is>
      </c>
      <c r="E230" t="inlineStr">
        <is>
          <t>ARVIDSJAUR</t>
        </is>
      </c>
      <c r="F230" t="inlineStr">
        <is>
          <t>Sveaskog</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69080-2021</t>
        </is>
      </c>
      <c r="B231" s="1" t="n">
        <v>44530</v>
      </c>
      <c r="C231" s="1" t="n">
        <v>45588</v>
      </c>
      <c r="D231" t="inlineStr">
        <is>
          <t>NORRBOTTENS LÄN</t>
        </is>
      </c>
      <c r="E231" t="inlineStr">
        <is>
          <t>ARVIDSJAUR</t>
        </is>
      </c>
      <c r="F231" t="inlineStr">
        <is>
          <t>Sveaskog</t>
        </is>
      </c>
      <c r="G231" t="n">
        <v>10</v>
      </c>
      <c r="H231" t="n">
        <v>0</v>
      </c>
      <c r="I231" t="n">
        <v>0</v>
      </c>
      <c r="J231" t="n">
        <v>0</v>
      </c>
      <c r="K231" t="n">
        <v>0</v>
      </c>
      <c r="L231" t="n">
        <v>0</v>
      </c>
      <c r="M231" t="n">
        <v>0</v>
      </c>
      <c r="N231" t="n">
        <v>0</v>
      </c>
      <c r="O231" t="n">
        <v>0</v>
      </c>
      <c r="P231" t="n">
        <v>0</v>
      </c>
      <c r="Q231" t="n">
        <v>0</v>
      </c>
      <c r="R231" s="2" t="inlineStr"/>
    </row>
    <row r="232" ht="15" customHeight="1">
      <c r="A232" t="inlineStr">
        <is>
          <t>A 69576-2021</t>
        </is>
      </c>
      <c r="B232" s="1" t="n">
        <v>44532</v>
      </c>
      <c r="C232" s="1" t="n">
        <v>45588</v>
      </c>
      <c r="D232" t="inlineStr">
        <is>
          <t>NORRBOTTENS LÄN</t>
        </is>
      </c>
      <c r="E232" t="inlineStr">
        <is>
          <t>ARVIDSJAUR</t>
        </is>
      </c>
      <c r="F232" t="inlineStr">
        <is>
          <t>Övriga Aktiebolag</t>
        </is>
      </c>
      <c r="G232" t="n">
        <v>4.5</v>
      </c>
      <c r="H232" t="n">
        <v>0</v>
      </c>
      <c r="I232" t="n">
        <v>0</v>
      </c>
      <c r="J232" t="n">
        <v>0</v>
      </c>
      <c r="K232" t="n">
        <v>0</v>
      </c>
      <c r="L232" t="n">
        <v>0</v>
      </c>
      <c r="M232" t="n">
        <v>0</v>
      </c>
      <c r="N232" t="n">
        <v>0</v>
      </c>
      <c r="O232" t="n">
        <v>0</v>
      </c>
      <c r="P232" t="n">
        <v>0</v>
      </c>
      <c r="Q232" t="n">
        <v>0</v>
      </c>
      <c r="R232" s="2" t="inlineStr"/>
    </row>
    <row r="233" ht="15" customHeight="1">
      <c r="A233" t="inlineStr">
        <is>
          <t>A 71683-2021</t>
        </is>
      </c>
      <c r="B233" s="1" t="n">
        <v>44543</v>
      </c>
      <c r="C233" s="1" t="n">
        <v>45588</v>
      </c>
      <c r="D233" t="inlineStr">
        <is>
          <t>NORRBOTTENS LÄN</t>
        </is>
      </c>
      <c r="E233" t="inlineStr">
        <is>
          <t>ARVIDSJAUR</t>
        </is>
      </c>
      <c r="F233" t="inlineStr">
        <is>
          <t>Sveaskog</t>
        </is>
      </c>
      <c r="G233" t="n">
        <v>17.8</v>
      </c>
      <c r="H233" t="n">
        <v>0</v>
      </c>
      <c r="I233" t="n">
        <v>0</v>
      </c>
      <c r="J233" t="n">
        <v>0</v>
      </c>
      <c r="K233" t="n">
        <v>0</v>
      </c>
      <c r="L233" t="n">
        <v>0</v>
      </c>
      <c r="M233" t="n">
        <v>0</v>
      </c>
      <c r="N233" t="n">
        <v>0</v>
      </c>
      <c r="O233" t="n">
        <v>0</v>
      </c>
      <c r="P233" t="n">
        <v>0</v>
      </c>
      <c r="Q233" t="n">
        <v>0</v>
      </c>
      <c r="R233" s="2" t="inlineStr"/>
    </row>
    <row r="234" ht="15" customHeight="1">
      <c r="A234" t="inlineStr">
        <is>
          <t>A 71695-2021</t>
        </is>
      </c>
      <c r="B234" s="1" t="n">
        <v>44543</v>
      </c>
      <c r="C234" s="1" t="n">
        <v>45588</v>
      </c>
      <c r="D234" t="inlineStr">
        <is>
          <t>NORRBOTTENS LÄN</t>
        </is>
      </c>
      <c r="E234" t="inlineStr">
        <is>
          <t>ARVIDSJAUR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73488-2021</t>
        </is>
      </c>
      <c r="B235" s="1" t="n">
        <v>44551</v>
      </c>
      <c r="C235" s="1" t="n">
        <v>45588</v>
      </c>
      <c r="D235" t="inlineStr">
        <is>
          <t>NORRBOTTENS LÄN</t>
        </is>
      </c>
      <c r="E235" t="inlineStr">
        <is>
          <t>ARVIDSJAUR</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73490-2021</t>
        </is>
      </c>
      <c r="B236" s="1" t="n">
        <v>44551</v>
      </c>
      <c r="C236" s="1" t="n">
        <v>45588</v>
      </c>
      <c r="D236" t="inlineStr">
        <is>
          <t>NORRBOTTENS LÄN</t>
        </is>
      </c>
      <c r="E236" t="inlineStr">
        <is>
          <t>ARVIDSJAUR</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73782-2021</t>
        </is>
      </c>
      <c r="B237" s="1" t="n">
        <v>44552</v>
      </c>
      <c r="C237" s="1" t="n">
        <v>45588</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2698-2022</t>
        </is>
      </c>
      <c r="B238" s="1" t="n">
        <v>44580</v>
      </c>
      <c r="C238" s="1" t="n">
        <v>45588</v>
      </c>
      <c r="D238" t="inlineStr">
        <is>
          <t>NORRBOTTENS LÄN</t>
        </is>
      </c>
      <c r="E238" t="inlineStr">
        <is>
          <t>ARVIDSJAUR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9234-2022</t>
        </is>
      </c>
      <c r="B239" s="1" t="n">
        <v>44616</v>
      </c>
      <c r="C239" s="1" t="n">
        <v>45588</v>
      </c>
      <c r="D239" t="inlineStr">
        <is>
          <t>NORRBOTTENS LÄN</t>
        </is>
      </c>
      <c r="E239" t="inlineStr">
        <is>
          <t>ARVIDSJAUR</t>
        </is>
      </c>
      <c r="G239" t="n">
        <v>0.8</v>
      </c>
      <c r="H239" t="n">
        <v>0</v>
      </c>
      <c r="I239" t="n">
        <v>0</v>
      </c>
      <c r="J239" t="n">
        <v>0</v>
      </c>
      <c r="K239" t="n">
        <v>0</v>
      </c>
      <c r="L239" t="n">
        <v>0</v>
      </c>
      <c r="M239" t="n">
        <v>0</v>
      </c>
      <c r="N239" t="n">
        <v>0</v>
      </c>
      <c r="O239" t="n">
        <v>0</v>
      </c>
      <c r="P239" t="n">
        <v>0</v>
      </c>
      <c r="Q239" t="n">
        <v>0</v>
      </c>
      <c r="R239" s="2" t="inlineStr"/>
    </row>
    <row r="240" ht="15" customHeight="1">
      <c r="A240" t="inlineStr">
        <is>
          <t>A 9978-2022</t>
        </is>
      </c>
      <c r="B240" s="1" t="n">
        <v>44621</v>
      </c>
      <c r="C240" s="1" t="n">
        <v>45588</v>
      </c>
      <c r="D240" t="inlineStr">
        <is>
          <t>NORRBOTTENS LÄN</t>
        </is>
      </c>
      <c r="E240" t="inlineStr">
        <is>
          <t>ARVIDSJAUR</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10648-2022</t>
        </is>
      </c>
      <c r="B241" s="1" t="n">
        <v>44624</v>
      </c>
      <c r="C241" s="1" t="n">
        <v>45588</v>
      </c>
      <c r="D241" t="inlineStr">
        <is>
          <t>NORRBOTTENS LÄN</t>
        </is>
      </c>
      <c r="E241" t="inlineStr">
        <is>
          <t>ARVIDSJAUR</t>
        </is>
      </c>
      <c r="G241" t="n">
        <v>4.7</v>
      </c>
      <c r="H241" t="n">
        <v>0</v>
      </c>
      <c r="I241" t="n">
        <v>0</v>
      </c>
      <c r="J241" t="n">
        <v>0</v>
      </c>
      <c r="K241" t="n">
        <v>0</v>
      </c>
      <c r="L241" t="n">
        <v>0</v>
      </c>
      <c r="M241" t="n">
        <v>0</v>
      </c>
      <c r="N241" t="n">
        <v>0</v>
      </c>
      <c r="O241" t="n">
        <v>0</v>
      </c>
      <c r="P241" t="n">
        <v>0</v>
      </c>
      <c r="Q241" t="n">
        <v>0</v>
      </c>
      <c r="R241" s="2" t="inlineStr"/>
    </row>
    <row r="242" ht="15" customHeight="1">
      <c r="A242" t="inlineStr">
        <is>
          <t>A 14964-2022</t>
        </is>
      </c>
      <c r="B242" s="1" t="n">
        <v>44657</v>
      </c>
      <c r="C242" s="1" t="n">
        <v>45588</v>
      </c>
      <c r="D242" t="inlineStr">
        <is>
          <t>NORRBOTTENS LÄN</t>
        </is>
      </c>
      <c r="E242" t="inlineStr">
        <is>
          <t>ARVIDSJAUR</t>
        </is>
      </c>
      <c r="F242" t="inlineStr">
        <is>
          <t>Sveaskog</t>
        </is>
      </c>
      <c r="G242" t="n">
        <v>15.3</v>
      </c>
      <c r="H242" t="n">
        <v>0</v>
      </c>
      <c r="I242" t="n">
        <v>0</v>
      </c>
      <c r="J242" t="n">
        <v>0</v>
      </c>
      <c r="K242" t="n">
        <v>0</v>
      </c>
      <c r="L242" t="n">
        <v>0</v>
      </c>
      <c r="M242" t="n">
        <v>0</v>
      </c>
      <c r="N242" t="n">
        <v>0</v>
      </c>
      <c r="O242" t="n">
        <v>0</v>
      </c>
      <c r="P242" t="n">
        <v>0</v>
      </c>
      <c r="Q242" t="n">
        <v>0</v>
      </c>
      <c r="R242" s="2" t="inlineStr"/>
    </row>
    <row r="243" ht="15" customHeight="1">
      <c r="A243" t="inlineStr">
        <is>
          <t>A 17686-2022</t>
        </is>
      </c>
      <c r="B243" s="1" t="n">
        <v>44680</v>
      </c>
      <c r="C243" s="1" t="n">
        <v>45588</v>
      </c>
      <c r="D243" t="inlineStr">
        <is>
          <t>NORRBOTTENS LÄN</t>
        </is>
      </c>
      <c r="E243" t="inlineStr">
        <is>
          <t>ARVIDSJAUR</t>
        </is>
      </c>
      <c r="G243" t="n">
        <v>9.5</v>
      </c>
      <c r="H243" t="n">
        <v>0</v>
      </c>
      <c r="I243" t="n">
        <v>0</v>
      </c>
      <c r="J243" t="n">
        <v>0</v>
      </c>
      <c r="K243" t="n">
        <v>0</v>
      </c>
      <c r="L243" t="n">
        <v>0</v>
      </c>
      <c r="M243" t="n">
        <v>0</v>
      </c>
      <c r="N243" t="n">
        <v>0</v>
      </c>
      <c r="O243" t="n">
        <v>0</v>
      </c>
      <c r="P243" t="n">
        <v>0</v>
      </c>
      <c r="Q243" t="n">
        <v>0</v>
      </c>
      <c r="R243" s="2" t="inlineStr"/>
    </row>
    <row r="244" ht="15" customHeight="1">
      <c r="A244" t="inlineStr">
        <is>
          <t>A 18920-2022</t>
        </is>
      </c>
      <c r="B244" s="1" t="n">
        <v>44690</v>
      </c>
      <c r="C244" s="1" t="n">
        <v>45588</v>
      </c>
      <c r="D244" t="inlineStr">
        <is>
          <t>NORRBOTTENS LÄN</t>
        </is>
      </c>
      <c r="E244" t="inlineStr">
        <is>
          <t>ARVIDSJAUR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18886-2022</t>
        </is>
      </c>
      <c r="B245" s="1" t="n">
        <v>44690</v>
      </c>
      <c r="C245" s="1" t="n">
        <v>45588</v>
      </c>
      <c r="D245" t="inlineStr">
        <is>
          <t>NORRBOTTENS LÄN</t>
        </is>
      </c>
      <c r="E245" t="inlineStr">
        <is>
          <t>ARVIDSJAUR</t>
        </is>
      </c>
      <c r="F245" t="inlineStr">
        <is>
          <t>Allmännings- och besparingsskogar</t>
        </is>
      </c>
      <c r="G245" t="n">
        <v>4.6</v>
      </c>
      <c r="H245" t="n">
        <v>0</v>
      </c>
      <c r="I245" t="n">
        <v>0</v>
      </c>
      <c r="J245" t="n">
        <v>0</v>
      </c>
      <c r="K245" t="n">
        <v>0</v>
      </c>
      <c r="L245" t="n">
        <v>0</v>
      </c>
      <c r="M245" t="n">
        <v>0</v>
      </c>
      <c r="N245" t="n">
        <v>0</v>
      </c>
      <c r="O245" t="n">
        <v>0</v>
      </c>
      <c r="P245" t="n">
        <v>0</v>
      </c>
      <c r="Q245" t="n">
        <v>0</v>
      </c>
      <c r="R245" s="2" t="inlineStr"/>
    </row>
    <row r="246" ht="15" customHeight="1">
      <c r="A246" t="inlineStr">
        <is>
          <t>A 18914-2022</t>
        </is>
      </c>
      <c r="B246" s="1" t="n">
        <v>44690</v>
      </c>
      <c r="C246" s="1" t="n">
        <v>45588</v>
      </c>
      <c r="D246" t="inlineStr">
        <is>
          <t>NORRBOTTENS LÄN</t>
        </is>
      </c>
      <c r="E246" t="inlineStr">
        <is>
          <t>ARVIDSJAUR</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19314-2022</t>
        </is>
      </c>
      <c r="B247" s="1" t="n">
        <v>44692</v>
      </c>
      <c r="C247" s="1" t="n">
        <v>45588</v>
      </c>
      <c r="D247" t="inlineStr">
        <is>
          <t>NORRBOTTENS LÄN</t>
        </is>
      </c>
      <c r="E247" t="inlineStr">
        <is>
          <t>ARVIDSJAUR</t>
        </is>
      </c>
      <c r="F247" t="inlineStr">
        <is>
          <t>Sveaskog</t>
        </is>
      </c>
      <c r="G247" t="n">
        <v>3</v>
      </c>
      <c r="H247" t="n">
        <v>0</v>
      </c>
      <c r="I247" t="n">
        <v>0</v>
      </c>
      <c r="J247" t="n">
        <v>0</v>
      </c>
      <c r="K247" t="n">
        <v>0</v>
      </c>
      <c r="L247" t="n">
        <v>0</v>
      </c>
      <c r="M247" t="n">
        <v>0</v>
      </c>
      <c r="N247" t="n">
        <v>0</v>
      </c>
      <c r="O247" t="n">
        <v>0</v>
      </c>
      <c r="P247" t="n">
        <v>0</v>
      </c>
      <c r="Q247" t="n">
        <v>0</v>
      </c>
      <c r="R247" s="2" t="inlineStr"/>
    </row>
    <row r="248" ht="15" customHeight="1">
      <c r="A248" t="inlineStr">
        <is>
          <t>A 20403-2022</t>
        </is>
      </c>
      <c r="B248" s="1" t="n">
        <v>44699</v>
      </c>
      <c r="C248" s="1" t="n">
        <v>45588</v>
      </c>
      <c r="D248" t="inlineStr">
        <is>
          <t>NORRBOTTENS LÄN</t>
        </is>
      </c>
      <c r="E248" t="inlineStr">
        <is>
          <t>ARVIDSJAUR</t>
        </is>
      </c>
      <c r="G248" t="n">
        <v>1.7</v>
      </c>
      <c r="H248" t="n">
        <v>0</v>
      </c>
      <c r="I248" t="n">
        <v>0</v>
      </c>
      <c r="J248" t="n">
        <v>0</v>
      </c>
      <c r="K248" t="n">
        <v>0</v>
      </c>
      <c r="L248" t="n">
        <v>0</v>
      </c>
      <c r="M248" t="n">
        <v>0</v>
      </c>
      <c r="N248" t="n">
        <v>0</v>
      </c>
      <c r="O248" t="n">
        <v>0</v>
      </c>
      <c r="P248" t="n">
        <v>0</v>
      </c>
      <c r="Q248" t="n">
        <v>0</v>
      </c>
      <c r="R248" s="2" t="inlineStr"/>
    </row>
    <row r="249" ht="15" customHeight="1">
      <c r="A249" t="inlineStr">
        <is>
          <t>A 20698-2022</t>
        </is>
      </c>
      <c r="B249" s="1" t="n">
        <v>44700</v>
      </c>
      <c r="C249" s="1" t="n">
        <v>45588</v>
      </c>
      <c r="D249" t="inlineStr">
        <is>
          <t>NORRBOTTENS LÄN</t>
        </is>
      </c>
      <c r="E249" t="inlineStr">
        <is>
          <t>ARVIDSJAUR</t>
        </is>
      </c>
      <c r="G249" t="n">
        <v>1.3</v>
      </c>
      <c r="H249" t="n">
        <v>0</v>
      </c>
      <c r="I249" t="n">
        <v>0</v>
      </c>
      <c r="J249" t="n">
        <v>0</v>
      </c>
      <c r="K249" t="n">
        <v>0</v>
      </c>
      <c r="L249" t="n">
        <v>0</v>
      </c>
      <c r="M249" t="n">
        <v>0</v>
      </c>
      <c r="N249" t="n">
        <v>0</v>
      </c>
      <c r="O249" t="n">
        <v>0</v>
      </c>
      <c r="P249" t="n">
        <v>0</v>
      </c>
      <c r="Q249" t="n">
        <v>0</v>
      </c>
      <c r="R249" s="2" t="inlineStr"/>
    </row>
    <row r="250" ht="15" customHeight="1">
      <c r="A250" t="inlineStr">
        <is>
          <t>A 22832-2022</t>
        </is>
      </c>
      <c r="B250" s="1" t="n">
        <v>44715</v>
      </c>
      <c r="C250" s="1" t="n">
        <v>45588</v>
      </c>
      <c r="D250" t="inlineStr">
        <is>
          <t>NORRBOTTENS LÄN</t>
        </is>
      </c>
      <c r="E250" t="inlineStr">
        <is>
          <t>ARVIDSJAUR</t>
        </is>
      </c>
      <c r="G250" t="n">
        <v>0.5</v>
      </c>
      <c r="H250" t="n">
        <v>0</v>
      </c>
      <c r="I250" t="n">
        <v>0</v>
      </c>
      <c r="J250" t="n">
        <v>0</v>
      </c>
      <c r="K250" t="n">
        <v>0</v>
      </c>
      <c r="L250" t="n">
        <v>0</v>
      </c>
      <c r="M250" t="n">
        <v>0</v>
      </c>
      <c r="N250" t="n">
        <v>0</v>
      </c>
      <c r="O250" t="n">
        <v>0</v>
      </c>
      <c r="P250" t="n">
        <v>0</v>
      </c>
      <c r="Q250" t="n">
        <v>0</v>
      </c>
      <c r="R250" s="2" t="inlineStr"/>
    </row>
    <row r="251" ht="15" customHeight="1">
      <c r="A251" t="inlineStr">
        <is>
          <t>A 23575-2022</t>
        </is>
      </c>
      <c r="B251" s="1" t="n">
        <v>44721</v>
      </c>
      <c r="C251" s="1" t="n">
        <v>45588</v>
      </c>
      <c r="D251" t="inlineStr">
        <is>
          <t>NORRBOTTENS LÄN</t>
        </is>
      </c>
      <c r="E251" t="inlineStr">
        <is>
          <t>ARVIDSJAUR</t>
        </is>
      </c>
      <c r="F251" t="inlineStr">
        <is>
          <t>Övriga Aktiebolag</t>
        </is>
      </c>
      <c r="G251" t="n">
        <v>13.8</v>
      </c>
      <c r="H251" t="n">
        <v>0</v>
      </c>
      <c r="I251" t="n">
        <v>0</v>
      </c>
      <c r="J251" t="n">
        <v>0</v>
      </c>
      <c r="K251" t="n">
        <v>0</v>
      </c>
      <c r="L251" t="n">
        <v>0</v>
      </c>
      <c r="M251" t="n">
        <v>0</v>
      </c>
      <c r="N251" t="n">
        <v>0</v>
      </c>
      <c r="O251" t="n">
        <v>0</v>
      </c>
      <c r="P251" t="n">
        <v>0</v>
      </c>
      <c r="Q251" t="n">
        <v>0</v>
      </c>
      <c r="R251" s="2" t="inlineStr"/>
    </row>
    <row r="252" ht="15" customHeight="1">
      <c r="A252" t="inlineStr">
        <is>
          <t>A 25388-2022</t>
        </is>
      </c>
      <c r="B252" s="1" t="n">
        <v>44732</v>
      </c>
      <c r="C252" s="1" t="n">
        <v>45588</v>
      </c>
      <c r="D252" t="inlineStr">
        <is>
          <t>NORRBOTTENS LÄN</t>
        </is>
      </c>
      <c r="E252" t="inlineStr">
        <is>
          <t>ARVIDSJAUR</t>
        </is>
      </c>
      <c r="G252" t="n">
        <v>7.2</v>
      </c>
      <c r="H252" t="n">
        <v>0</v>
      </c>
      <c r="I252" t="n">
        <v>0</v>
      </c>
      <c r="J252" t="n">
        <v>0</v>
      </c>
      <c r="K252" t="n">
        <v>0</v>
      </c>
      <c r="L252" t="n">
        <v>0</v>
      </c>
      <c r="M252" t="n">
        <v>0</v>
      </c>
      <c r="N252" t="n">
        <v>0</v>
      </c>
      <c r="O252" t="n">
        <v>0</v>
      </c>
      <c r="P252" t="n">
        <v>0</v>
      </c>
      <c r="Q252" t="n">
        <v>0</v>
      </c>
      <c r="R252" s="2" t="inlineStr"/>
    </row>
    <row r="253" ht="15" customHeight="1">
      <c r="A253" t="inlineStr">
        <is>
          <t>A 25506-2022</t>
        </is>
      </c>
      <c r="B253" s="1" t="n">
        <v>44732</v>
      </c>
      <c r="C253" s="1" t="n">
        <v>45588</v>
      </c>
      <c r="D253" t="inlineStr">
        <is>
          <t>NORRBOTTENS LÄN</t>
        </is>
      </c>
      <c r="E253" t="inlineStr">
        <is>
          <t>ARVIDSJAUR</t>
        </is>
      </c>
      <c r="F253" t="inlineStr">
        <is>
          <t>Sveaskog</t>
        </is>
      </c>
      <c r="G253" t="n">
        <v>12.3</v>
      </c>
      <c r="H253" t="n">
        <v>0</v>
      </c>
      <c r="I253" t="n">
        <v>0</v>
      </c>
      <c r="J253" t="n">
        <v>0</v>
      </c>
      <c r="K253" t="n">
        <v>0</v>
      </c>
      <c r="L253" t="n">
        <v>0</v>
      </c>
      <c r="M253" t="n">
        <v>0</v>
      </c>
      <c r="N253" t="n">
        <v>0</v>
      </c>
      <c r="O253" t="n">
        <v>0</v>
      </c>
      <c r="P253" t="n">
        <v>0</v>
      </c>
      <c r="Q253" t="n">
        <v>0</v>
      </c>
      <c r="R253" s="2" t="inlineStr"/>
    </row>
    <row r="254" ht="15" customHeight="1">
      <c r="A254" t="inlineStr">
        <is>
          <t>A 25395-2022</t>
        </is>
      </c>
      <c r="B254" s="1" t="n">
        <v>44732</v>
      </c>
      <c r="C254" s="1" t="n">
        <v>45588</v>
      </c>
      <c r="D254" t="inlineStr">
        <is>
          <t>NORRBOTTENS LÄN</t>
        </is>
      </c>
      <c r="E254" t="inlineStr">
        <is>
          <t>ARVIDSJAUR</t>
        </is>
      </c>
      <c r="G254" t="n">
        <v>6</v>
      </c>
      <c r="H254" t="n">
        <v>0</v>
      </c>
      <c r="I254" t="n">
        <v>0</v>
      </c>
      <c r="J254" t="n">
        <v>0</v>
      </c>
      <c r="K254" t="n">
        <v>0</v>
      </c>
      <c r="L254" t="n">
        <v>0</v>
      </c>
      <c r="M254" t="n">
        <v>0</v>
      </c>
      <c r="N254" t="n">
        <v>0</v>
      </c>
      <c r="O254" t="n">
        <v>0</v>
      </c>
      <c r="P254" t="n">
        <v>0</v>
      </c>
      <c r="Q254" t="n">
        <v>0</v>
      </c>
      <c r="R254" s="2" t="inlineStr"/>
    </row>
    <row r="255" ht="15" customHeight="1">
      <c r="A255" t="inlineStr">
        <is>
          <t>A 25720-2022</t>
        </is>
      </c>
      <c r="B255" s="1" t="n">
        <v>44733</v>
      </c>
      <c r="C255" s="1" t="n">
        <v>45588</v>
      </c>
      <c r="D255" t="inlineStr">
        <is>
          <t>NORRBOTTENS LÄN</t>
        </is>
      </c>
      <c r="E255" t="inlineStr">
        <is>
          <t>ARVIDSJAUR</t>
        </is>
      </c>
      <c r="F255" t="inlineStr">
        <is>
          <t>Sveaskog</t>
        </is>
      </c>
      <c r="G255" t="n">
        <v>16.4</v>
      </c>
      <c r="H255" t="n">
        <v>0</v>
      </c>
      <c r="I255" t="n">
        <v>0</v>
      </c>
      <c r="J255" t="n">
        <v>0</v>
      </c>
      <c r="K255" t="n">
        <v>0</v>
      </c>
      <c r="L255" t="n">
        <v>0</v>
      </c>
      <c r="M255" t="n">
        <v>0</v>
      </c>
      <c r="N255" t="n">
        <v>0</v>
      </c>
      <c r="O255" t="n">
        <v>0</v>
      </c>
      <c r="P255" t="n">
        <v>0</v>
      </c>
      <c r="Q255" t="n">
        <v>0</v>
      </c>
      <c r="R255" s="2" t="inlineStr"/>
    </row>
    <row r="256" ht="15" customHeight="1">
      <c r="A256" t="inlineStr">
        <is>
          <t>A 26223-2022</t>
        </is>
      </c>
      <c r="B256" s="1" t="n">
        <v>44735</v>
      </c>
      <c r="C256" s="1" t="n">
        <v>45588</v>
      </c>
      <c r="D256" t="inlineStr">
        <is>
          <t>NORRBOTTENS LÄN</t>
        </is>
      </c>
      <c r="E256" t="inlineStr">
        <is>
          <t>ARVIDSJAUR</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26938-2022</t>
        </is>
      </c>
      <c r="B257" s="1" t="n">
        <v>44740</v>
      </c>
      <c r="C257" s="1" t="n">
        <v>45588</v>
      </c>
      <c r="D257" t="inlineStr">
        <is>
          <t>NORRBOTTENS LÄN</t>
        </is>
      </c>
      <c r="E257" t="inlineStr">
        <is>
          <t>ARVIDSJAUR</t>
        </is>
      </c>
      <c r="G257" t="n">
        <v>4.3</v>
      </c>
      <c r="H257" t="n">
        <v>0</v>
      </c>
      <c r="I257" t="n">
        <v>0</v>
      </c>
      <c r="J257" t="n">
        <v>0</v>
      </c>
      <c r="K257" t="n">
        <v>0</v>
      </c>
      <c r="L257" t="n">
        <v>0</v>
      </c>
      <c r="M257" t="n">
        <v>0</v>
      </c>
      <c r="N257" t="n">
        <v>0</v>
      </c>
      <c r="O257" t="n">
        <v>0</v>
      </c>
      <c r="P257" t="n">
        <v>0</v>
      </c>
      <c r="Q257" t="n">
        <v>0</v>
      </c>
      <c r="R257" s="2" t="inlineStr"/>
    </row>
    <row r="258" ht="15" customHeight="1">
      <c r="A258" t="inlineStr">
        <is>
          <t>A 27234-2022</t>
        </is>
      </c>
      <c r="B258" s="1" t="n">
        <v>44741</v>
      </c>
      <c r="C258" s="1" t="n">
        <v>45588</v>
      </c>
      <c r="D258" t="inlineStr">
        <is>
          <t>NORRBOTTENS LÄN</t>
        </is>
      </c>
      <c r="E258" t="inlineStr">
        <is>
          <t>ARVIDSJAUR</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27734-2022</t>
        </is>
      </c>
      <c r="B259" s="1" t="n">
        <v>44743</v>
      </c>
      <c r="C259" s="1" t="n">
        <v>45588</v>
      </c>
      <c r="D259" t="inlineStr">
        <is>
          <t>NORRBOTTENS LÄN</t>
        </is>
      </c>
      <c r="E259" t="inlineStr">
        <is>
          <t>ARVIDSJAUR</t>
        </is>
      </c>
      <c r="F259" t="inlineStr">
        <is>
          <t>Sveaskog</t>
        </is>
      </c>
      <c r="G259" t="n">
        <v>18.1</v>
      </c>
      <c r="H259" t="n">
        <v>0</v>
      </c>
      <c r="I259" t="n">
        <v>0</v>
      </c>
      <c r="J259" t="n">
        <v>0</v>
      </c>
      <c r="K259" t="n">
        <v>0</v>
      </c>
      <c r="L259" t="n">
        <v>0</v>
      </c>
      <c r="M259" t="n">
        <v>0</v>
      </c>
      <c r="N259" t="n">
        <v>0</v>
      </c>
      <c r="O259" t="n">
        <v>0</v>
      </c>
      <c r="P259" t="n">
        <v>0</v>
      </c>
      <c r="Q259" t="n">
        <v>0</v>
      </c>
      <c r="R259" s="2" t="inlineStr"/>
    </row>
    <row r="260" ht="15" customHeight="1">
      <c r="A260" t="inlineStr">
        <is>
          <t>A 28052-2022</t>
        </is>
      </c>
      <c r="B260" s="1" t="n">
        <v>44746</v>
      </c>
      <c r="C260" s="1" t="n">
        <v>45588</v>
      </c>
      <c r="D260" t="inlineStr">
        <is>
          <t>NORRBOTTENS LÄN</t>
        </is>
      </c>
      <c r="E260" t="inlineStr">
        <is>
          <t>ARVIDSJAUR</t>
        </is>
      </c>
      <c r="F260" t="inlineStr">
        <is>
          <t>Övriga Aktiebolag</t>
        </is>
      </c>
      <c r="G260" t="n">
        <v>18.3</v>
      </c>
      <c r="H260" t="n">
        <v>0</v>
      </c>
      <c r="I260" t="n">
        <v>0</v>
      </c>
      <c r="J260" t="n">
        <v>0</v>
      </c>
      <c r="K260" t="n">
        <v>0</v>
      </c>
      <c r="L260" t="n">
        <v>0</v>
      </c>
      <c r="M260" t="n">
        <v>0</v>
      </c>
      <c r="N260" t="n">
        <v>0</v>
      </c>
      <c r="O260" t="n">
        <v>0</v>
      </c>
      <c r="P260" t="n">
        <v>0</v>
      </c>
      <c r="Q260" t="n">
        <v>0</v>
      </c>
      <c r="R260" s="2" t="inlineStr"/>
    </row>
    <row r="261" ht="15" customHeight="1">
      <c r="A261" t="inlineStr">
        <is>
          <t>A 28937-2022</t>
        </is>
      </c>
      <c r="B261" s="1" t="n">
        <v>44749</v>
      </c>
      <c r="C261" s="1" t="n">
        <v>45588</v>
      </c>
      <c r="D261" t="inlineStr">
        <is>
          <t>NORRBOTTENS LÄN</t>
        </is>
      </c>
      <c r="E261" t="inlineStr">
        <is>
          <t>ARVIDSJAUR</t>
        </is>
      </c>
      <c r="F261" t="inlineStr">
        <is>
          <t>Sveaskog</t>
        </is>
      </c>
      <c r="G261" t="n">
        <v>12.6</v>
      </c>
      <c r="H261" t="n">
        <v>0</v>
      </c>
      <c r="I261" t="n">
        <v>0</v>
      </c>
      <c r="J261" t="n">
        <v>0</v>
      </c>
      <c r="K261" t="n">
        <v>0</v>
      </c>
      <c r="L261" t="n">
        <v>0</v>
      </c>
      <c r="M261" t="n">
        <v>0</v>
      </c>
      <c r="N261" t="n">
        <v>0</v>
      </c>
      <c r="O261" t="n">
        <v>0</v>
      </c>
      <c r="P261" t="n">
        <v>0</v>
      </c>
      <c r="Q261" t="n">
        <v>0</v>
      </c>
      <c r="R261" s="2" t="inlineStr"/>
    </row>
    <row r="262" ht="15" customHeight="1">
      <c r="A262" t="inlineStr">
        <is>
          <t>A 29104-2022</t>
        </is>
      </c>
      <c r="B262" s="1" t="n">
        <v>44750</v>
      </c>
      <c r="C262" s="1" t="n">
        <v>45588</v>
      </c>
      <c r="D262" t="inlineStr">
        <is>
          <t>NORRBOTTENS LÄN</t>
        </is>
      </c>
      <c r="E262" t="inlineStr">
        <is>
          <t>ARVIDSJAUR</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31576-2022</t>
        </is>
      </c>
      <c r="B263" s="1" t="n">
        <v>44775</v>
      </c>
      <c r="C263" s="1" t="n">
        <v>45588</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32341-2022</t>
        </is>
      </c>
      <c r="B264" s="1" t="n">
        <v>44781</v>
      </c>
      <c r="C264" s="1" t="n">
        <v>45588</v>
      </c>
      <c r="D264" t="inlineStr">
        <is>
          <t>NORRBOTTENS LÄN</t>
        </is>
      </c>
      <c r="E264" t="inlineStr">
        <is>
          <t>ARVIDSJAUR</t>
        </is>
      </c>
      <c r="G264" t="n">
        <v>0.8</v>
      </c>
      <c r="H264" t="n">
        <v>0</v>
      </c>
      <c r="I264" t="n">
        <v>0</v>
      </c>
      <c r="J264" t="n">
        <v>0</v>
      </c>
      <c r="K264" t="n">
        <v>0</v>
      </c>
      <c r="L264" t="n">
        <v>0</v>
      </c>
      <c r="M264" t="n">
        <v>0</v>
      </c>
      <c r="N264" t="n">
        <v>0</v>
      </c>
      <c r="O264" t="n">
        <v>0</v>
      </c>
      <c r="P264" t="n">
        <v>0</v>
      </c>
      <c r="Q264" t="n">
        <v>0</v>
      </c>
      <c r="R264" s="2" t="inlineStr"/>
    </row>
    <row r="265" ht="15" customHeight="1">
      <c r="A265" t="inlineStr">
        <is>
          <t>A 33458-2022</t>
        </is>
      </c>
      <c r="B265" s="1" t="n">
        <v>44788</v>
      </c>
      <c r="C265" s="1" t="n">
        <v>45588</v>
      </c>
      <c r="D265" t="inlineStr">
        <is>
          <t>NORRBOTTENS LÄN</t>
        </is>
      </c>
      <c r="E265" t="inlineStr">
        <is>
          <t>ARVIDSJAUR</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33461-2022</t>
        </is>
      </c>
      <c r="B266" s="1" t="n">
        <v>44788</v>
      </c>
      <c r="C266" s="1" t="n">
        <v>45588</v>
      </c>
      <c r="D266" t="inlineStr">
        <is>
          <t>NORRBOTTENS LÄN</t>
        </is>
      </c>
      <c r="E266" t="inlineStr">
        <is>
          <t>ARVIDSJAUR</t>
        </is>
      </c>
      <c r="F266" t="inlineStr">
        <is>
          <t>Allmännings- och besparingsskogar</t>
        </is>
      </c>
      <c r="G266" t="n">
        <v>4.2</v>
      </c>
      <c r="H266" t="n">
        <v>0</v>
      </c>
      <c r="I266" t="n">
        <v>0</v>
      </c>
      <c r="J266" t="n">
        <v>0</v>
      </c>
      <c r="K266" t="n">
        <v>0</v>
      </c>
      <c r="L266" t="n">
        <v>0</v>
      </c>
      <c r="M266" t="n">
        <v>0</v>
      </c>
      <c r="N266" t="n">
        <v>0</v>
      </c>
      <c r="O266" t="n">
        <v>0</v>
      </c>
      <c r="P266" t="n">
        <v>0</v>
      </c>
      <c r="Q266" t="n">
        <v>0</v>
      </c>
      <c r="R266" s="2" t="inlineStr"/>
    </row>
    <row r="267" ht="15" customHeight="1">
      <c r="A267" t="inlineStr">
        <is>
          <t>A 33463-2022</t>
        </is>
      </c>
      <c r="B267" s="1" t="n">
        <v>44788</v>
      </c>
      <c r="C267" s="1" t="n">
        <v>45588</v>
      </c>
      <c r="D267" t="inlineStr">
        <is>
          <t>NORRBOTTENS LÄN</t>
        </is>
      </c>
      <c r="E267" t="inlineStr">
        <is>
          <t>ARVIDSJAUR</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34466-2022</t>
        </is>
      </c>
      <c r="B268" s="1" t="n">
        <v>44792</v>
      </c>
      <c r="C268" s="1" t="n">
        <v>45588</v>
      </c>
      <c r="D268" t="inlineStr">
        <is>
          <t>NORRBOTTENS LÄN</t>
        </is>
      </c>
      <c r="E268" t="inlineStr">
        <is>
          <t>ARVIDSJAUR</t>
        </is>
      </c>
      <c r="F268" t="inlineStr">
        <is>
          <t>Sveaskog</t>
        </is>
      </c>
      <c r="G268" t="n">
        <v>4</v>
      </c>
      <c r="H268" t="n">
        <v>0</v>
      </c>
      <c r="I268" t="n">
        <v>0</v>
      </c>
      <c r="J268" t="n">
        <v>0</v>
      </c>
      <c r="K268" t="n">
        <v>0</v>
      </c>
      <c r="L268" t="n">
        <v>0</v>
      </c>
      <c r="M268" t="n">
        <v>0</v>
      </c>
      <c r="N268" t="n">
        <v>0</v>
      </c>
      <c r="O268" t="n">
        <v>0</v>
      </c>
      <c r="P268" t="n">
        <v>0</v>
      </c>
      <c r="Q268" t="n">
        <v>0</v>
      </c>
      <c r="R268" s="2" t="inlineStr"/>
    </row>
    <row r="269" ht="15" customHeight="1">
      <c r="A269" t="inlineStr">
        <is>
          <t>A 34471-2022</t>
        </is>
      </c>
      <c r="B269" s="1" t="n">
        <v>44792</v>
      </c>
      <c r="C269" s="1" t="n">
        <v>45588</v>
      </c>
      <c r="D269" t="inlineStr">
        <is>
          <t>NORRBOTTENS LÄN</t>
        </is>
      </c>
      <c r="E269" t="inlineStr">
        <is>
          <t>ARVIDSJAUR</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34474-2022</t>
        </is>
      </c>
      <c r="B270" s="1" t="n">
        <v>44792</v>
      </c>
      <c r="C270" s="1" t="n">
        <v>45588</v>
      </c>
      <c r="D270" t="inlineStr">
        <is>
          <t>NORRBOTTENS LÄN</t>
        </is>
      </c>
      <c r="E270" t="inlineStr">
        <is>
          <t>ARVIDSJAUR</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34477-2022</t>
        </is>
      </c>
      <c r="B271" s="1" t="n">
        <v>44792</v>
      </c>
      <c r="C271" s="1" t="n">
        <v>45588</v>
      </c>
      <c r="D271" t="inlineStr">
        <is>
          <t>NORRBOTTENS LÄN</t>
        </is>
      </c>
      <c r="E271" t="inlineStr">
        <is>
          <t>ARVIDSJAUR</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36417-2022</t>
        </is>
      </c>
      <c r="B272" s="1" t="n">
        <v>44804</v>
      </c>
      <c r="C272" s="1" t="n">
        <v>45588</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36400-2022</t>
        </is>
      </c>
      <c r="B273" s="1" t="n">
        <v>44804</v>
      </c>
      <c r="C273" s="1" t="n">
        <v>45588</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36405-2022</t>
        </is>
      </c>
      <c r="B274" s="1" t="n">
        <v>44804</v>
      </c>
      <c r="C274" s="1" t="n">
        <v>45588</v>
      </c>
      <c r="D274" t="inlineStr">
        <is>
          <t>NORRBOTTENS LÄN</t>
        </is>
      </c>
      <c r="E274" t="inlineStr">
        <is>
          <t>ARVIDSJAUR</t>
        </is>
      </c>
      <c r="G274" t="n">
        <v>2.3</v>
      </c>
      <c r="H274" t="n">
        <v>0</v>
      </c>
      <c r="I274" t="n">
        <v>0</v>
      </c>
      <c r="J274" t="n">
        <v>0</v>
      </c>
      <c r="K274" t="n">
        <v>0</v>
      </c>
      <c r="L274" t="n">
        <v>0</v>
      </c>
      <c r="M274" t="n">
        <v>0</v>
      </c>
      <c r="N274" t="n">
        <v>0</v>
      </c>
      <c r="O274" t="n">
        <v>0</v>
      </c>
      <c r="P274" t="n">
        <v>0</v>
      </c>
      <c r="Q274" t="n">
        <v>0</v>
      </c>
      <c r="R274" s="2" t="inlineStr"/>
    </row>
    <row r="275" ht="15" customHeight="1">
      <c r="A275" t="inlineStr">
        <is>
          <t>A 36459-2022</t>
        </is>
      </c>
      <c r="B275" s="1" t="n">
        <v>44804</v>
      </c>
      <c r="C275" s="1" t="n">
        <v>45588</v>
      </c>
      <c r="D275" t="inlineStr">
        <is>
          <t>NORRBOTTENS LÄN</t>
        </is>
      </c>
      <c r="E275" t="inlineStr">
        <is>
          <t>ARVIDSJAUR</t>
        </is>
      </c>
      <c r="G275" t="n">
        <v>3.5</v>
      </c>
      <c r="H275" t="n">
        <v>0</v>
      </c>
      <c r="I275" t="n">
        <v>0</v>
      </c>
      <c r="J275" t="n">
        <v>0</v>
      </c>
      <c r="K275" t="n">
        <v>0</v>
      </c>
      <c r="L275" t="n">
        <v>0</v>
      </c>
      <c r="M275" t="n">
        <v>0</v>
      </c>
      <c r="N275" t="n">
        <v>0</v>
      </c>
      <c r="O275" t="n">
        <v>0</v>
      </c>
      <c r="P275" t="n">
        <v>0</v>
      </c>
      <c r="Q275" t="n">
        <v>0</v>
      </c>
      <c r="R275" s="2" t="inlineStr"/>
    </row>
    <row r="276" ht="15" customHeight="1">
      <c r="A276" t="inlineStr">
        <is>
          <t>A 36414-2022</t>
        </is>
      </c>
      <c r="B276" s="1" t="n">
        <v>44804</v>
      </c>
      <c r="C276" s="1" t="n">
        <v>45588</v>
      </c>
      <c r="D276" t="inlineStr">
        <is>
          <t>NORRBOTTENS LÄN</t>
        </is>
      </c>
      <c r="E276" t="inlineStr">
        <is>
          <t>ARVIDSJAUR</t>
        </is>
      </c>
      <c r="G276" t="n">
        <v>3.4</v>
      </c>
      <c r="H276" t="n">
        <v>0</v>
      </c>
      <c r="I276" t="n">
        <v>0</v>
      </c>
      <c r="J276" t="n">
        <v>0</v>
      </c>
      <c r="K276" t="n">
        <v>0</v>
      </c>
      <c r="L276" t="n">
        <v>0</v>
      </c>
      <c r="M276" t="n">
        <v>0</v>
      </c>
      <c r="N276" t="n">
        <v>0</v>
      </c>
      <c r="O276" t="n">
        <v>0</v>
      </c>
      <c r="P276" t="n">
        <v>0</v>
      </c>
      <c r="Q276" t="n">
        <v>0</v>
      </c>
      <c r="R276" s="2" t="inlineStr"/>
    </row>
    <row r="277" ht="15" customHeight="1">
      <c r="A277" t="inlineStr">
        <is>
          <t>A 36483-2022</t>
        </is>
      </c>
      <c r="B277" s="1" t="n">
        <v>44804</v>
      </c>
      <c r="C277" s="1" t="n">
        <v>45588</v>
      </c>
      <c r="D277" t="inlineStr">
        <is>
          <t>NORRBOTTENS LÄN</t>
        </is>
      </c>
      <c r="E277" t="inlineStr">
        <is>
          <t>ARVIDSJAUR</t>
        </is>
      </c>
      <c r="G277" t="n">
        <v>2.9</v>
      </c>
      <c r="H277" t="n">
        <v>0</v>
      </c>
      <c r="I277" t="n">
        <v>0</v>
      </c>
      <c r="J277" t="n">
        <v>0</v>
      </c>
      <c r="K277" t="n">
        <v>0</v>
      </c>
      <c r="L277" t="n">
        <v>0</v>
      </c>
      <c r="M277" t="n">
        <v>0</v>
      </c>
      <c r="N277" t="n">
        <v>0</v>
      </c>
      <c r="O277" t="n">
        <v>0</v>
      </c>
      <c r="P277" t="n">
        <v>0</v>
      </c>
      <c r="Q277" t="n">
        <v>0</v>
      </c>
      <c r="R277" s="2" t="inlineStr"/>
    </row>
    <row r="278" ht="15" customHeight="1">
      <c r="A278" t="inlineStr">
        <is>
          <t>A 37111-2022</t>
        </is>
      </c>
      <c r="B278" s="1" t="n">
        <v>44806</v>
      </c>
      <c r="C278" s="1" t="n">
        <v>45588</v>
      </c>
      <c r="D278" t="inlineStr">
        <is>
          <t>NORRBOTTENS LÄN</t>
        </is>
      </c>
      <c r="E278" t="inlineStr">
        <is>
          <t>ARVIDSJAUR</t>
        </is>
      </c>
      <c r="F278" t="inlineStr">
        <is>
          <t>Sveaskog</t>
        </is>
      </c>
      <c r="G278" t="n">
        <v>15.7</v>
      </c>
      <c r="H278" t="n">
        <v>0</v>
      </c>
      <c r="I278" t="n">
        <v>0</v>
      </c>
      <c r="J278" t="n">
        <v>0</v>
      </c>
      <c r="K278" t="n">
        <v>0</v>
      </c>
      <c r="L278" t="n">
        <v>0</v>
      </c>
      <c r="M278" t="n">
        <v>0</v>
      </c>
      <c r="N278" t="n">
        <v>0</v>
      </c>
      <c r="O278" t="n">
        <v>0</v>
      </c>
      <c r="P278" t="n">
        <v>0</v>
      </c>
      <c r="Q278" t="n">
        <v>0</v>
      </c>
      <c r="R278" s="2" t="inlineStr"/>
    </row>
    <row r="279" ht="15" customHeight="1">
      <c r="A279" t="inlineStr">
        <is>
          <t>A 37119-2022</t>
        </is>
      </c>
      <c r="B279" s="1" t="n">
        <v>44806</v>
      </c>
      <c r="C279" s="1" t="n">
        <v>45588</v>
      </c>
      <c r="D279" t="inlineStr">
        <is>
          <t>NORRBOTTENS LÄN</t>
        </is>
      </c>
      <c r="E279" t="inlineStr">
        <is>
          <t>ARVIDSJAUR</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37125-2022</t>
        </is>
      </c>
      <c r="B280" s="1" t="n">
        <v>44806</v>
      </c>
      <c r="C280" s="1" t="n">
        <v>45588</v>
      </c>
      <c r="D280" t="inlineStr">
        <is>
          <t>NORRBOTTENS LÄN</t>
        </is>
      </c>
      <c r="E280" t="inlineStr">
        <is>
          <t>ARVIDSJAUR</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38183-2022</t>
        </is>
      </c>
      <c r="B281" s="1" t="n">
        <v>44812</v>
      </c>
      <c r="C281" s="1" t="n">
        <v>45588</v>
      </c>
      <c r="D281" t="inlineStr">
        <is>
          <t>NORRBOTTENS LÄN</t>
        </is>
      </c>
      <c r="E281" t="inlineStr">
        <is>
          <t>ARVIDSJAUR</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38360-2022</t>
        </is>
      </c>
      <c r="B282" s="1" t="n">
        <v>44812</v>
      </c>
      <c r="C282" s="1" t="n">
        <v>45588</v>
      </c>
      <c r="D282" t="inlineStr">
        <is>
          <t>NORRBOTTENS LÄN</t>
        </is>
      </c>
      <c r="E282" t="inlineStr">
        <is>
          <t>ARVIDSJAUR</t>
        </is>
      </c>
      <c r="F282" t="inlineStr">
        <is>
          <t>Sveaskog</t>
        </is>
      </c>
      <c r="G282" t="n">
        <v>21.2</v>
      </c>
      <c r="H282" t="n">
        <v>0</v>
      </c>
      <c r="I282" t="n">
        <v>0</v>
      </c>
      <c r="J282" t="n">
        <v>0</v>
      </c>
      <c r="K282" t="n">
        <v>0</v>
      </c>
      <c r="L282" t="n">
        <v>0</v>
      </c>
      <c r="M282" t="n">
        <v>0</v>
      </c>
      <c r="N282" t="n">
        <v>0</v>
      </c>
      <c r="O282" t="n">
        <v>0</v>
      </c>
      <c r="P282" t="n">
        <v>0</v>
      </c>
      <c r="Q282" t="n">
        <v>0</v>
      </c>
      <c r="R282" s="2" t="inlineStr"/>
    </row>
    <row r="283" ht="15" customHeight="1">
      <c r="A283" t="inlineStr">
        <is>
          <t>A 39501-2022</t>
        </is>
      </c>
      <c r="B283" s="1" t="n">
        <v>44817</v>
      </c>
      <c r="C283" s="1" t="n">
        <v>45588</v>
      </c>
      <c r="D283" t="inlineStr">
        <is>
          <t>NORRBOTTENS LÄN</t>
        </is>
      </c>
      <c r="E283" t="inlineStr">
        <is>
          <t>ARVIDSJAUR</t>
        </is>
      </c>
      <c r="G283" t="n">
        <v>3.1</v>
      </c>
      <c r="H283" t="n">
        <v>0</v>
      </c>
      <c r="I283" t="n">
        <v>0</v>
      </c>
      <c r="J283" t="n">
        <v>0</v>
      </c>
      <c r="K283" t="n">
        <v>0</v>
      </c>
      <c r="L283" t="n">
        <v>0</v>
      </c>
      <c r="M283" t="n">
        <v>0</v>
      </c>
      <c r="N283" t="n">
        <v>0</v>
      </c>
      <c r="O283" t="n">
        <v>0</v>
      </c>
      <c r="P283" t="n">
        <v>0</v>
      </c>
      <c r="Q283" t="n">
        <v>0</v>
      </c>
      <c r="R283" s="2" t="inlineStr"/>
    </row>
    <row r="284" ht="15" customHeight="1">
      <c r="A284" t="inlineStr">
        <is>
          <t>A 39619-2022</t>
        </is>
      </c>
      <c r="B284" s="1" t="n">
        <v>44818</v>
      </c>
      <c r="C284" s="1" t="n">
        <v>45588</v>
      </c>
      <c r="D284" t="inlineStr">
        <is>
          <t>NORRBOTTENS LÄN</t>
        </is>
      </c>
      <c r="E284" t="inlineStr">
        <is>
          <t>ARVIDSJAUR</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40080-2022</t>
        </is>
      </c>
      <c r="B285" s="1" t="n">
        <v>44818</v>
      </c>
      <c r="C285" s="1" t="n">
        <v>45588</v>
      </c>
      <c r="D285" t="inlineStr">
        <is>
          <t>NORRBOTTENS LÄN</t>
        </is>
      </c>
      <c r="E285" t="inlineStr">
        <is>
          <t>ARVIDSJAUR</t>
        </is>
      </c>
      <c r="G285" t="n">
        <v>1.7</v>
      </c>
      <c r="H285" t="n">
        <v>0</v>
      </c>
      <c r="I285" t="n">
        <v>0</v>
      </c>
      <c r="J285" t="n">
        <v>0</v>
      </c>
      <c r="K285" t="n">
        <v>0</v>
      </c>
      <c r="L285" t="n">
        <v>0</v>
      </c>
      <c r="M285" t="n">
        <v>0</v>
      </c>
      <c r="N285" t="n">
        <v>0</v>
      </c>
      <c r="O285" t="n">
        <v>0</v>
      </c>
      <c r="P285" t="n">
        <v>0</v>
      </c>
      <c r="Q285" t="n">
        <v>0</v>
      </c>
      <c r="R285" s="2" t="inlineStr"/>
    </row>
    <row r="286" ht="15" customHeight="1">
      <c r="A286" t="inlineStr">
        <is>
          <t>A 39759-2022</t>
        </is>
      </c>
      <c r="B286" s="1" t="n">
        <v>44819</v>
      </c>
      <c r="C286" s="1" t="n">
        <v>45588</v>
      </c>
      <c r="D286" t="inlineStr">
        <is>
          <t>NORRBOTTENS LÄN</t>
        </is>
      </c>
      <c r="E286" t="inlineStr">
        <is>
          <t>ARVIDSJAUR</t>
        </is>
      </c>
      <c r="F286" t="inlineStr">
        <is>
          <t>Sveaskog</t>
        </is>
      </c>
      <c r="G286" t="n">
        <v>7.7</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45588</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39760-2022</t>
        </is>
      </c>
      <c r="B288" s="1" t="n">
        <v>44819</v>
      </c>
      <c r="C288" s="1" t="n">
        <v>45588</v>
      </c>
      <c r="D288" t="inlineStr">
        <is>
          <t>NORRBOTTENS LÄN</t>
        </is>
      </c>
      <c r="E288" t="inlineStr">
        <is>
          <t>ARVIDSJAUR</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40500-2022</t>
        </is>
      </c>
      <c r="B289" s="1" t="n">
        <v>44819</v>
      </c>
      <c r="C289" s="1" t="n">
        <v>45588</v>
      </c>
      <c r="D289" t="inlineStr">
        <is>
          <t>NORRBOTTENS LÄN</t>
        </is>
      </c>
      <c r="E289" t="inlineStr">
        <is>
          <t>ARVIDSJAUR</t>
        </is>
      </c>
      <c r="F289" t="inlineStr">
        <is>
          <t>Allmännings- och besparingsskogar</t>
        </is>
      </c>
      <c r="G289" t="n">
        <v>3.5</v>
      </c>
      <c r="H289" t="n">
        <v>0</v>
      </c>
      <c r="I289" t="n">
        <v>0</v>
      </c>
      <c r="J289" t="n">
        <v>0</v>
      </c>
      <c r="K289" t="n">
        <v>0</v>
      </c>
      <c r="L289" t="n">
        <v>0</v>
      </c>
      <c r="M289" t="n">
        <v>0</v>
      </c>
      <c r="N289" t="n">
        <v>0</v>
      </c>
      <c r="O289" t="n">
        <v>0</v>
      </c>
      <c r="P289" t="n">
        <v>0</v>
      </c>
      <c r="Q289" t="n">
        <v>0</v>
      </c>
      <c r="R289" s="2" t="inlineStr"/>
    </row>
    <row r="290" ht="15" customHeight="1">
      <c r="A290" t="inlineStr">
        <is>
          <t>A 40756-2022</t>
        </is>
      </c>
      <c r="B290" s="1" t="n">
        <v>44824</v>
      </c>
      <c r="C290" s="1" t="n">
        <v>45588</v>
      </c>
      <c r="D290" t="inlineStr">
        <is>
          <t>NORRBOTTENS LÄN</t>
        </is>
      </c>
      <c r="E290" t="inlineStr">
        <is>
          <t>ARVIDSJAUR</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41235-2022</t>
        </is>
      </c>
      <c r="B291" s="1" t="n">
        <v>44825</v>
      </c>
      <c r="C291" s="1" t="n">
        <v>45588</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41763-2022</t>
        </is>
      </c>
      <c r="B292" s="1" t="n">
        <v>44827</v>
      </c>
      <c r="C292" s="1" t="n">
        <v>45588</v>
      </c>
      <c r="D292" t="inlineStr">
        <is>
          <t>NORRBOTTENS LÄN</t>
        </is>
      </c>
      <c r="E292" t="inlineStr">
        <is>
          <t>ARVIDSJAUR</t>
        </is>
      </c>
      <c r="F292" t="inlineStr">
        <is>
          <t>Sveaskog</t>
        </is>
      </c>
      <c r="G292" t="n">
        <v>4.3</v>
      </c>
      <c r="H292" t="n">
        <v>0</v>
      </c>
      <c r="I292" t="n">
        <v>0</v>
      </c>
      <c r="J292" t="n">
        <v>0</v>
      </c>
      <c r="K292" t="n">
        <v>0</v>
      </c>
      <c r="L292" t="n">
        <v>0</v>
      </c>
      <c r="M292" t="n">
        <v>0</v>
      </c>
      <c r="N292" t="n">
        <v>0</v>
      </c>
      <c r="O292" t="n">
        <v>0</v>
      </c>
      <c r="P292" t="n">
        <v>0</v>
      </c>
      <c r="Q292" t="n">
        <v>0</v>
      </c>
      <c r="R292" s="2" t="inlineStr"/>
    </row>
    <row r="293" ht="15" customHeight="1">
      <c r="A293" t="inlineStr">
        <is>
          <t>A 46067-2022</t>
        </is>
      </c>
      <c r="B293" s="1" t="n">
        <v>44845</v>
      </c>
      <c r="C293" s="1" t="n">
        <v>45588</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48048-2022</t>
        </is>
      </c>
      <c r="B294" s="1" t="n">
        <v>44855</v>
      </c>
      <c r="C294" s="1" t="n">
        <v>45588</v>
      </c>
      <c r="D294" t="inlineStr">
        <is>
          <t>NORRBOTTENS LÄN</t>
        </is>
      </c>
      <c r="E294" t="inlineStr">
        <is>
          <t>ARVIDSJAUR</t>
        </is>
      </c>
      <c r="G294" t="n">
        <v>3.2</v>
      </c>
      <c r="H294" t="n">
        <v>0</v>
      </c>
      <c r="I294" t="n">
        <v>0</v>
      </c>
      <c r="J294" t="n">
        <v>0</v>
      </c>
      <c r="K294" t="n">
        <v>0</v>
      </c>
      <c r="L294" t="n">
        <v>0</v>
      </c>
      <c r="M294" t="n">
        <v>0</v>
      </c>
      <c r="N294" t="n">
        <v>0</v>
      </c>
      <c r="O294" t="n">
        <v>0</v>
      </c>
      <c r="P294" t="n">
        <v>0</v>
      </c>
      <c r="Q294" t="n">
        <v>0</v>
      </c>
      <c r="R294" s="2" t="inlineStr"/>
    </row>
    <row r="295" ht="15" customHeight="1">
      <c r="A295" t="inlineStr">
        <is>
          <t>A 49141-2022</t>
        </is>
      </c>
      <c r="B295" s="1" t="n">
        <v>44860</v>
      </c>
      <c r="C295" s="1" t="n">
        <v>45588</v>
      </c>
      <c r="D295" t="inlineStr">
        <is>
          <t>NORRBOTTENS LÄN</t>
        </is>
      </c>
      <c r="E295" t="inlineStr">
        <is>
          <t>ARVIDSJAUR</t>
        </is>
      </c>
      <c r="G295" t="n">
        <v>4</v>
      </c>
      <c r="H295" t="n">
        <v>0</v>
      </c>
      <c r="I295" t="n">
        <v>0</v>
      </c>
      <c r="J295" t="n">
        <v>0</v>
      </c>
      <c r="K295" t="n">
        <v>0</v>
      </c>
      <c r="L295" t="n">
        <v>0</v>
      </c>
      <c r="M295" t="n">
        <v>0</v>
      </c>
      <c r="N295" t="n">
        <v>0</v>
      </c>
      <c r="O295" t="n">
        <v>0</v>
      </c>
      <c r="P295" t="n">
        <v>0</v>
      </c>
      <c r="Q295" t="n">
        <v>0</v>
      </c>
      <c r="R295" s="2" t="inlineStr"/>
    </row>
    <row r="296" ht="15" customHeight="1">
      <c r="A296" t="inlineStr">
        <is>
          <t>A 50471-2022</t>
        </is>
      </c>
      <c r="B296" s="1" t="n">
        <v>44861</v>
      </c>
      <c r="C296" s="1" t="n">
        <v>45588</v>
      </c>
      <c r="D296" t="inlineStr">
        <is>
          <t>NORRBOTTENS LÄN</t>
        </is>
      </c>
      <c r="E296" t="inlineStr">
        <is>
          <t>ARVIDSJAUR</t>
        </is>
      </c>
      <c r="F296" t="inlineStr">
        <is>
          <t>Allmännings- och besparingsskogar</t>
        </is>
      </c>
      <c r="G296" t="n">
        <v>1.1</v>
      </c>
      <c r="H296" t="n">
        <v>0</v>
      </c>
      <c r="I296" t="n">
        <v>0</v>
      </c>
      <c r="J296" t="n">
        <v>0</v>
      </c>
      <c r="K296" t="n">
        <v>0</v>
      </c>
      <c r="L296" t="n">
        <v>0</v>
      </c>
      <c r="M296" t="n">
        <v>0</v>
      </c>
      <c r="N296" t="n">
        <v>0</v>
      </c>
      <c r="O296" t="n">
        <v>0</v>
      </c>
      <c r="P296" t="n">
        <v>0</v>
      </c>
      <c r="Q296" t="n">
        <v>0</v>
      </c>
      <c r="R296" s="2" t="inlineStr"/>
    </row>
    <row r="297" ht="15" customHeight="1">
      <c r="A297" t="inlineStr">
        <is>
          <t>A 50472-2022</t>
        </is>
      </c>
      <c r="B297" s="1" t="n">
        <v>44861</v>
      </c>
      <c r="C297" s="1" t="n">
        <v>45588</v>
      </c>
      <c r="D297" t="inlineStr">
        <is>
          <t>NORRBOTTENS LÄN</t>
        </is>
      </c>
      <c r="E297" t="inlineStr">
        <is>
          <t>ARVIDSJAUR</t>
        </is>
      </c>
      <c r="F297" t="inlineStr">
        <is>
          <t>Allmännings- och besparingsskogar</t>
        </is>
      </c>
      <c r="G297" t="n">
        <v>0.9</v>
      </c>
      <c r="H297" t="n">
        <v>0</v>
      </c>
      <c r="I297" t="n">
        <v>0</v>
      </c>
      <c r="J297" t="n">
        <v>0</v>
      </c>
      <c r="K297" t="n">
        <v>0</v>
      </c>
      <c r="L297" t="n">
        <v>0</v>
      </c>
      <c r="M297" t="n">
        <v>0</v>
      </c>
      <c r="N297" t="n">
        <v>0</v>
      </c>
      <c r="O297" t="n">
        <v>0</v>
      </c>
      <c r="P297" t="n">
        <v>0</v>
      </c>
      <c r="Q297" t="n">
        <v>0</v>
      </c>
      <c r="R297" s="2" t="inlineStr"/>
    </row>
    <row r="298" ht="15" customHeight="1">
      <c r="A298" t="inlineStr">
        <is>
          <t>A 49642-2022</t>
        </is>
      </c>
      <c r="B298" s="1" t="n">
        <v>44862</v>
      </c>
      <c r="C298" s="1" t="n">
        <v>45588</v>
      </c>
      <c r="D298" t="inlineStr">
        <is>
          <t>NORRBOTTENS LÄN</t>
        </is>
      </c>
      <c r="E298" t="inlineStr">
        <is>
          <t>ARVIDSJAUR</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50303-2022</t>
        </is>
      </c>
      <c r="B299" s="1" t="n">
        <v>44865</v>
      </c>
      <c r="C299" s="1" t="n">
        <v>45588</v>
      </c>
      <c r="D299" t="inlineStr">
        <is>
          <t>NORRBOTTENS LÄN</t>
        </is>
      </c>
      <c r="E299" t="inlineStr">
        <is>
          <t>ARVIDSJAUR</t>
        </is>
      </c>
      <c r="G299" t="n">
        <v>1</v>
      </c>
      <c r="H299" t="n">
        <v>0</v>
      </c>
      <c r="I299" t="n">
        <v>0</v>
      </c>
      <c r="J299" t="n">
        <v>0</v>
      </c>
      <c r="K299" t="n">
        <v>0</v>
      </c>
      <c r="L299" t="n">
        <v>0</v>
      </c>
      <c r="M299" t="n">
        <v>0</v>
      </c>
      <c r="N299" t="n">
        <v>0</v>
      </c>
      <c r="O299" t="n">
        <v>0</v>
      </c>
      <c r="P299" t="n">
        <v>0</v>
      </c>
      <c r="Q299" t="n">
        <v>0</v>
      </c>
      <c r="R299" s="2" t="inlineStr"/>
    </row>
    <row r="300" ht="15" customHeight="1">
      <c r="A300" t="inlineStr">
        <is>
          <t>A 50575-2022</t>
        </is>
      </c>
      <c r="B300" s="1" t="n">
        <v>44866</v>
      </c>
      <c r="C300" s="1" t="n">
        <v>45588</v>
      </c>
      <c r="D300" t="inlineStr">
        <is>
          <t>NORRBOTTENS LÄN</t>
        </is>
      </c>
      <c r="E300" t="inlineStr">
        <is>
          <t>ARVIDSJAUR</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50850-2022</t>
        </is>
      </c>
      <c r="B301" s="1" t="n">
        <v>44867</v>
      </c>
      <c r="C301" s="1" t="n">
        <v>45588</v>
      </c>
      <c r="D301" t="inlineStr">
        <is>
          <t>NORRBOTTENS LÄN</t>
        </is>
      </c>
      <c r="E301" t="inlineStr">
        <is>
          <t>ARVIDSJAUR</t>
        </is>
      </c>
      <c r="G301" t="n">
        <v>4.6</v>
      </c>
      <c r="H301" t="n">
        <v>0</v>
      </c>
      <c r="I301" t="n">
        <v>0</v>
      </c>
      <c r="J301" t="n">
        <v>0</v>
      </c>
      <c r="K301" t="n">
        <v>0</v>
      </c>
      <c r="L301" t="n">
        <v>0</v>
      </c>
      <c r="M301" t="n">
        <v>0</v>
      </c>
      <c r="N301" t="n">
        <v>0</v>
      </c>
      <c r="O301" t="n">
        <v>0</v>
      </c>
      <c r="P301" t="n">
        <v>0</v>
      </c>
      <c r="Q301" t="n">
        <v>0</v>
      </c>
      <c r="R301" s="2" t="inlineStr"/>
    </row>
    <row r="302" ht="15" customHeight="1">
      <c r="A302" t="inlineStr">
        <is>
          <t>A 54609-2022</t>
        </is>
      </c>
      <c r="B302" s="1" t="n">
        <v>44883</v>
      </c>
      <c r="C302" s="1" t="n">
        <v>45588</v>
      </c>
      <c r="D302" t="inlineStr">
        <is>
          <t>NORRBOTTENS LÄN</t>
        </is>
      </c>
      <c r="E302" t="inlineStr">
        <is>
          <t>ARVIDSJAUR</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55570-2022</t>
        </is>
      </c>
      <c r="B303" s="1" t="n">
        <v>44883</v>
      </c>
      <c r="C303" s="1" t="n">
        <v>45588</v>
      </c>
      <c r="D303" t="inlineStr">
        <is>
          <t>NORRBOTTENS LÄN</t>
        </is>
      </c>
      <c r="E303" t="inlineStr">
        <is>
          <t>ARVIDSJAUR</t>
        </is>
      </c>
      <c r="G303" t="n">
        <v>5</v>
      </c>
      <c r="H303" t="n">
        <v>0</v>
      </c>
      <c r="I303" t="n">
        <v>0</v>
      </c>
      <c r="J303" t="n">
        <v>0</v>
      </c>
      <c r="K303" t="n">
        <v>0</v>
      </c>
      <c r="L303" t="n">
        <v>0</v>
      </c>
      <c r="M303" t="n">
        <v>0</v>
      </c>
      <c r="N303" t="n">
        <v>0</v>
      </c>
      <c r="O303" t="n">
        <v>0</v>
      </c>
      <c r="P303" t="n">
        <v>0</v>
      </c>
      <c r="Q303" t="n">
        <v>0</v>
      </c>
      <c r="R303" s="2" t="inlineStr"/>
    </row>
    <row r="304" ht="15" customHeight="1">
      <c r="A304" t="inlineStr">
        <is>
          <t>A 55599-2022</t>
        </is>
      </c>
      <c r="B304" s="1" t="n">
        <v>44883</v>
      </c>
      <c r="C304" s="1" t="n">
        <v>45588</v>
      </c>
      <c r="D304" t="inlineStr">
        <is>
          <t>NORRBOTTENS LÄN</t>
        </is>
      </c>
      <c r="E304" t="inlineStr">
        <is>
          <t>ARVIDSJAUR</t>
        </is>
      </c>
      <c r="G304" t="n">
        <v>7</v>
      </c>
      <c r="H304" t="n">
        <v>0</v>
      </c>
      <c r="I304" t="n">
        <v>0</v>
      </c>
      <c r="J304" t="n">
        <v>0</v>
      </c>
      <c r="K304" t="n">
        <v>0</v>
      </c>
      <c r="L304" t="n">
        <v>0</v>
      </c>
      <c r="M304" t="n">
        <v>0</v>
      </c>
      <c r="N304" t="n">
        <v>0</v>
      </c>
      <c r="O304" t="n">
        <v>0</v>
      </c>
      <c r="P304" t="n">
        <v>0</v>
      </c>
      <c r="Q304" t="n">
        <v>0</v>
      </c>
      <c r="R304" s="2" t="inlineStr"/>
    </row>
    <row r="305" ht="15" customHeight="1">
      <c r="A305" t="inlineStr">
        <is>
          <t>A 54866-2022</t>
        </is>
      </c>
      <c r="B305" s="1" t="n">
        <v>44885</v>
      </c>
      <c r="C305" s="1" t="n">
        <v>45588</v>
      </c>
      <c r="D305" t="inlineStr">
        <is>
          <t>NORRBOTTENS LÄN</t>
        </is>
      </c>
      <c r="E305" t="inlineStr">
        <is>
          <t>ARVIDSJAUR</t>
        </is>
      </c>
      <c r="G305" t="n">
        <v>15</v>
      </c>
      <c r="H305" t="n">
        <v>0</v>
      </c>
      <c r="I305" t="n">
        <v>0</v>
      </c>
      <c r="J305" t="n">
        <v>0</v>
      </c>
      <c r="K305" t="n">
        <v>0</v>
      </c>
      <c r="L305" t="n">
        <v>0</v>
      </c>
      <c r="M305" t="n">
        <v>0</v>
      </c>
      <c r="N305" t="n">
        <v>0</v>
      </c>
      <c r="O305" t="n">
        <v>0</v>
      </c>
      <c r="P305" t="n">
        <v>0</v>
      </c>
      <c r="Q305" t="n">
        <v>0</v>
      </c>
      <c r="R305" s="2" t="inlineStr"/>
    </row>
    <row r="306" ht="15" customHeight="1">
      <c r="A306" t="inlineStr">
        <is>
          <t>A 55706-2022</t>
        </is>
      </c>
      <c r="B306" s="1" t="n">
        <v>44888</v>
      </c>
      <c r="C306" s="1" t="n">
        <v>45588</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58941-2022</t>
        </is>
      </c>
      <c r="B307" s="1" t="n">
        <v>44903</v>
      </c>
      <c r="C307" s="1" t="n">
        <v>45588</v>
      </c>
      <c r="D307" t="inlineStr">
        <is>
          <t>NORRBOTTENS LÄN</t>
        </is>
      </c>
      <c r="E307" t="inlineStr">
        <is>
          <t>ARVIDSJAUR</t>
        </is>
      </c>
      <c r="F307" t="inlineStr">
        <is>
          <t>Sveaskog</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59086-2022</t>
        </is>
      </c>
      <c r="B308" s="1" t="n">
        <v>44904</v>
      </c>
      <c r="C308" s="1" t="n">
        <v>45588</v>
      </c>
      <c r="D308" t="inlineStr">
        <is>
          <t>NORRBOTTENS LÄN</t>
        </is>
      </c>
      <c r="E308" t="inlineStr">
        <is>
          <t>ARVIDSJAUR</t>
        </is>
      </c>
      <c r="F308" t="inlineStr">
        <is>
          <t>Sveaskog</t>
        </is>
      </c>
      <c r="G308" t="n">
        <v>11.3</v>
      </c>
      <c r="H308" t="n">
        <v>0</v>
      </c>
      <c r="I308" t="n">
        <v>0</v>
      </c>
      <c r="J308" t="n">
        <v>0</v>
      </c>
      <c r="K308" t="n">
        <v>0</v>
      </c>
      <c r="L308" t="n">
        <v>0</v>
      </c>
      <c r="M308" t="n">
        <v>0</v>
      </c>
      <c r="N308" t="n">
        <v>0</v>
      </c>
      <c r="O308" t="n">
        <v>0</v>
      </c>
      <c r="P308" t="n">
        <v>0</v>
      </c>
      <c r="Q308" t="n">
        <v>0</v>
      </c>
      <c r="R308" s="2" t="inlineStr"/>
    </row>
    <row r="309" ht="15" customHeight="1">
      <c r="A309" t="inlineStr">
        <is>
          <t>A 59104-2022</t>
        </is>
      </c>
      <c r="B309" s="1" t="n">
        <v>44904</v>
      </c>
      <c r="C309" s="1" t="n">
        <v>45588</v>
      </c>
      <c r="D309" t="inlineStr">
        <is>
          <t>NORRBOTTENS LÄN</t>
        </is>
      </c>
      <c r="E309" t="inlineStr">
        <is>
          <t>ARVIDSJAUR</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59325-2022</t>
        </is>
      </c>
      <c r="B310" s="1" t="n">
        <v>44904</v>
      </c>
      <c r="C310" s="1" t="n">
        <v>45588</v>
      </c>
      <c r="D310" t="inlineStr">
        <is>
          <t>NORRBOTTENS LÄN</t>
        </is>
      </c>
      <c r="E310" t="inlineStr">
        <is>
          <t>ARVIDSJAUR</t>
        </is>
      </c>
      <c r="F310" t="inlineStr">
        <is>
          <t>Sveaskog</t>
        </is>
      </c>
      <c r="G310" t="n">
        <v>6.4</v>
      </c>
      <c r="H310" t="n">
        <v>0</v>
      </c>
      <c r="I310" t="n">
        <v>0</v>
      </c>
      <c r="J310" t="n">
        <v>0</v>
      </c>
      <c r="K310" t="n">
        <v>0</v>
      </c>
      <c r="L310" t="n">
        <v>0</v>
      </c>
      <c r="M310" t="n">
        <v>0</v>
      </c>
      <c r="N310" t="n">
        <v>0</v>
      </c>
      <c r="O310" t="n">
        <v>0</v>
      </c>
      <c r="P310" t="n">
        <v>0</v>
      </c>
      <c r="Q310" t="n">
        <v>0</v>
      </c>
      <c r="R310" s="2" t="inlineStr"/>
    </row>
    <row r="311" ht="15" customHeight="1">
      <c r="A311" t="inlineStr">
        <is>
          <t>A 60038-2022</t>
        </is>
      </c>
      <c r="B311" s="1" t="n">
        <v>44909</v>
      </c>
      <c r="C311" s="1" t="n">
        <v>45588</v>
      </c>
      <c r="D311" t="inlineStr">
        <is>
          <t>NORRBOTTENS LÄN</t>
        </is>
      </c>
      <c r="E311" t="inlineStr">
        <is>
          <t>ARVIDSJAUR</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60374-2022</t>
        </is>
      </c>
      <c r="B312" s="1" t="n">
        <v>44910</v>
      </c>
      <c r="C312" s="1" t="n">
        <v>45588</v>
      </c>
      <c r="D312" t="inlineStr">
        <is>
          <t>NORRBOTTENS LÄN</t>
        </is>
      </c>
      <c r="E312" t="inlineStr">
        <is>
          <t>ARVIDSJAUR</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60516-2022</t>
        </is>
      </c>
      <c r="B313" s="1" t="n">
        <v>44911</v>
      </c>
      <c r="C313" s="1" t="n">
        <v>45588</v>
      </c>
      <c r="D313" t="inlineStr">
        <is>
          <t>NORRBOTTENS LÄN</t>
        </is>
      </c>
      <c r="E313" t="inlineStr">
        <is>
          <t>ARVIDSJAUR</t>
        </is>
      </c>
      <c r="F313" t="inlineStr">
        <is>
          <t>Sveaskog</t>
        </is>
      </c>
      <c r="G313" t="n">
        <v>7.2</v>
      </c>
      <c r="H313" t="n">
        <v>0</v>
      </c>
      <c r="I313" t="n">
        <v>0</v>
      </c>
      <c r="J313" t="n">
        <v>0</v>
      </c>
      <c r="K313" t="n">
        <v>0</v>
      </c>
      <c r="L313" t="n">
        <v>0</v>
      </c>
      <c r="M313" t="n">
        <v>0</v>
      </c>
      <c r="N313" t="n">
        <v>0</v>
      </c>
      <c r="O313" t="n">
        <v>0</v>
      </c>
      <c r="P313" t="n">
        <v>0</v>
      </c>
      <c r="Q313" t="n">
        <v>0</v>
      </c>
      <c r="R313" s="2" t="inlineStr"/>
    </row>
    <row r="314" ht="15" customHeight="1">
      <c r="A314" t="inlineStr">
        <is>
          <t>A 60466-2022</t>
        </is>
      </c>
      <c r="B314" s="1" t="n">
        <v>44911</v>
      </c>
      <c r="C314" s="1" t="n">
        <v>45588</v>
      </c>
      <c r="D314" t="inlineStr">
        <is>
          <t>NORRBOTTENS LÄN</t>
        </is>
      </c>
      <c r="E314" t="inlineStr">
        <is>
          <t>ARVIDSJAUR</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60489-2022</t>
        </is>
      </c>
      <c r="B315" s="1" t="n">
        <v>44911</v>
      </c>
      <c r="C315" s="1" t="n">
        <v>45588</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61133-2022</t>
        </is>
      </c>
      <c r="B316" s="1" t="n">
        <v>44915</v>
      </c>
      <c r="C316" s="1" t="n">
        <v>45588</v>
      </c>
      <c r="D316" t="inlineStr">
        <is>
          <t>NORRBOTTENS LÄN</t>
        </is>
      </c>
      <c r="E316" t="inlineStr">
        <is>
          <t>ARVIDSJAUR</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61202-2022</t>
        </is>
      </c>
      <c r="B317" s="1" t="n">
        <v>44915</v>
      </c>
      <c r="C317" s="1" t="n">
        <v>45588</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61980-2022</t>
        </is>
      </c>
      <c r="B318" s="1" t="n">
        <v>44918</v>
      </c>
      <c r="C318" s="1" t="n">
        <v>45588</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2111-2023</t>
        </is>
      </c>
      <c r="B319" s="1" t="n">
        <v>44939</v>
      </c>
      <c r="C319" s="1" t="n">
        <v>45588</v>
      </c>
      <c r="D319" t="inlineStr">
        <is>
          <t>NORRBOTTENS LÄN</t>
        </is>
      </c>
      <c r="E319" t="inlineStr">
        <is>
          <t>ARVIDSJAUR</t>
        </is>
      </c>
      <c r="G319" t="n">
        <v>6.7</v>
      </c>
      <c r="H319" t="n">
        <v>0</v>
      </c>
      <c r="I319" t="n">
        <v>0</v>
      </c>
      <c r="J319" t="n">
        <v>0</v>
      </c>
      <c r="K319" t="n">
        <v>0</v>
      </c>
      <c r="L319" t="n">
        <v>0</v>
      </c>
      <c r="M319" t="n">
        <v>0</v>
      </c>
      <c r="N319" t="n">
        <v>0</v>
      </c>
      <c r="O319" t="n">
        <v>0</v>
      </c>
      <c r="P319" t="n">
        <v>0</v>
      </c>
      <c r="Q319" t="n">
        <v>0</v>
      </c>
      <c r="R319" s="2" t="inlineStr"/>
    </row>
    <row r="320" ht="15" customHeight="1">
      <c r="A320" t="inlineStr">
        <is>
          <t>A 2113-2023</t>
        </is>
      </c>
      <c r="B320" s="1" t="n">
        <v>44939</v>
      </c>
      <c r="C320" s="1" t="n">
        <v>45588</v>
      </c>
      <c r="D320" t="inlineStr">
        <is>
          <t>NORRBOTTENS LÄN</t>
        </is>
      </c>
      <c r="E320" t="inlineStr">
        <is>
          <t>ARVIDSJAUR</t>
        </is>
      </c>
      <c r="G320" t="n">
        <v>5.9</v>
      </c>
      <c r="H320" t="n">
        <v>0</v>
      </c>
      <c r="I320" t="n">
        <v>0</v>
      </c>
      <c r="J320" t="n">
        <v>0</v>
      </c>
      <c r="K320" t="n">
        <v>0</v>
      </c>
      <c r="L320" t="n">
        <v>0</v>
      </c>
      <c r="M320" t="n">
        <v>0</v>
      </c>
      <c r="N320" t="n">
        <v>0</v>
      </c>
      <c r="O320" t="n">
        <v>0</v>
      </c>
      <c r="P320" t="n">
        <v>0</v>
      </c>
      <c r="Q320" t="n">
        <v>0</v>
      </c>
      <c r="R320" s="2" t="inlineStr"/>
    </row>
    <row r="321" ht="15" customHeight="1">
      <c r="A321" t="inlineStr">
        <is>
          <t>A 2298-2023</t>
        </is>
      </c>
      <c r="B321" s="1" t="n">
        <v>44942</v>
      </c>
      <c r="C321" s="1" t="n">
        <v>45588</v>
      </c>
      <c r="D321" t="inlineStr">
        <is>
          <t>NORRBOTTENS LÄN</t>
        </is>
      </c>
      <c r="E321" t="inlineStr">
        <is>
          <t>ARVIDSJAUR</t>
        </is>
      </c>
      <c r="G321" t="n">
        <v>3.5</v>
      </c>
      <c r="H321" t="n">
        <v>0</v>
      </c>
      <c r="I321" t="n">
        <v>0</v>
      </c>
      <c r="J321" t="n">
        <v>0</v>
      </c>
      <c r="K321" t="n">
        <v>0</v>
      </c>
      <c r="L321" t="n">
        <v>0</v>
      </c>
      <c r="M321" t="n">
        <v>0</v>
      </c>
      <c r="N321" t="n">
        <v>0</v>
      </c>
      <c r="O321" t="n">
        <v>0</v>
      </c>
      <c r="P321" t="n">
        <v>0</v>
      </c>
      <c r="Q321" t="n">
        <v>0</v>
      </c>
      <c r="R321" s="2" t="inlineStr"/>
    </row>
    <row r="322" ht="15" customHeight="1">
      <c r="A322" t="inlineStr">
        <is>
          <t>A 2309-2023</t>
        </is>
      </c>
      <c r="B322" s="1" t="n">
        <v>44942</v>
      </c>
      <c r="C322" s="1" t="n">
        <v>45588</v>
      </c>
      <c r="D322" t="inlineStr">
        <is>
          <t>NORRBOTTENS LÄN</t>
        </is>
      </c>
      <c r="E322" t="inlineStr">
        <is>
          <t>ARVIDSJAUR</t>
        </is>
      </c>
      <c r="G322" t="n">
        <v>0.5</v>
      </c>
      <c r="H322" t="n">
        <v>0</v>
      </c>
      <c r="I322" t="n">
        <v>0</v>
      </c>
      <c r="J322" t="n">
        <v>0</v>
      </c>
      <c r="K322" t="n">
        <v>0</v>
      </c>
      <c r="L322" t="n">
        <v>0</v>
      </c>
      <c r="M322" t="n">
        <v>0</v>
      </c>
      <c r="N322" t="n">
        <v>0</v>
      </c>
      <c r="O322" t="n">
        <v>0</v>
      </c>
      <c r="P322" t="n">
        <v>0</v>
      </c>
      <c r="Q322" t="n">
        <v>0</v>
      </c>
      <c r="R322" s="2" t="inlineStr"/>
    </row>
    <row r="323" ht="15" customHeight="1">
      <c r="A323" t="inlineStr">
        <is>
          <t>A 2323-2023</t>
        </is>
      </c>
      <c r="B323" s="1" t="n">
        <v>44942</v>
      </c>
      <c r="C323" s="1" t="n">
        <v>45588</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2778-2023</t>
        </is>
      </c>
      <c r="B324" s="1" t="n">
        <v>44944</v>
      </c>
      <c r="C324" s="1" t="n">
        <v>45588</v>
      </c>
      <c r="D324" t="inlineStr">
        <is>
          <t>NORRBOTTENS LÄN</t>
        </is>
      </c>
      <c r="E324" t="inlineStr">
        <is>
          <t>ARVIDSJAUR</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3241-2023</t>
        </is>
      </c>
      <c r="B325" s="1" t="n">
        <v>44946</v>
      </c>
      <c r="C325" s="1" t="n">
        <v>45588</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4732-2023</t>
        </is>
      </c>
      <c r="B326" s="1" t="n">
        <v>44957</v>
      </c>
      <c r="C326" s="1" t="n">
        <v>45588</v>
      </c>
      <c r="D326" t="inlineStr">
        <is>
          <t>NORRBOTTENS LÄN</t>
        </is>
      </c>
      <c r="E326" t="inlineStr">
        <is>
          <t>ARVIDSJAUR</t>
        </is>
      </c>
      <c r="G326" t="n">
        <v>2.2</v>
      </c>
      <c r="H326" t="n">
        <v>0</v>
      </c>
      <c r="I326" t="n">
        <v>0</v>
      </c>
      <c r="J326" t="n">
        <v>0</v>
      </c>
      <c r="K326" t="n">
        <v>0</v>
      </c>
      <c r="L326" t="n">
        <v>0</v>
      </c>
      <c r="M326" t="n">
        <v>0</v>
      </c>
      <c r="N326" t="n">
        <v>0</v>
      </c>
      <c r="O326" t="n">
        <v>0</v>
      </c>
      <c r="P326" t="n">
        <v>0</v>
      </c>
      <c r="Q326" t="n">
        <v>0</v>
      </c>
      <c r="R326" s="2" t="inlineStr"/>
    </row>
    <row r="327" ht="15" customHeight="1">
      <c r="A327" t="inlineStr">
        <is>
          <t>A 4729-2023</t>
        </is>
      </c>
      <c r="B327" s="1" t="n">
        <v>44957</v>
      </c>
      <c r="C327" s="1" t="n">
        <v>45588</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8626-2023</t>
        </is>
      </c>
      <c r="B328" s="1" t="n">
        <v>44977</v>
      </c>
      <c r="C328" s="1" t="n">
        <v>45588</v>
      </c>
      <c r="D328" t="inlineStr">
        <is>
          <t>NORRBOTTENS LÄN</t>
        </is>
      </c>
      <c r="E328" t="inlineStr">
        <is>
          <t>ARVIDSJAUR</t>
        </is>
      </c>
      <c r="G328" t="n">
        <v>3.4</v>
      </c>
      <c r="H328" t="n">
        <v>0</v>
      </c>
      <c r="I328" t="n">
        <v>0</v>
      </c>
      <c r="J328" t="n">
        <v>0</v>
      </c>
      <c r="K328" t="n">
        <v>0</v>
      </c>
      <c r="L328" t="n">
        <v>0</v>
      </c>
      <c r="M328" t="n">
        <v>0</v>
      </c>
      <c r="N328" t="n">
        <v>0</v>
      </c>
      <c r="O328" t="n">
        <v>0</v>
      </c>
      <c r="P328" t="n">
        <v>0</v>
      </c>
      <c r="Q328" t="n">
        <v>0</v>
      </c>
      <c r="R328" s="2" t="inlineStr"/>
    </row>
    <row r="329" ht="15" customHeight="1">
      <c r="A329" t="inlineStr">
        <is>
          <t>A 8635-2023</t>
        </is>
      </c>
      <c r="B329" s="1" t="n">
        <v>44977</v>
      </c>
      <c r="C329" s="1" t="n">
        <v>45588</v>
      </c>
      <c r="D329" t="inlineStr">
        <is>
          <t>NORRBOTTENS LÄN</t>
        </is>
      </c>
      <c r="E329" t="inlineStr">
        <is>
          <t>ARVIDSJAUR</t>
        </is>
      </c>
      <c r="G329" t="n">
        <v>1</v>
      </c>
      <c r="H329" t="n">
        <v>0</v>
      </c>
      <c r="I329" t="n">
        <v>0</v>
      </c>
      <c r="J329" t="n">
        <v>0</v>
      </c>
      <c r="K329" t="n">
        <v>0</v>
      </c>
      <c r="L329" t="n">
        <v>0</v>
      </c>
      <c r="M329" t="n">
        <v>0</v>
      </c>
      <c r="N329" t="n">
        <v>0</v>
      </c>
      <c r="O329" t="n">
        <v>0</v>
      </c>
      <c r="P329" t="n">
        <v>0</v>
      </c>
      <c r="Q329" t="n">
        <v>0</v>
      </c>
      <c r="R329" s="2" t="inlineStr"/>
    </row>
    <row r="330" ht="15" customHeight="1">
      <c r="A330" t="inlineStr">
        <is>
          <t>A 10009-2023</t>
        </is>
      </c>
      <c r="B330" s="1" t="n">
        <v>44979</v>
      </c>
      <c r="C330" s="1" t="n">
        <v>45588</v>
      </c>
      <c r="D330" t="inlineStr">
        <is>
          <t>NORRBOTTENS LÄN</t>
        </is>
      </c>
      <c r="E330" t="inlineStr">
        <is>
          <t>ARVIDSJAUR</t>
        </is>
      </c>
      <c r="G330" t="n">
        <v>5.5</v>
      </c>
      <c r="H330" t="n">
        <v>0</v>
      </c>
      <c r="I330" t="n">
        <v>0</v>
      </c>
      <c r="J330" t="n">
        <v>0</v>
      </c>
      <c r="K330" t="n">
        <v>0</v>
      </c>
      <c r="L330" t="n">
        <v>0</v>
      </c>
      <c r="M330" t="n">
        <v>0</v>
      </c>
      <c r="N330" t="n">
        <v>0</v>
      </c>
      <c r="O330" t="n">
        <v>0</v>
      </c>
      <c r="P330" t="n">
        <v>0</v>
      </c>
      <c r="Q330" t="n">
        <v>0</v>
      </c>
      <c r="R330" s="2" t="inlineStr"/>
    </row>
    <row r="331" ht="15" customHeight="1">
      <c r="A331" t="inlineStr">
        <is>
          <t>A 10022-2023</t>
        </is>
      </c>
      <c r="B331" s="1" t="n">
        <v>44979</v>
      </c>
      <c r="C331" s="1" t="n">
        <v>45588</v>
      </c>
      <c r="D331" t="inlineStr">
        <is>
          <t>NORRBOTTENS LÄN</t>
        </is>
      </c>
      <c r="E331" t="inlineStr">
        <is>
          <t>ARVIDSJAUR</t>
        </is>
      </c>
      <c r="G331" t="n">
        <v>5.6</v>
      </c>
      <c r="H331" t="n">
        <v>0</v>
      </c>
      <c r="I331" t="n">
        <v>0</v>
      </c>
      <c r="J331" t="n">
        <v>0</v>
      </c>
      <c r="K331" t="n">
        <v>0</v>
      </c>
      <c r="L331" t="n">
        <v>0</v>
      </c>
      <c r="M331" t="n">
        <v>0</v>
      </c>
      <c r="N331" t="n">
        <v>0</v>
      </c>
      <c r="O331" t="n">
        <v>0</v>
      </c>
      <c r="P331" t="n">
        <v>0</v>
      </c>
      <c r="Q331" t="n">
        <v>0</v>
      </c>
      <c r="R331" s="2" t="inlineStr"/>
    </row>
    <row r="332" ht="15" customHeight="1">
      <c r="A332" t="inlineStr">
        <is>
          <t>A 9996-2023</t>
        </is>
      </c>
      <c r="B332" s="1" t="n">
        <v>44979</v>
      </c>
      <c r="C332" s="1" t="n">
        <v>45588</v>
      </c>
      <c r="D332" t="inlineStr">
        <is>
          <t>NORRBOTTENS LÄN</t>
        </is>
      </c>
      <c r="E332" t="inlineStr">
        <is>
          <t>ARVIDSJAUR</t>
        </is>
      </c>
      <c r="G332" t="n">
        <v>6.6</v>
      </c>
      <c r="H332" t="n">
        <v>0</v>
      </c>
      <c r="I332" t="n">
        <v>0</v>
      </c>
      <c r="J332" t="n">
        <v>0</v>
      </c>
      <c r="K332" t="n">
        <v>0</v>
      </c>
      <c r="L332" t="n">
        <v>0</v>
      </c>
      <c r="M332" t="n">
        <v>0</v>
      </c>
      <c r="N332" t="n">
        <v>0</v>
      </c>
      <c r="O332" t="n">
        <v>0</v>
      </c>
      <c r="P332" t="n">
        <v>0</v>
      </c>
      <c r="Q332" t="n">
        <v>0</v>
      </c>
      <c r="R332" s="2" t="inlineStr"/>
    </row>
    <row r="333" ht="15" customHeight="1">
      <c r="A333" t="inlineStr">
        <is>
          <t>A 9928-2023</t>
        </is>
      </c>
      <c r="B333" s="1" t="n">
        <v>44985</v>
      </c>
      <c r="C333" s="1" t="n">
        <v>45588</v>
      </c>
      <c r="D333" t="inlineStr">
        <is>
          <t>NORRBOTTENS LÄN</t>
        </is>
      </c>
      <c r="E333" t="inlineStr">
        <is>
          <t>ARVIDSJAUR</t>
        </is>
      </c>
      <c r="F333" t="inlineStr">
        <is>
          <t>Sveaskog</t>
        </is>
      </c>
      <c r="G333" t="n">
        <v>5.9</v>
      </c>
      <c r="H333" t="n">
        <v>0</v>
      </c>
      <c r="I333" t="n">
        <v>0</v>
      </c>
      <c r="J333" t="n">
        <v>0</v>
      </c>
      <c r="K333" t="n">
        <v>0</v>
      </c>
      <c r="L333" t="n">
        <v>0</v>
      </c>
      <c r="M333" t="n">
        <v>0</v>
      </c>
      <c r="N333" t="n">
        <v>0</v>
      </c>
      <c r="O333" t="n">
        <v>0</v>
      </c>
      <c r="P333" t="n">
        <v>0</v>
      </c>
      <c r="Q333" t="n">
        <v>0</v>
      </c>
      <c r="R333" s="2" t="inlineStr"/>
    </row>
    <row r="334" ht="15" customHeight="1">
      <c r="A334" t="inlineStr">
        <is>
          <t>A 10859-2023</t>
        </is>
      </c>
      <c r="B334" s="1" t="n">
        <v>44985</v>
      </c>
      <c r="C334" s="1" t="n">
        <v>45588</v>
      </c>
      <c r="D334" t="inlineStr">
        <is>
          <t>NORRBOTTENS LÄN</t>
        </is>
      </c>
      <c r="E334" t="inlineStr">
        <is>
          <t>ARVIDSJAUR</t>
        </is>
      </c>
      <c r="G334" t="n">
        <v>9</v>
      </c>
      <c r="H334" t="n">
        <v>0</v>
      </c>
      <c r="I334" t="n">
        <v>0</v>
      </c>
      <c r="J334" t="n">
        <v>0</v>
      </c>
      <c r="K334" t="n">
        <v>0</v>
      </c>
      <c r="L334" t="n">
        <v>0</v>
      </c>
      <c r="M334" t="n">
        <v>0</v>
      </c>
      <c r="N334" t="n">
        <v>0</v>
      </c>
      <c r="O334" t="n">
        <v>0</v>
      </c>
      <c r="P334" t="n">
        <v>0</v>
      </c>
      <c r="Q334" t="n">
        <v>0</v>
      </c>
      <c r="R334" s="2" t="inlineStr"/>
    </row>
    <row r="335" ht="15" customHeight="1">
      <c r="A335" t="inlineStr">
        <is>
          <t>A 10664-2023</t>
        </is>
      </c>
      <c r="B335" s="1" t="n">
        <v>44988</v>
      </c>
      <c r="C335" s="1" t="n">
        <v>45588</v>
      </c>
      <c r="D335" t="inlineStr">
        <is>
          <t>NORRBOTTENS LÄN</t>
        </is>
      </c>
      <c r="E335" t="inlineStr">
        <is>
          <t>ARVIDSJAUR</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11292-2023</t>
        </is>
      </c>
      <c r="B336" s="1" t="n">
        <v>44992</v>
      </c>
      <c r="C336" s="1" t="n">
        <v>45588</v>
      </c>
      <c r="D336" t="inlineStr">
        <is>
          <t>NORRBOTTENS LÄN</t>
        </is>
      </c>
      <c r="E336" t="inlineStr">
        <is>
          <t>ARVIDSJAUR</t>
        </is>
      </c>
      <c r="G336" t="n">
        <v>7.3</v>
      </c>
      <c r="H336" t="n">
        <v>0</v>
      </c>
      <c r="I336" t="n">
        <v>0</v>
      </c>
      <c r="J336" t="n">
        <v>0</v>
      </c>
      <c r="K336" t="n">
        <v>0</v>
      </c>
      <c r="L336" t="n">
        <v>0</v>
      </c>
      <c r="M336" t="n">
        <v>0</v>
      </c>
      <c r="N336" t="n">
        <v>0</v>
      </c>
      <c r="O336" t="n">
        <v>0</v>
      </c>
      <c r="P336" t="n">
        <v>0</v>
      </c>
      <c r="Q336" t="n">
        <v>0</v>
      </c>
      <c r="R336" s="2" t="inlineStr"/>
    </row>
    <row r="337" ht="15" customHeight="1">
      <c r="A337" t="inlineStr">
        <is>
          <t>A 12794-2023</t>
        </is>
      </c>
      <c r="B337" s="1" t="n">
        <v>45001</v>
      </c>
      <c r="C337" s="1" t="n">
        <v>45588</v>
      </c>
      <c r="D337" t="inlineStr">
        <is>
          <t>NORRBOTTENS LÄN</t>
        </is>
      </c>
      <c r="E337" t="inlineStr">
        <is>
          <t>ARVIDSJAUR</t>
        </is>
      </c>
      <c r="F337" t="inlineStr">
        <is>
          <t>Sveaskog</t>
        </is>
      </c>
      <c r="G337" t="n">
        <v>4</v>
      </c>
      <c r="H337" t="n">
        <v>0</v>
      </c>
      <c r="I337" t="n">
        <v>0</v>
      </c>
      <c r="J337" t="n">
        <v>0</v>
      </c>
      <c r="K337" t="n">
        <v>0</v>
      </c>
      <c r="L337" t="n">
        <v>0</v>
      </c>
      <c r="M337" t="n">
        <v>0</v>
      </c>
      <c r="N337" t="n">
        <v>0</v>
      </c>
      <c r="O337" t="n">
        <v>0</v>
      </c>
      <c r="P337" t="n">
        <v>0</v>
      </c>
      <c r="Q337" t="n">
        <v>0</v>
      </c>
      <c r="R337" s="2" t="inlineStr"/>
    </row>
    <row r="338" ht="15" customHeight="1">
      <c r="A338" t="inlineStr">
        <is>
          <t>A 13395-2023</t>
        </is>
      </c>
      <c r="B338" s="1" t="n">
        <v>45005</v>
      </c>
      <c r="C338" s="1" t="n">
        <v>45588</v>
      </c>
      <c r="D338" t="inlineStr">
        <is>
          <t>NORRBOTTENS LÄN</t>
        </is>
      </c>
      <c r="E338" t="inlineStr">
        <is>
          <t>ARVIDSJAUR</t>
        </is>
      </c>
      <c r="F338" t="inlineStr">
        <is>
          <t>Sveaskog</t>
        </is>
      </c>
      <c r="G338" t="n">
        <v>4.8</v>
      </c>
      <c r="H338" t="n">
        <v>0</v>
      </c>
      <c r="I338" t="n">
        <v>0</v>
      </c>
      <c r="J338" t="n">
        <v>0</v>
      </c>
      <c r="K338" t="n">
        <v>0</v>
      </c>
      <c r="L338" t="n">
        <v>0</v>
      </c>
      <c r="M338" t="n">
        <v>0</v>
      </c>
      <c r="N338" t="n">
        <v>0</v>
      </c>
      <c r="O338" t="n">
        <v>0</v>
      </c>
      <c r="P338" t="n">
        <v>0</v>
      </c>
      <c r="Q338" t="n">
        <v>0</v>
      </c>
      <c r="R338" s="2" t="inlineStr"/>
    </row>
    <row r="339" ht="15" customHeight="1">
      <c r="A339" t="inlineStr">
        <is>
          <t>A 14613-2023</t>
        </is>
      </c>
      <c r="B339" s="1" t="n">
        <v>45013</v>
      </c>
      <c r="C339" s="1" t="n">
        <v>45588</v>
      </c>
      <c r="D339" t="inlineStr">
        <is>
          <t>NORRBOTTENS LÄN</t>
        </is>
      </c>
      <c r="E339" t="inlineStr">
        <is>
          <t>ARVIDSJAUR</t>
        </is>
      </c>
      <c r="G339" t="n">
        <v>4.5</v>
      </c>
      <c r="H339" t="n">
        <v>0</v>
      </c>
      <c r="I339" t="n">
        <v>0</v>
      </c>
      <c r="J339" t="n">
        <v>0</v>
      </c>
      <c r="K339" t="n">
        <v>0</v>
      </c>
      <c r="L339" t="n">
        <v>0</v>
      </c>
      <c r="M339" t="n">
        <v>0</v>
      </c>
      <c r="N339" t="n">
        <v>0</v>
      </c>
      <c r="O339" t="n">
        <v>0</v>
      </c>
      <c r="P339" t="n">
        <v>0</v>
      </c>
      <c r="Q339" t="n">
        <v>0</v>
      </c>
      <c r="R339" s="2" t="inlineStr"/>
    </row>
    <row r="340" ht="15" customHeight="1">
      <c r="A340" t="inlineStr">
        <is>
          <t>A 15475-2023</t>
        </is>
      </c>
      <c r="B340" s="1" t="n">
        <v>45020</v>
      </c>
      <c r="C340" s="1" t="n">
        <v>45588</v>
      </c>
      <c r="D340" t="inlineStr">
        <is>
          <t>NORRBOTTENS LÄN</t>
        </is>
      </c>
      <c r="E340" t="inlineStr">
        <is>
          <t>ARVIDSJAUR</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17771-2023</t>
        </is>
      </c>
      <c r="B341" s="1" t="n">
        <v>45036</v>
      </c>
      <c r="C341" s="1" t="n">
        <v>45588</v>
      </c>
      <c r="D341" t="inlineStr">
        <is>
          <t>NORRBOTTENS LÄN</t>
        </is>
      </c>
      <c r="E341" t="inlineStr">
        <is>
          <t>ARVIDSJAUR</t>
        </is>
      </c>
      <c r="G341" t="n">
        <v>5.6</v>
      </c>
      <c r="H341" t="n">
        <v>0</v>
      </c>
      <c r="I341" t="n">
        <v>0</v>
      </c>
      <c r="J341" t="n">
        <v>0</v>
      </c>
      <c r="K341" t="n">
        <v>0</v>
      </c>
      <c r="L341" t="n">
        <v>0</v>
      </c>
      <c r="M341" t="n">
        <v>0</v>
      </c>
      <c r="N341" t="n">
        <v>0</v>
      </c>
      <c r="O341" t="n">
        <v>0</v>
      </c>
      <c r="P341" t="n">
        <v>0</v>
      </c>
      <c r="Q341" t="n">
        <v>0</v>
      </c>
      <c r="R341" s="2" t="inlineStr"/>
    </row>
    <row r="342" ht="15" customHeight="1">
      <c r="A342" t="inlineStr">
        <is>
          <t>A 18935-2023</t>
        </is>
      </c>
      <c r="B342" s="1" t="n">
        <v>45044</v>
      </c>
      <c r="C342" s="1" t="n">
        <v>45588</v>
      </c>
      <c r="D342" t="inlineStr">
        <is>
          <t>NORRBOTTENS LÄN</t>
        </is>
      </c>
      <c r="E342" t="inlineStr">
        <is>
          <t>ARVIDSJAUR</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18934-2023</t>
        </is>
      </c>
      <c r="B343" s="1" t="n">
        <v>45044</v>
      </c>
      <c r="C343" s="1" t="n">
        <v>45588</v>
      </c>
      <c r="D343" t="inlineStr">
        <is>
          <t>NORRBOTTENS LÄN</t>
        </is>
      </c>
      <c r="E343" t="inlineStr">
        <is>
          <t>ARVIDSJAUR</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19537-2023</t>
        </is>
      </c>
      <c r="B344" s="1" t="n">
        <v>45050</v>
      </c>
      <c r="C344" s="1" t="n">
        <v>45588</v>
      </c>
      <c r="D344" t="inlineStr">
        <is>
          <t>NORRBOTTENS LÄN</t>
        </is>
      </c>
      <c r="E344" t="inlineStr">
        <is>
          <t>ARVIDSJAUR</t>
        </is>
      </c>
      <c r="G344" t="n">
        <v>17.3</v>
      </c>
      <c r="H344" t="n">
        <v>0</v>
      </c>
      <c r="I344" t="n">
        <v>0</v>
      </c>
      <c r="J344" t="n">
        <v>0</v>
      </c>
      <c r="K344" t="n">
        <v>0</v>
      </c>
      <c r="L344" t="n">
        <v>0</v>
      </c>
      <c r="M344" t="n">
        <v>0</v>
      </c>
      <c r="N344" t="n">
        <v>0</v>
      </c>
      <c r="O344" t="n">
        <v>0</v>
      </c>
      <c r="P344" t="n">
        <v>0</v>
      </c>
      <c r="Q344" t="n">
        <v>0</v>
      </c>
      <c r="R344" s="2" t="inlineStr"/>
    </row>
    <row r="345" ht="15" customHeight="1">
      <c r="A345" t="inlineStr">
        <is>
          <t>A 20675-2023</t>
        </is>
      </c>
      <c r="B345" s="1" t="n">
        <v>45055</v>
      </c>
      <c r="C345" s="1" t="n">
        <v>45588</v>
      </c>
      <c r="D345" t="inlineStr">
        <is>
          <t>NORRBOTTENS LÄN</t>
        </is>
      </c>
      <c r="E345" t="inlineStr">
        <is>
          <t>ARVIDSJAUR</t>
        </is>
      </c>
      <c r="F345" t="inlineStr">
        <is>
          <t>Allmännings- och besparingsskogar</t>
        </is>
      </c>
      <c r="G345" t="n">
        <v>20</v>
      </c>
      <c r="H345" t="n">
        <v>0</v>
      </c>
      <c r="I345" t="n">
        <v>0</v>
      </c>
      <c r="J345" t="n">
        <v>0</v>
      </c>
      <c r="K345" t="n">
        <v>0</v>
      </c>
      <c r="L345" t="n">
        <v>0</v>
      </c>
      <c r="M345" t="n">
        <v>0</v>
      </c>
      <c r="N345" t="n">
        <v>0</v>
      </c>
      <c r="O345" t="n">
        <v>0</v>
      </c>
      <c r="P345" t="n">
        <v>0</v>
      </c>
      <c r="Q345" t="n">
        <v>0</v>
      </c>
      <c r="R345" s="2" t="inlineStr"/>
    </row>
    <row r="346" ht="15" customHeight="1">
      <c r="A346" t="inlineStr">
        <is>
          <t>A 20691-2023</t>
        </is>
      </c>
      <c r="B346" s="1" t="n">
        <v>45055</v>
      </c>
      <c r="C346" s="1" t="n">
        <v>45588</v>
      </c>
      <c r="D346" t="inlineStr">
        <is>
          <t>NORRBOTTENS LÄN</t>
        </is>
      </c>
      <c r="E346" t="inlineStr">
        <is>
          <t>ARVIDSJAUR</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20684-2023</t>
        </is>
      </c>
      <c r="B347" s="1" t="n">
        <v>45055</v>
      </c>
      <c r="C347" s="1" t="n">
        <v>45588</v>
      </c>
      <c r="D347" t="inlineStr">
        <is>
          <t>NORRBOTTENS LÄN</t>
        </is>
      </c>
      <c r="E347" t="inlineStr">
        <is>
          <t>ARVIDSJAUR</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20698-2023</t>
        </is>
      </c>
      <c r="B348" s="1" t="n">
        <v>45055</v>
      </c>
      <c r="C348" s="1" t="n">
        <v>45588</v>
      </c>
      <c r="D348" t="inlineStr">
        <is>
          <t>NORRBOTTENS LÄN</t>
        </is>
      </c>
      <c r="E348" t="inlineStr">
        <is>
          <t>ARVIDSJAUR</t>
        </is>
      </c>
      <c r="F348" t="inlineStr">
        <is>
          <t>Allmännings- och besparingsskogar</t>
        </is>
      </c>
      <c r="G348" t="n">
        <v>7.6</v>
      </c>
      <c r="H348" t="n">
        <v>0</v>
      </c>
      <c r="I348" t="n">
        <v>0</v>
      </c>
      <c r="J348" t="n">
        <v>0</v>
      </c>
      <c r="K348" t="n">
        <v>0</v>
      </c>
      <c r="L348" t="n">
        <v>0</v>
      </c>
      <c r="M348" t="n">
        <v>0</v>
      </c>
      <c r="N348" t="n">
        <v>0</v>
      </c>
      <c r="O348" t="n">
        <v>0</v>
      </c>
      <c r="P348" t="n">
        <v>0</v>
      </c>
      <c r="Q348" t="n">
        <v>0</v>
      </c>
      <c r="R348" s="2" t="inlineStr"/>
    </row>
    <row r="349" ht="15" customHeight="1">
      <c r="A349" t="inlineStr">
        <is>
          <t>A 20690-2023</t>
        </is>
      </c>
      <c r="B349" s="1" t="n">
        <v>45055</v>
      </c>
      <c r="C349" s="1" t="n">
        <v>45588</v>
      </c>
      <c r="D349" t="inlineStr">
        <is>
          <t>NORRBOTTENS LÄN</t>
        </is>
      </c>
      <c r="E349" t="inlineStr">
        <is>
          <t>ARVIDSJAUR</t>
        </is>
      </c>
      <c r="F349" t="inlineStr">
        <is>
          <t>Allmännings- och besparingsskogar</t>
        </is>
      </c>
      <c r="G349" t="n">
        <v>13.6</v>
      </c>
      <c r="H349" t="n">
        <v>0</v>
      </c>
      <c r="I349" t="n">
        <v>0</v>
      </c>
      <c r="J349" t="n">
        <v>0</v>
      </c>
      <c r="K349" t="n">
        <v>0</v>
      </c>
      <c r="L349" t="n">
        <v>0</v>
      </c>
      <c r="M349" t="n">
        <v>0</v>
      </c>
      <c r="N349" t="n">
        <v>0</v>
      </c>
      <c r="O349" t="n">
        <v>0</v>
      </c>
      <c r="P349" t="n">
        <v>0</v>
      </c>
      <c r="Q349" t="n">
        <v>0</v>
      </c>
      <c r="R349" s="2" t="inlineStr"/>
    </row>
    <row r="350" ht="15" customHeight="1">
      <c r="A350" t="inlineStr">
        <is>
          <t>A 20707-2023</t>
        </is>
      </c>
      <c r="B350" s="1" t="n">
        <v>45055</v>
      </c>
      <c r="C350" s="1" t="n">
        <v>45588</v>
      </c>
      <c r="D350" t="inlineStr">
        <is>
          <t>NORRBOTTENS LÄN</t>
        </is>
      </c>
      <c r="E350" t="inlineStr">
        <is>
          <t>ARVIDSJAUR</t>
        </is>
      </c>
      <c r="F350" t="inlineStr">
        <is>
          <t>Allmännings- och besparingsskogar</t>
        </is>
      </c>
      <c r="G350" t="n">
        <v>11.1</v>
      </c>
      <c r="H350" t="n">
        <v>0</v>
      </c>
      <c r="I350" t="n">
        <v>0</v>
      </c>
      <c r="J350" t="n">
        <v>0</v>
      </c>
      <c r="K350" t="n">
        <v>0</v>
      </c>
      <c r="L350" t="n">
        <v>0</v>
      </c>
      <c r="M350" t="n">
        <v>0</v>
      </c>
      <c r="N350" t="n">
        <v>0</v>
      </c>
      <c r="O350" t="n">
        <v>0</v>
      </c>
      <c r="P350" t="n">
        <v>0</v>
      </c>
      <c r="Q350" t="n">
        <v>0</v>
      </c>
      <c r="R350" s="2" t="inlineStr"/>
    </row>
    <row r="351" ht="15" customHeight="1">
      <c r="A351" t="inlineStr">
        <is>
          <t>A 22895-2023</t>
        </is>
      </c>
      <c r="B351" s="1" t="n">
        <v>45072</v>
      </c>
      <c r="C351" s="1" t="n">
        <v>45588</v>
      </c>
      <c r="D351" t="inlineStr">
        <is>
          <t>NORRBOTTENS LÄN</t>
        </is>
      </c>
      <c r="E351" t="inlineStr">
        <is>
          <t>ARVIDSJAUR</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24165-2023</t>
        </is>
      </c>
      <c r="B352" s="1" t="n">
        <v>45079</v>
      </c>
      <c r="C352" s="1" t="n">
        <v>45588</v>
      </c>
      <c r="D352" t="inlineStr">
        <is>
          <t>NORRBOTTENS LÄN</t>
        </is>
      </c>
      <c r="E352" t="inlineStr">
        <is>
          <t>ARVIDSJAUR</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24563-2023</t>
        </is>
      </c>
      <c r="B353" s="1" t="n">
        <v>45083</v>
      </c>
      <c r="C353" s="1" t="n">
        <v>45588</v>
      </c>
      <c r="D353" t="inlineStr">
        <is>
          <t>NORRBOTTENS LÄN</t>
        </is>
      </c>
      <c r="E353" t="inlineStr">
        <is>
          <t>ARVIDSJAUR</t>
        </is>
      </c>
      <c r="G353" t="n">
        <v>9.4</v>
      </c>
      <c r="H353" t="n">
        <v>0</v>
      </c>
      <c r="I353" t="n">
        <v>0</v>
      </c>
      <c r="J353" t="n">
        <v>0</v>
      </c>
      <c r="K353" t="n">
        <v>0</v>
      </c>
      <c r="L353" t="n">
        <v>0</v>
      </c>
      <c r="M353" t="n">
        <v>0</v>
      </c>
      <c r="N353" t="n">
        <v>0</v>
      </c>
      <c r="O353" t="n">
        <v>0</v>
      </c>
      <c r="P353" t="n">
        <v>0</v>
      </c>
      <c r="Q353" t="n">
        <v>0</v>
      </c>
      <c r="R353" s="2" t="inlineStr"/>
    </row>
    <row r="354" ht="15" customHeight="1">
      <c r="A354" t="inlineStr">
        <is>
          <t>A 24810-2023</t>
        </is>
      </c>
      <c r="B354" s="1" t="n">
        <v>45084</v>
      </c>
      <c r="C354" s="1" t="n">
        <v>45588</v>
      </c>
      <c r="D354" t="inlineStr">
        <is>
          <t>NORRBOTTENS LÄN</t>
        </is>
      </c>
      <c r="E354" t="inlineStr">
        <is>
          <t>ARVIDSJAUR</t>
        </is>
      </c>
      <c r="G354" t="n">
        <v>5.2</v>
      </c>
      <c r="H354" t="n">
        <v>0</v>
      </c>
      <c r="I354" t="n">
        <v>0</v>
      </c>
      <c r="J354" t="n">
        <v>0</v>
      </c>
      <c r="K354" t="n">
        <v>0</v>
      </c>
      <c r="L354" t="n">
        <v>0</v>
      </c>
      <c r="M354" t="n">
        <v>0</v>
      </c>
      <c r="N354" t="n">
        <v>0</v>
      </c>
      <c r="O354" t="n">
        <v>0</v>
      </c>
      <c r="P354" t="n">
        <v>0</v>
      </c>
      <c r="Q354" t="n">
        <v>0</v>
      </c>
      <c r="R354" s="2" t="inlineStr"/>
    </row>
    <row r="355" ht="15" customHeight="1">
      <c r="A355" t="inlineStr">
        <is>
          <t>A 25731-2023</t>
        </is>
      </c>
      <c r="B355" s="1" t="n">
        <v>45084</v>
      </c>
      <c r="C355" s="1" t="n">
        <v>45588</v>
      </c>
      <c r="D355" t="inlineStr">
        <is>
          <t>NORRBOTTENS LÄN</t>
        </is>
      </c>
      <c r="E355" t="inlineStr">
        <is>
          <t>ARVIDSJAUR</t>
        </is>
      </c>
      <c r="G355" t="n">
        <v>5.1</v>
      </c>
      <c r="H355" t="n">
        <v>0</v>
      </c>
      <c r="I355" t="n">
        <v>0</v>
      </c>
      <c r="J355" t="n">
        <v>0</v>
      </c>
      <c r="K355" t="n">
        <v>0</v>
      </c>
      <c r="L355" t="n">
        <v>0</v>
      </c>
      <c r="M355" t="n">
        <v>0</v>
      </c>
      <c r="N355" t="n">
        <v>0</v>
      </c>
      <c r="O355" t="n">
        <v>0</v>
      </c>
      <c r="P355" t="n">
        <v>0</v>
      </c>
      <c r="Q355" t="n">
        <v>0</v>
      </c>
      <c r="R355" s="2" t="inlineStr"/>
    </row>
    <row r="356" ht="15" customHeight="1">
      <c r="A356" t="inlineStr">
        <is>
          <t>A 26591-2023</t>
        </is>
      </c>
      <c r="B356" s="1" t="n">
        <v>45090</v>
      </c>
      <c r="C356" s="1" t="n">
        <v>45588</v>
      </c>
      <c r="D356" t="inlineStr">
        <is>
          <t>NORRBOTTENS LÄN</t>
        </is>
      </c>
      <c r="E356" t="inlineStr">
        <is>
          <t>ARVIDSJAUR</t>
        </is>
      </c>
      <c r="G356" t="n">
        <v>0.5</v>
      </c>
      <c r="H356" t="n">
        <v>0</v>
      </c>
      <c r="I356" t="n">
        <v>0</v>
      </c>
      <c r="J356" t="n">
        <v>0</v>
      </c>
      <c r="K356" t="n">
        <v>0</v>
      </c>
      <c r="L356" t="n">
        <v>0</v>
      </c>
      <c r="M356" t="n">
        <v>0</v>
      </c>
      <c r="N356" t="n">
        <v>0</v>
      </c>
      <c r="O356" t="n">
        <v>0</v>
      </c>
      <c r="P356" t="n">
        <v>0</v>
      </c>
      <c r="Q356" t="n">
        <v>0</v>
      </c>
      <c r="R356" s="2" t="inlineStr"/>
    </row>
    <row r="357" ht="15" customHeight="1">
      <c r="A357" t="inlineStr">
        <is>
          <t>A 26583-2023</t>
        </is>
      </c>
      <c r="B357" s="1" t="n">
        <v>45090</v>
      </c>
      <c r="C357" s="1" t="n">
        <v>45588</v>
      </c>
      <c r="D357" t="inlineStr">
        <is>
          <t>NORRBOTTENS LÄN</t>
        </is>
      </c>
      <c r="E357" t="inlineStr">
        <is>
          <t>ARVIDSJAUR</t>
        </is>
      </c>
      <c r="G357" t="n">
        <v>1.3</v>
      </c>
      <c r="H357" t="n">
        <v>0</v>
      </c>
      <c r="I357" t="n">
        <v>0</v>
      </c>
      <c r="J357" t="n">
        <v>0</v>
      </c>
      <c r="K357" t="n">
        <v>0</v>
      </c>
      <c r="L357" t="n">
        <v>0</v>
      </c>
      <c r="M357" t="n">
        <v>0</v>
      </c>
      <c r="N357" t="n">
        <v>0</v>
      </c>
      <c r="O357" t="n">
        <v>0</v>
      </c>
      <c r="P357" t="n">
        <v>0</v>
      </c>
      <c r="Q357" t="n">
        <v>0</v>
      </c>
      <c r="R357" s="2" t="inlineStr"/>
    </row>
    <row r="358" ht="15" customHeight="1">
      <c r="A358" t="inlineStr">
        <is>
          <t>A 26671-2023</t>
        </is>
      </c>
      <c r="B358" s="1" t="n">
        <v>45093</v>
      </c>
      <c r="C358" s="1" t="n">
        <v>45588</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26674-2023</t>
        </is>
      </c>
      <c r="B359" s="1" t="n">
        <v>45093</v>
      </c>
      <c r="C359" s="1" t="n">
        <v>45588</v>
      </c>
      <c r="D359" t="inlineStr">
        <is>
          <t>NORRBOTTENS LÄN</t>
        </is>
      </c>
      <c r="E359" t="inlineStr">
        <is>
          <t>ARVIDSJAUR</t>
        </is>
      </c>
      <c r="F359" t="inlineStr">
        <is>
          <t>Sveaskog</t>
        </is>
      </c>
      <c r="G359" t="n">
        <v>3</v>
      </c>
      <c r="H359" t="n">
        <v>0</v>
      </c>
      <c r="I359" t="n">
        <v>0</v>
      </c>
      <c r="J359" t="n">
        <v>0</v>
      </c>
      <c r="K359" t="n">
        <v>0</v>
      </c>
      <c r="L359" t="n">
        <v>0</v>
      </c>
      <c r="M359" t="n">
        <v>0</v>
      </c>
      <c r="N359" t="n">
        <v>0</v>
      </c>
      <c r="O359" t="n">
        <v>0</v>
      </c>
      <c r="P359" t="n">
        <v>0</v>
      </c>
      <c r="Q359" t="n">
        <v>0</v>
      </c>
      <c r="R359" s="2" t="inlineStr"/>
    </row>
    <row r="360" ht="15" customHeight="1">
      <c r="A360" t="inlineStr">
        <is>
          <t>A 26673-2023</t>
        </is>
      </c>
      <c r="B360" s="1" t="n">
        <v>45093</v>
      </c>
      <c r="C360" s="1" t="n">
        <v>45588</v>
      </c>
      <c r="D360" t="inlineStr">
        <is>
          <t>NORRBOTTENS LÄN</t>
        </is>
      </c>
      <c r="E360" t="inlineStr">
        <is>
          <t>ARVIDSJAUR</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27441-2023</t>
        </is>
      </c>
      <c r="B361" s="1" t="n">
        <v>45097</v>
      </c>
      <c r="C361" s="1" t="n">
        <v>45588</v>
      </c>
      <c r="D361" t="inlineStr">
        <is>
          <t>NORRBOTTENS LÄN</t>
        </is>
      </c>
      <c r="E361" t="inlineStr">
        <is>
          <t>ARVIDSJAUR</t>
        </is>
      </c>
      <c r="F361" t="inlineStr">
        <is>
          <t>Sveaskog</t>
        </is>
      </c>
      <c r="G361" t="n">
        <v>3.3</v>
      </c>
      <c r="H361" t="n">
        <v>0</v>
      </c>
      <c r="I361" t="n">
        <v>0</v>
      </c>
      <c r="J361" t="n">
        <v>0</v>
      </c>
      <c r="K361" t="n">
        <v>0</v>
      </c>
      <c r="L361" t="n">
        <v>0</v>
      </c>
      <c r="M361" t="n">
        <v>0</v>
      </c>
      <c r="N361" t="n">
        <v>0</v>
      </c>
      <c r="O361" t="n">
        <v>0</v>
      </c>
      <c r="P361" t="n">
        <v>0</v>
      </c>
      <c r="Q361" t="n">
        <v>0</v>
      </c>
      <c r="R361" s="2" t="inlineStr"/>
    </row>
    <row r="362" ht="15" customHeight="1">
      <c r="A362" t="inlineStr">
        <is>
          <t>A 27439-2023</t>
        </is>
      </c>
      <c r="B362" s="1" t="n">
        <v>45097</v>
      </c>
      <c r="C362" s="1" t="n">
        <v>45588</v>
      </c>
      <c r="D362" t="inlineStr">
        <is>
          <t>NORRBOTTENS LÄN</t>
        </is>
      </c>
      <c r="E362" t="inlineStr">
        <is>
          <t>ARVIDSJAUR</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27459-2023</t>
        </is>
      </c>
      <c r="B363" s="1" t="n">
        <v>45097</v>
      </c>
      <c r="C363" s="1" t="n">
        <v>45588</v>
      </c>
      <c r="D363" t="inlineStr">
        <is>
          <t>NORRBOTTENS LÄN</t>
        </is>
      </c>
      <c r="E363" t="inlineStr">
        <is>
          <t>ARVIDSJAUR</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27442-2023</t>
        </is>
      </c>
      <c r="B364" s="1" t="n">
        <v>45097</v>
      </c>
      <c r="C364" s="1" t="n">
        <v>45588</v>
      </c>
      <c r="D364" t="inlineStr">
        <is>
          <t>NORRBOTTENS LÄN</t>
        </is>
      </c>
      <c r="E364" t="inlineStr">
        <is>
          <t>ARVIDSJAUR</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27462-2023</t>
        </is>
      </c>
      <c r="B365" s="1" t="n">
        <v>45097</v>
      </c>
      <c r="C365" s="1" t="n">
        <v>45588</v>
      </c>
      <c r="D365" t="inlineStr">
        <is>
          <t>NORRBOTTENS LÄN</t>
        </is>
      </c>
      <c r="E365" t="inlineStr">
        <is>
          <t>ARVIDSJAUR</t>
        </is>
      </c>
      <c r="F365" t="inlineStr">
        <is>
          <t>Sveaskog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45588</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ht="15" customHeight="1">
      <c r="A367" t="inlineStr">
        <is>
          <t>A 29580-2023</t>
        </is>
      </c>
      <c r="B367" s="1" t="n">
        <v>45098</v>
      </c>
      <c r="C367" s="1" t="n">
        <v>45588</v>
      </c>
      <c r="D367" t="inlineStr">
        <is>
          <t>NORRBOTTENS LÄN</t>
        </is>
      </c>
      <c r="E367" t="inlineStr">
        <is>
          <t>ARVIDSJAUR</t>
        </is>
      </c>
      <c r="G367" t="n">
        <v>3.3</v>
      </c>
      <c r="H367" t="n">
        <v>0</v>
      </c>
      <c r="I367" t="n">
        <v>0</v>
      </c>
      <c r="J367" t="n">
        <v>0</v>
      </c>
      <c r="K367" t="n">
        <v>0</v>
      </c>
      <c r="L367" t="n">
        <v>0</v>
      </c>
      <c r="M367" t="n">
        <v>0</v>
      </c>
      <c r="N367" t="n">
        <v>0</v>
      </c>
      <c r="O367" t="n">
        <v>0</v>
      </c>
      <c r="P367" t="n">
        <v>0</v>
      </c>
      <c r="Q367" t="n">
        <v>0</v>
      </c>
      <c r="R367" s="2" t="inlineStr"/>
    </row>
    <row r="368" ht="15" customHeight="1">
      <c r="A368" t="inlineStr">
        <is>
          <t>A 29636-2023</t>
        </is>
      </c>
      <c r="B368" s="1" t="n">
        <v>45098</v>
      </c>
      <c r="C368" s="1" t="n">
        <v>45588</v>
      </c>
      <c r="D368" t="inlineStr">
        <is>
          <t>NORRBOTTENS LÄN</t>
        </is>
      </c>
      <c r="E368" t="inlineStr">
        <is>
          <t>ARVIDSJAUR</t>
        </is>
      </c>
      <c r="G368" t="n">
        <v>6.5</v>
      </c>
      <c r="H368" t="n">
        <v>0</v>
      </c>
      <c r="I368" t="n">
        <v>0</v>
      </c>
      <c r="J368" t="n">
        <v>0</v>
      </c>
      <c r="K368" t="n">
        <v>0</v>
      </c>
      <c r="L368" t="n">
        <v>0</v>
      </c>
      <c r="M368" t="n">
        <v>0</v>
      </c>
      <c r="N368" t="n">
        <v>0</v>
      </c>
      <c r="O368" t="n">
        <v>0</v>
      </c>
      <c r="P368" t="n">
        <v>0</v>
      </c>
      <c r="Q368" t="n">
        <v>0</v>
      </c>
      <c r="R368" s="2" t="inlineStr"/>
    </row>
    <row r="369" ht="15" customHeight="1">
      <c r="A369" t="inlineStr">
        <is>
          <t>A 29639-2023</t>
        </is>
      </c>
      <c r="B369" s="1" t="n">
        <v>45098</v>
      </c>
      <c r="C369" s="1" t="n">
        <v>45588</v>
      </c>
      <c r="D369" t="inlineStr">
        <is>
          <t>NORRBOTTENS LÄN</t>
        </is>
      </c>
      <c r="E369" t="inlineStr">
        <is>
          <t>ARVIDSJAUR</t>
        </is>
      </c>
      <c r="G369" t="n">
        <v>8.1</v>
      </c>
      <c r="H369" t="n">
        <v>0</v>
      </c>
      <c r="I369" t="n">
        <v>0</v>
      </c>
      <c r="J369" t="n">
        <v>0</v>
      </c>
      <c r="K369" t="n">
        <v>0</v>
      </c>
      <c r="L369" t="n">
        <v>0</v>
      </c>
      <c r="M369" t="n">
        <v>0</v>
      </c>
      <c r="N369" t="n">
        <v>0</v>
      </c>
      <c r="O369" t="n">
        <v>0</v>
      </c>
      <c r="P369" t="n">
        <v>0</v>
      </c>
      <c r="Q369" t="n">
        <v>0</v>
      </c>
      <c r="R369" s="2" t="inlineStr"/>
    </row>
    <row r="370" ht="15" customHeight="1">
      <c r="A370" t="inlineStr">
        <is>
          <t>A 29602-2023</t>
        </is>
      </c>
      <c r="B370" s="1" t="n">
        <v>45098</v>
      </c>
      <c r="C370" s="1" t="n">
        <v>45588</v>
      </c>
      <c r="D370" t="inlineStr">
        <is>
          <t>NORRBOTTENS LÄN</t>
        </is>
      </c>
      <c r="E370" t="inlineStr">
        <is>
          <t>ARVIDSJAUR</t>
        </is>
      </c>
      <c r="G370" t="n">
        <v>4.5</v>
      </c>
      <c r="H370" t="n">
        <v>0</v>
      </c>
      <c r="I370" t="n">
        <v>0</v>
      </c>
      <c r="J370" t="n">
        <v>0</v>
      </c>
      <c r="K370" t="n">
        <v>0</v>
      </c>
      <c r="L370" t="n">
        <v>0</v>
      </c>
      <c r="M370" t="n">
        <v>0</v>
      </c>
      <c r="N370" t="n">
        <v>0</v>
      </c>
      <c r="O370" t="n">
        <v>0</v>
      </c>
      <c r="P370" t="n">
        <v>0</v>
      </c>
      <c r="Q370" t="n">
        <v>0</v>
      </c>
      <c r="R370" s="2" t="inlineStr"/>
    </row>
    <row r="371" ht="15" customHeight="1">
      <c r="A371" t="inlineStr">
        <is>
          <t>A 28307-2023</t>
        </is>
      </c>
      <c r="B371" s="1" t="n">
        <v>45099</v>
      </c>
      <c r="C371" s="1" t="n">
        <v>45588</v>
      </c>
      <c r="D371" t="inlineStr">
        <is>
          <t>NORRBOTTENS LÄN</t>
        </is>
      </c>
      <c r="E371" t="inlineStr">
        <is>
          <t>ARVIDSJAUR</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28311-2023</t>
        </is>
      </c>
      <c r="B372" s="1" t="n">
        <v>45099</v>
      </c>
      <c r="C372" s="1" t="n">
        <v>45588</v>
      </c>
      <c r="D372" t="inlineStr">
        <is>
          <t>NORRBOTTENS LÄN</t>
        </is>
      </c>
      <c r="E372" t="inlineStr">
        <is>
          <t>ARVIDSJAUR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28313-2023</t>
        </is>
      </c>
      <c r="B373" s="1" t="n">
        <v>45099</v>
      </c>
      <c r="C373" s="1" t="n">
        <v>45588</v>
      </c>
      <c r="D373" t="inlineStr">
        <is>
          <t>NORRBOTTENS LÄN</t>
        </is>
      </c>
      <c r="E373" t="inlineStr">
        <is>
          <t>ARVIDSJAUR</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30756-2023</t>
        </is>
      </c>
      <c r="B374" s="1" t="n">
        <v>45103</v>
      </c>
      <c r="C374" s="1" t="n">
        <v>45588</v>
      </c>
      <c r="D374" t="inlineStr">
        <is>
          <t>NORRBOTTENS LÄN</t>
        </is>
      </c>
      <c r="E374" t="inlineStr">
        <is>
          <t>ARVIDSJAUR</t>
        </is>
      </c>
      <c r="G374" t="n">
        <v>1.9</v>
      </c>
      <c r="H374" t="n">
        <v>0</v>
      </c>
      <c r="I374" t="n">
        <v>0</v>
      </c>
      <c r="J374" t="n">
        <v>0</v>
      </c>
      <c r="K374" t="n">
        <v>0</v>
      </c>
      <c r="L374" t="n">
        <v>0</v>
      </c>
      <c r="M374" t="n">
        <v>0</v>
      </c>
      <c r="N374" t="n">
        <v>0</v>
      </c>
      <c r="O374" t="n">
        <v>0</v>
      </c>
      <c r="P374" t="n">
        <v>0</v>
      </c>
      <c r="Q374" t="n">
        <v>0</v>
      </c>
      <c r="R374" s="2" t="inlineStr"/>
    </row>
    <row r="375" ht="15" customHeight="1">
      <c r="A375" t="inlineStr">
        <is>
          <t>A 30757-2023</t>
        </is>
      </c>
      <c r="B375" s="1" t="n">
        <v>45103</v>
      </c>
      <c r="C375" s="1" t="n">
        <v>45588</v>
      </c>
      <c r="D375" t="inlineStr">
        <is>
          <t>NORRBOTTENS LÄN</t>
        </is>
      </c>
      <c r="E375" t="inlineStr">
        <is>
          <t>ARVIDSJAUR</t>
        </is>
      </c>
      <c r="G375" t="n">
        <v>5</v>
      </c>
      <c r="H375" t="n">
        <v>0</v>
      </c>
      <c r="I375" t="n">
        <v>0</v>
      </c>
      <c r="J375" t="n">
        <v>0</v>
      </c>
      <c r="K375" t="n">
        <v>0</v>
      </c>
      <c r="L375" t="n">
        <v>0</v>
      </c>
      <c r="M375" t="n">
        <v>0</v>
      </c>
      <c r="N375" t="n">
        <v>0</v>
      </c>
      <c r="O375" t="n">
        <v>0</v>
      </c>
      <c r="P375" t="n">
        <v>0</v>
      </c>
      <c r="Q375" t="n">
        <v>0</v>
      </c>
      <c r="R375" s="2" t="inlineStr"/>
    </row>
    <row r="376" ht="15" customHeight="1">
      <c r="A376" t="inlineStr">
        <is>
          <t>A 30753-2023</t>
        </is>
      </c>
      <c r="B376" s="1" t="n">
        <v>45103</v>
      </c>
      <c r="C376" s="1" t="n">
        <v>45588</v>
      </c>
      <c r="D376" t="inlineStr">
        <is>
          <t>NORRBOTTENS LÄN</t>
        </is>
      </c>
      <c r="E376" t="inlineStr">
        <is>
          <t>ARVIDSJAUR</t>
        </is>
      </c>
      <c r="G376" t="n">
        <v>2.9</v>
      </c>
      <c r="H376" t="n">
        <v>0</v>
      </c>
      <c r="I376" t="n">
        <v>0</v>
      </c>
      <c r="J376" t="n">
        <v>0</v>
      </c>
      <c r="K376" t="n">
        <v>0</v>
      </c>
      <c r="L376" t="n">
        <v>0</v>
      </c>
      <c r="M376" t="n">
        <v>0</v>
      </c>
      <c r="N376" t="n">
        <v>0</v>
      </c>
      <c r="O376" t="n">
        <v>0</v>
      </c>
      <c r="P376" t="n">
        <v>0</v>
      </c>
      <c r="Q376" t="n">
        <v>0</v>
      </c>
      <c r="R376" s="2" t="inlineStr"/>
    </row>
    <row r="377" ht="15" customHeight="1">
      <c r="A377" t="inlineStr">
        <is>
          <t>A 30752-2023</t>
        </is>
      </c>
      <c r="B377" s="1" t="n">
        <v>45103</v>
      </c>
      <c r="C377" s="1" t="n">
        <v>45588</v>
      </c>
      <c r="D377" t="inlineStr">
        <is>
          <t>NORRBOTTENS LÄN</t>
        </is>
      </c>
      <c r="E377" t="inlineStr">
        <is>
          <t>ARVIDSJAUR</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31666-2023</t>
        </is>
      </c>
      <c r="B378" s="1" t="n">
        <v>45105</v>
      </c>
      <c r="C378" s="1" t="n">
        <v>45588</v>
      </c>
      <c r="D378" t="inlineStr">
        <is>
          <t>NORRBOTTENS LÄN</t>
        </is>
      </c>
      <c r="E378" t="inlineStr">
        <is>
          <t>ARVIDSJAUR</t>
        </is>
      </c>
      <c r="G378" t="n">
        <v>6.5</v>
      </c>
      <c r="H378" t="n">
        <v>0</v>
      </c>
      <c r="I378" t="n">
        <v>0</v>
      </c>
      <c r="J378" t="n">
        <v>0</v>
      </c>
      <c r="K378" t="n">
        <v>0</v>
      </c>
      <c r="L378" t="n">
        <v>0</v>
      </c>
      <c r="M378" t="n">
        <v>0</v>
      </c>
      <c r="N378" t="n">
        <v>0</v>
      </c>
      <c r="O378" t="n">
        <v>0</v>
      </c>
      <c r="P378" t="n">
        <v>0</v>
      </c>
      <c r="Q378" t="n">
        <v>0</v>
      </c>
      <c r="R378" s="2" t="inlineStr"/>
    </row>
    <row r="379" ht="15" customHeight="1">
      <c r="A379" t="inlineStr">
        <is>
          <t>A 29693-2023</t>
        </is>
      </c>
      <c r="B379" s="1" t="n">
        <v>45107</v>
      </c>
      <c r="C379" s="1" t="n">
        <v>45588</v>
      </c>
      <c r="D379" t="inlineStr">
        <is>
          <t>NORRBOTTENS LÄN</t>
        </is>
      </c>
      <c r="E379" t="inlineStr">
        <is>
          <t>ARVIDSJAUR</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29709-2023</t>
        </is>
      </c>
      <c r="B380" s="1" t="n">
        <v>45107</v>
      </c>
      <c r="C380" s="1" t="n">
        <v>45588</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29695-2023</t>
        </is>
      </c>
      <c r="B381" s="1" t="n">
        <v>45107</v>
      </c>
      <c r="C381" s="1" t="n">
        <v>45588</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32360-2023</t>
        </is>
      </c>
      <c r="B382" s="1" t="n">
        <v>45110</v>
      </c>
      <c r="C382" s="1" t="n">
        <v>45588</v>
      </c>
      <c r="D382" t="inlineStr">
        <is>
          <t>NORRBOTTENS LÄN</t>
        </is>
      </c>
      <c r="E382" t="inlineStr">
        <is>
          <t>ARVIDSJAUR</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30501-2023</t>
        </is>
      </c>
      <c r="B383" s="1" t="n">
        <v>45111</v>
      </c>
      <c r="C383" s="1" t="n">
        <v>45588</v>
      </c>
      <c r="D383" t="inlineStr">
        <is>
          <t>NORRBOTTENS LÄN</t>
        </is>
      </c>
      <c r="E383" t="inlineStr">
        <is>
          <t>ARVIDSJAUR</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30343-2023</t>
        </is>
      </c>
      <c r="B384" s="1" t="n">
        <v>45111</v>
      </c>
      <c r="C384" s="1" t="n">
        <v>45588</v>
      </c>
      <c r="D384" t="inlineStr">
        <is>
          <t>NORRBOTTENS LÄN</t>
        </is>
      </c>
      <c r="E384" t="inlineStr">
        <is>
          <t>ARVIDSJAUR</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30394-2023</t>
        </is>
      </c>
      <c r="B385" s="1" t="n">
        <v>45111</v>
      </c>
      <c r="C385" s="1" t="n">
        <v>45588</v>
      </c>
      <c r="D385" t="inlineStr">
        <is>
          <t>NORRBOTTENS LÄN</t>
        </is>
      </c>
      <c r="E385" t="inlineStr">
        <is>
          <t>ARVIDSJAUR</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30419-2023</t>
        </is>
      </c>
      <c r="B386" s="1" t="n">
        <v>45111</v>
      </c>
      <c r="C386" s="1" t="n">
        <v>45588</v>
      </c>
      <c r="D386" t="inlineStr">
        <is>
          <t>NORRBOTTENS LÄN</t>
        </is>
      </c>
      <c r="E386" t="inlineStr">
        <is>
          <t>ARVIDSJAUR</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33134-2023</t>
        </is>
      </c>
      <c r="B387" s="1" t="n">
        <v>45114</v>
      </c>
      <c r="C387" s="1" t="n">
        <v>45588</v>
      </c>
      <c r="D387" t="inlineStr">
        <is>
          <t>NORRBOTTENS LÄN</t>
        </is>
      </c>
      <c r="E387" t="inlineStr">
        <is>
          <t>ARVIDSJAUR</t>
        </is>
      </c>
      <c r="G387" t="n">
        <v>16.3</v>
      </c>
      <c r="H387" t="n">
        <v>0</v>
      </c>
      <c r="I387" t="n">
        <v>0</v>
      </c>
      <c r="J387" t="n">
        <v>0</v>
      </c>
      <c r="K387" t="n">
        <v>0</v>
      </c>
      <c r="L387" t="n">
        <v>0</v>
      </c>
      <c r="M387" t="n">
        <v>0</v>
      </c>
      <c r="N387" t="n">
        <v>0</v>
      </c>
      <c r="O387" t="n">
        <v>0</v>
      </c>
      <c r="P387" t="n">
        <v>0</v>
      </c>
      <c r="Q387" t="n">
        <v>0</v>
      </c>
      <c r="R387" s="2" t="inlineStr"/>
    </row>
    <row r="388" ht="15" customHeight="1">
      <c r="A388" t="inlineStr">
        <is>
          <t>A 32263-2023</t>
        </is>
      </c>
      <c r="B388" s="1" t="n">
        <v>45120</v>
      </c>
      <c r="C388" s="1" t="n">
        <v>45588</v>
      </c>
      <c r="D388" t="inlineStr">
        <is>
          <t>NORRBOTTENS LÄN</t>
        </is>
      </c>
      <c r="E388" t="inlineStr">
        <is>
          <t>ARVIDSJAUR</t>
        </is>
      </c>
      <c r="F388" t="inlineStr">
        <is>
          <t>Sveaskog</t>
        </is>
      </c>
      <c r="G388" t="n">
        <v>18.1</v>
      </c>
      <c r="H388" t="n">
        <v>0</v>
      </c>
      <c r="I388" t="n">
        <v>0</v>
      </c>
      <c r="J388" t="n">
        <v>0</v>
      </c>
      <c r="K388" t="n">
        <v>0</v>
      </c>
      <c r="L388" t="n">
        <v>0</v>
      </c>
      <c r="M388" t="n">
        <v>0</v>
      </c>
      <c r="N388" t="n">
        <v>0</v>
      </c>
      <c r="O388" t="n">
        <v>0</v>
      </c>
      <c r="P388" t="n">
        <v>0</v>
      </c>
      <c r="Q388" t="n">
        <v>0</v>
      </c>
      <c r="R388" s="2" t="inlineStr"/>
    </row>
    <row r="389" ht="15" customHeight="1">
      <c r="A389" t="inlineStr">
        <is>
          <t>A 32268-2023</t>
        </is>
      </c>
      <c r="B389" s="1" t="n">
        <v>45120</v>
      </c>
      <c r="C389" s="1" t="n">
        <v>45588</v>
      </c>
      <c r="D389" t="inlineStr">
        <is>
          <t>NORRBOTTENS LÄN</t>
        </is>
      </c>
      <c r="E389" t="inlineStr">
        <is>
          <t>ARVIDSJAUR</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32264-2023</t>
        </is>
      </c>
      <c r="B390" s="1" t="n">
        <v>45120</v>
      </c>
      <c r="C390" s="1" t="n">
        <v>45588</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34277-2023</t>
        </is>
      </c>
      <c r="B391" s="1" t="n">
        <v>45128</v>
      </c>
      <c r="C391" s="1" t="n">
        <v>45588</v>
      </c>
      <c r="D391" t="inlineStr">
        <is>
          <t>NORRBOTTENS LÄN</t>
        </is>
      </c>
      <c r="E391" t="inlineStr">
        <is>
          <t>ARVIDSJAUR</t>
        </is>
      </c>
      <c r="F391" t="inlineStr">
        <is>
          <t>Sveaskog</t>
        </is>
      </c>
      <c r="G391" t="n">
        <v>31.7</v>
      </c>
      <c r="H391" t="n">
        <v>0</v>
      </c>
      <c r="I391" t="n">
        <v>0</v>
      </c>
      <c r="J391" t="n">
        <v>0</v>
      </c>
      <c r="K391" t="n">
        <v>0</v>
      </c>
      <c r="L391" t="n">
        <v>0</v>
      </c>
      <c r="M391" t="n">
        <v>0</v>
      </c>
      <c r="N391" t="n">
        <v>0</v>
      </c>
      <c r="O391" t="n">
        <v>0</v>
      </c>
      <c r="P391" t="n">
        <v>0</v>
      </c>
      <c r="Q391" t="n">
        <v>0</v>
      </c>
      <c r="R391" s="2" t="inlineStr"/>
    </row>
    <row r="392" ht="15" customHeight="1">
      <c r="A392" t="inlineStr">
        <is>
          <t>A 34511-2023</t>
        </is>
      </c>
      <c r="B392" s="1" t="n">
        <v>45140</v>
      </c>
      <c r="C392" s="1" t="n">
        <v>45588</v>
      </c>
      <c r="D392" t="inlineStr">
        <is>
          <t>NORRBOTTENS LÄN</t>
        </is>
      </c>
      <c r="E392" t="inlineStr">
        <is>
          <t>ARVIDSJAUR</t>
        </is>
      </c>
      <c r="G392" t="n">
        <v>4.2</v>
      </c>
      <c r="H392" t="n">
        <v>0</v>
      </c>
      <c r="I392" t="n">
        <v>0</v>
      </c>
      <c r="J392" t="n">
        <v>0</v>
      </c>
      <c r="K392" t="n">
        <v>0</v>
      </c>
      <c r="L392" t="n">
        <v>0</v>
      </c>
      <c r="M392" t="n">
        <v>0</v>
      </c>
      <c r="N392" t="n">
        <v>0</v>
      </c>
      <c r="O392" t="n">
        <v>0</v>
      </c>
      <c r="P392" t="n">
        <v>0</v>
      </c>
      <c r="Q392" t="n">
        <v>0</v>
      </c>
      <c r="R392" s="2" t="inlineStr"/>
    </row>
    <row r="393" ht="15" customHeight="1">
      <c r="A393" t="inlineStr">
        <is>
          <t>A 34997-2023</t>
        </is>
      </c>
      <c r="B393" s="1" t="n">
        <v>45142</v>
      </c>
      <c r="C393" s="1" t="n">
        <v>45588</v>
      </c>
      <c r="D393" t="inlineStr">
        <is>
          <t>NORRBOTTENS LÄN</t>
        </is>
      </c>
      <c r="E393" t="inlineStr">
        <is>
          <t>ARVIDSJAUR</t>
        </is>
      </c>
      <c r="G393" t="n">
        <v>10.8</v>
      </c>
      <c r="H393" t="n">
        <v>0</v>
      </c>
      <c r="I393" t="n">
        <v>0</v>
      </c>
      <c r="J393" t="n">
        <v>0</v>
      </c>
      <c r="K393" t="n">
        <v>0</v>
      </c>
      <c r="L393" t="n">
        <v>0</v>
      </c>
      <c r="M393" t="n">
        <v>0</v>
      </c>
      <c r="N393" t="n">
        <v>0</v>
      </c>
      <c r="O393" t="n">
        <v>0</v>
      </c>
      <c r="P393" t="n">
        <v>0</v>
      </c>
      <c r="Q393" t="n">
        <v>0</v>
      </c>
      <c r="R393" s="2" t="inlineStr"/>
    </row>
    <row r="394" ht="15" customHeight="1">
      <c r="A394" t="inlineStr">
        <is>
          <t>A 34998-2023</t>
        </is>
      </c>
      <c r="B394" s="1" t="n">
        <v>45142</v>
      </c>
      <c r="C394" s="1" t="n">
        <v>45588</v>
      </c>
      <c r="D394" t="inlineStr">
        <is>
          <t>NORRBOTTENS LÄN</t>
        </is>
      </c>
      <c r="E394" t="inlineStr">
        <is>
          <t>ARVIDSJAUR</t>
        </is>
      </c>
      <c r="G394" t="n">
        <v>10.3</v>
      </c>
      <c r="H394" t="n">
        <v>0</v>
      </c>
      <c r="I394" t="n">
        <v>0</v>
      </c>
      <c r="J394" t="n">
        <v>0</v>
      </c>
      <c r="K394" t="n">
        <v>0</v>
      </c>
      <c r="L394" t="n">
        <v>0</v>
      </c>
      <c r="M394" t="n">
        <v>0</v>
      </c>
      <c r="N394" t="n">
        <v>0</v>
      </c>
      <c r="O394" t="n">
        <v>0</v>
      </c>
      <c r="P394" t="n">
        <v>0</v>
      </c>
      <c r="Q394" t="n">
        <v>0</v>
      </c>
      <c r="R394" s="2" t="inlineStr"/>
    </row>
    <row r="395" ht="15" customHeight="1">
      <c r="A395" t="inlineStr">
        <is>
          <t>A 34999-2023</t>
        </is>
      </c>
      <c r="B395" s="1" t="n">
        <v>45142</v>
      </c>
      <c r="C395" s="1" t="n">
        <v>45588</v>
      </c>
      <c r="D395" t="inlineStr">
        <is>
          <t>NORRBOTTENS LÄN</t>
        </is>
      </c>
      <c r="E395" t="inlineStr">
        <is>
          <t>ARVIDSJAUR</t>
        </is>
      </c>
      <c r="G395" t="n">
        <v>5.2</v>
      </c>
      <c r="H395" t="n">
        <v>0</v>
      </c>
      <c r="I395" t="n">
        <v>0</v>
      </c>
      <c r="J395" t="n">
        <v>0</v>
      </c>
      <c r="K395" t="n">
        <v>0</v>
      </c>
      <c r="L395" t="n">
        <v>0</v>
      </c>
      <c r="M395" t="n">
        <v>0</v>
      </c>
      <c r="N395" t="n">
        <v>0</v>
      </c>
      <c r="O395" t="n">
        <v>0</v>
      </c>
      <c r="P395" t="n">
        <v>0</v>
      </c>
      <c r="Q395" t="n">
        <v>0</v>
      </c>
      <c r="R395" s="2" t="inlineStr"/>
    </row>
    <row r="396" ht="15" customHeight="1">
      <c r="A396" t="inlineStr">
        <is>
          <t>A 36129-2023</t>
        </is>
      </c>
      <c r="B396" s="1" t="n">
        <v>45149</v>
      </c>
      <c r="C396" s="1" t="n">
        <v>45588</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36076-2023</t>
        </is>
      </c>
      <c r="B397" s="1" t="n">
        <v>45149</v>
      </c>
      <c r="C397" s="1" t="n">
        <v>45588</v>
      </c>
      <c r="D397" t="inlineStr">
        <is>
          <t>NORRBOTTENS LÄN</t>
        </is>
      </c>
      <c r="E397" t="inlineStr">
        <is>
          <t>ARVIDSJAUR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36109-2023</t>
        </is>
      </c>
      <c r="B398" s="1" t="n">
        <v>45149</v>
      </c>
      <c r="C398" s="1" t="n">
        <v>45588</v>
      </c>
      <c r="D398" t="inlineStr">
        <is>
          <t>NORRBOTTENS LÄN</t>
        </is>
      </c>
      <c r="E398" t="inlineStr">
        <is>
          <t>ARVIDSJAUR</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36154-2023</t>
        </is>
      </c>
      <c r="B399" s="1" t="n">
        <v>45149</v>
      </c>
      <c r="C399" s="1" t="n">
        <v>45588</v>
      </c>
      <c r="D399" t="inlineStr">
        <is>
          <t>NORRBOTTENS LÄN</t>
        </is>
      </c>
      <c r="E399" t="inlineStr">
        <is>
          <t>ARVIDSJAUR</t>
        </is>
      </c>
      <c r="F399" t="inlineStr">
        <is>
          <t>Sveaskog</t>
        </is>
      </c>
      <c r="G399" t="n">
        <v>38.8</v>
      </c>
      <c r="H399" t="n">
        <v>0</v>
      </c>
      <c r="I399" t="n">
        <v>0</v>
      </c>
      <c r="J399" t="n">
        <v>0</v>
      </c>
      <c r="K399" t="n">
        <v>0</v>
      </c>
      <c r="L399" t="n">
        <v>0</v>
      </c>
      <c r="M399" t="n">
        <v>0</v>
      </c>
      <c r="N399" t="n">
        <v>0</v>
      </c>
      <c r="O399" t="n">
        <v>0</v>
      </c>
      <c r="P399" t="n">
        <v>0</v>
      </c>
      <c r="Q399" t="n">
        <v>0</v>
      </c>
      <c r="R399" s="2" t="inlineStr"/>
    </row>
    <row r="400" ht="15" customHeight="1">
      <c r="A400" t="inlineStr">
        <is>
          <t>A 36090-2023</t>
        </is>
      </c>
      <c r="B400" s="1" t="n">
        <v>45149</v>
      </c>
      <c r="C400" s="1" t="n">
        <v>45588</v>
      </c>
      <c r="D400" t="inlineStr">
        <is>
          <t>NORRBOTTENS LÄN</t>
        </is>
      </c>
      <c r="E400" t="inlineStr">
        <is>
          <t>ARVIDSJAUR</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36094-2023</t>
        </is>
      </c>
      <c r="B401" s="1" t="n">
        <v>45149</v>
      </c>
      <c r="C401" s="1" t="n">
        <v>45588</v>
      </c>
      <c r="D401" t="inlineStr">
        <is>
          <t>NORRBOTTENS LÄN</t>
        </is>
      </c>
      <c r="E401" t="inlineStr">
        <is>
          <t>ARVIDSJAUR</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36398-2023</t>
        </is>
      </c>
      <c r="B402" s="1" t="n">
        <v>45152</v>
      </c>
      <c r="C402" s="1" t="n">
        <v>45588</v>
      </c>
      <c r="D402" t="inlineStr">
        <is>
          <t>NORRBOTTENS LÄN</t>
        </is>
      </c>
      <c r="E402" t="inlineStr">
        <is>
          <t>ARVIDSJAUR</t>
        </is>
      </c>
      <c r="F402" t="inlineStr">
        <is>
          <t>Sveaskog</t>
        </is>
      </c>
      <c r="G402" t="n">
        <v>21.4</v>
      </c>
      <c r="H402" t="n">
        <v>0</v>
      </c>
      <c r="I402" t="n">
        <v>0</v>
      </c>
      <c r="J402" t="n">
        <v>0</v>
      </c>
      <c r="K402" t="n">
        <v>0</v>
      </c>
      <c r="L402" t="n">
        <v>0</v>
      </c>
      <c r="M402" t="n">
        <v>0</v>
      </c>
      <c r="N402" t="n">
        <v>0</v>
      </c>
      <c r="O402" t="n">
        <v>0</v>
      </c>
      <c r="P402" t="n">
        <v>0</v>
      </c>
      <c r="Q402" t="n">
        <v>0</v>
      </c>
      <c r="R402" s="2" t="inlineStr"/>
    </row>
    <row r="403" ht="15" customHeight="1">
      <c r="A403" t="inlineStr">
        <is>
          <t>A 36403-2023</t>
        </is>
      </c>
      <c r="B403" s="1" t="n">
        <v>45152</v>
      </c>
      <c r="C403" s="1" t="n">
        <v>45588</v>
      </c>
      <c r="D403" t="inlineStr">
        <is>
          <t>NORRBOTTENS LÄN</t>
        </is>
      </c>
      <c r="E403" t="inlineStr">
        <is>
          <t>ARVIDSJAUR</t>
        </is>
      </c>
      <c r="F403" t="inlineStr">
        <is>
          <t>Sveaskog</t>
        </is>
      </c>
      <c r="G403" t="n">
        <v>5.6</v>
      </c>
      <c r="H403" t="n">
        <v>0</v>
      </c>
      <c r="I403" t="n">
        <v>0</v>
      </c>
      <c r="J403" t="n">
        <v>0</v>
      </c>
      <c r="K403" t="n">
        <v>0</v>
      </c>
      <c r="L403" t="n">
        <v>0</v>
      </c>
      <c r="M403" t="n">
        <v>0</v>
      </c>
      <c r="N403" t="n">
        <v>0</v>
      </c>
      <c r="O403" t="n">
        <v>0</v>
      </c>
      <c r="P403" t="n">
        <v>0</v>
      </c>
      <c r="Q403" t="n">
        <v>0</v>
      </c>
      <c r="R403" s="2" t="inlineStr"/>
    </row>
    <row r="404" ht="15" customHeight="1">
      <c r="A404" t="inlineStr">
        <is>
          <t>A 36443-2023</t>
        </is>
      </c>
      <c r="B404" s="1" t="n">
        <v>45152</v>
      </c>
      <c r="C404" s="1" t="n">
        <v>45588</v>
      </c>
      <c r="D404" t="inlineStr">
        <is>
          <t>NORRBOTTENS LÄN</t>
        </is>
      </c>
      <c r="E404" t="inlineStr">
        <is>
          <t>ARVIDSJAUR</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36664-2023</t>
        </is>
      </c>
      <c r="B405" s="1" t="n">
        <v>45153</v>
      </c>
      <c r="C405" s="1" t="n">
        <v>45588</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45588</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37041-2023</t>
        </is>
      </c>
      <c r="B407" s="1" t="n">
        <v>45155</v>
      </c>
      <c r="C407" s="1" t="n">
        <v>45588</v>
      </c>
      <c r="D407" t="inlineStr">
        <is>
          <t>NORRBOTTENS LÄN</t>
        </is>
      </c>
      <c r="E407" t="inlineStr">
        <is>
          <t>ARVIDSJAUR</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37039-2023</t>
        </is>
      </c>
      <c r="B408" s="1" t="n">
        <v>45155</v>
      </c>
      <c r="C408" s="1" t="n">
        <v>45588</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39328-2023</t>
        </is>
      </c>
      <c r="B409" s="1" t="n">
        <v>45166</v>
      </c>
      <c r="C409" s="1" t="n">
        <v>45588</v>
      </c>
      <c r="D409" t="inlineStr">
        <is>
          <t>NORRBOTTENS LÄN</t>
        </is>
      </c>
      <c r="E409" t="inlineStr">
        <is>
          <t>ARVIDSJAUR</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39845-2023</t>
        </is>
      </c>
      <c r="B410" s="1" t="n">
        <v>45166</v>
      </c>
      <c r="C410" s="1" t="n">
        <v>45588</v>
      </c>
      <c r="D410" t="inlineStr">
        <is>
          <t>NORRBOTTENS LÄN</t>
        </is>
      </c>
      <c r="E410" t="inlineStr">
        <is>
          <t>ARVIDSJAUR</t>
        </is>
      </c>
      <c r="G410" t="n">
        <v>1.1</v>
      </c>
      <c r="H410" t="n">
        <v>0</v>
      </c>
      <c r="I410" t="n">
        <v>0</v>
      </c>
      <c r="J410" t="n">
        <v>0</v>
      </c>
      <c r="K410" t="n">
        <v>0</v>
      </c>
      <c r="L410" t="n">
        <v>0</v>
      </c>
      <c r="M410" t="n">
        <v>0</v>
      </c>
      <c r="N410" t="n">
        <v>0</v>
      </c>
      <c r="O410" t="n">
        <v>0</v>
      </c>
      <c r="P410" t="n">
        <v>0</v>
      </c>
      <c r="Q410" t="n">
        <v>0</v>
      </c>
      <c r="R410" s="2" t="inlineStr"/>
    </row>
    <row r="411" ht="15" customHeight="1">
      <c r="A411" t="inlineStr">
        <is>
          <t>A 39591-2023</t>
        </is>
      </c>
      <c r="B411" s="1" t="n">
        <v>45167</v>
      </c>
      <c r="C411" s="1" t="n">
        <v>45588</v>
      </c>
      <c r="D411" t="inlineStr">
        <is>
          <t>NORRBOTTENS LÄN</t>
        </is>
      </c>
      <c r="E411" t="inlineStr">
        <is>
          <t>ARVIDSJAUR</t>
        </is>
      </c>
      <c r="F411" t="inlineStr">
        <is>
          <t>Sveaskog</t>
        </is>
      </c>
      <c r="G411" t="n">
        <v>3.6</v>
      </c>
      <c r="H411" t="n">
        <v>0</v>
      </c>
      <c r="I411" t="n">
        <v>0</v>
      </c>
      <c r="J411" t="n">
        <v>0</v>
      </c>
      <c r="K411" t="n">
        <v>0</v>
      </c>
      <c r="L411" t="n">
        <v>0</v>
      </c>
      <c r="M411" t="n">
        <v>0</v>
      </c>
      <c r="N411" t="n">
        <v>0</v>
      </c>
      <c r="O411" t="n">
        <v>0</v>
      </c>
      <c r="P411" t="n">
        <v>0</v>
      </c>
      <c r="Q411" t="n">
        <v>0</v>
      </c>
      <c r="R411" s="2" t="inlineStr"/>
    </row>
    <row r="412" ht="15" customHeight="1">
      <c r="A412" t="inlineStr">
        <is>
          <t>A 40937-2023</t>
        </is>
      </c>
      <c r="B412" s="1" t="n">
        <v>45173</v>
      </c>
      <c r="C412" s="1" t="n">
        <v>45588</v>
      </c>
      <c r="D412" t="inlineStr">
        <is>
          <t>NORRBOTTENS LÄN</t>
        </is>
      </c>
      <c r="E412" t="inlineStr">
        <is>
          <t>ARVIDSJAUR</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42687-2023</t>
        </is>
      </c>
      <c r="B413" s="1" t="n">
        <v>45176</v>
      </c>
      <c r="C413" s="1" t="n">
        <v>45588</v>
      </c>
      <c r="D413" t="inlineStr">
        <is>
          <t>NORRBOTTENS LÄN</t>
        </is>
      </c>
      <c r="E413" t="inlineStr">
        <is>
          <t>ARVIDSJAUR</t>
        </is>
      </c>
      <c r="G413" t="n">
        <v>2.2</v>
      </c>
      <c r="H413" t="n">
        <v>0</v>
      </c>
      <c r="I413" t="n">
        <v>0</v>
      </c>
      <c r="J413" t="n">
        <v>0</v>
      </c>
      <c r="K413" t="n">
        <v>0</v>
      </c>
      <c r="L413" t="n">
        <v>0</v>
      </c>
      <c r="M413" t="n">
        <v>0</v>
      </c>
      <c r="N413" t="n">
        <v>0</v>
      </c>
      <c r="O413" t="n">
        <v>0</v>
      </c>
      <c r="P413" t="n">
        <v>0</v>
      </c>
      <c r="Q413" t="n">
        <v>0</v>
      </c>
      <c r="R413" s="2" t="inlineStr"/>
    </row>
    <row r="414" ht="15" customHeight="1">
      <c r="A414" t="inlineStr">
        <is>
          <t>A 42633-2023</t>
        </is>
      </c>
      <c r="B414" s="1" t="n">
        <v>45176</v>
      </c>
      <c r="C414" s="1" t="n">
        <v>45588</v>
      </c>
      <c r="D414" t="inlineStr">
        <is>
          <t>NORRBOTTENS LÄN</t>
        </is>
      </c>
      <c r="E414" t="inlineStr">
        <is>
          <t>ARVIDSJAUR</t>
        </is>
      </c>
      <c r="G414" t="n">
        <v>2.5</v>
      </c>
      <c r="H414" t="n">
        <v>0</v>
      </c>
      <c r="I414" t="n">
        <v>0</v>
      </c>
      <c r="J414" t="n">
        <v>0</v>
      </c>
      <c r="K414" t="n">
        <v>0</v>
      </c>
      <c r="L414" t="n">
        <v>0</v>
      </c>
      <c r="M414" t="n">
        <v>0</v>
      </c>
      <c r="N414" t="n">
        <v>0</v>
      </c>
      <c r="O414" t="n">
        <v>0</v>
      </c>
      <c r="P414" t="n">
        <v>0</v>
      </c>
      <c r="Q414" t="n">
        <v>0</v>
      </c>
      <c r="R414" s="2" t="inlineStr"/>
    </row>
    <row r="415" ht="15" customHeight="1">
      <c r="A415" t="inlineStr">
        <is>
          <t>A 42683-2023</t>
        </is>
      </c>
      <c r="B415" s="1" t="n">
        <v>45176</v>
      </c>
      <c r="C415" s="1" t="n">
        <v>45588</v>
      </c>
      <c r="D415" t="inlineStr">
        <is>
          <t>NORRBOTTENS LÄN</t>
        </is>
      </c>
      <c r="E415" t="inlineStr">
        <is>
          <t>ARVIDSJAUR</t>
        </is>
      </c>
      <c r="G415" t="n">
        <v>0.7</v>
      </c>
      <c r="H415" t="n">
        <v>0</v>
      </c>
      <c r="I415" t="n">
        <v>0</v>
      </c>
      <c r="J415" t="n">
        <v>0</v>
      </c>
      <c r="K415" t="n">
        <v>0</v>
      </c>
      <c r="L415" t="n">
        <v>0</v>
      </c>
      <c r="M415" t="n">
        <v>0</v>
      </c>
      <c r="N415" t="n">
        <v>0</v>
      </c>
      <c r="O415" t="n">
        <v>0</v>
      </c>
      <c r="P415" t="n">
        <v>0</v>
      </c>
      <c r="Q415" t="n">
        <v>0</v>
      </c>
      <c r="R415" s="2" t="inlineStr"/>
    </row>
    <row r="416" ht="15" customHeight="1">
      <c r="A416" t="inlineStr">
        <is>
          <t>A 42695-2023</t>
        </is>
      </c>
      <c r="B416" s="1" t="n">
        <v>45176</v>
      </c>
      <c r="C416" s="1" t="n">
        <v>45588</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42798-2023</t>
        </is>
      </c>
      <c r="B417" s="1" t="n">
        <v>45182</v>
      </c>
      <c r="C417" s="1" t="n">
        <v>45588</v>
      </c>
      <c r="D417" t="inlineStr">
        <is>
          <t>NORRBOTTENS LÄN</t>
        </is>
      </c>
      <c r="E417" t="inlineStr">
        <is>
          <t>ARVIDSJAUR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43847-2023</t>
        </is>
      </c>
      <c r="B418" s="1" t="n">
        <v>45182</v>
      </c>
      <c r="C418" s="1" t="n">
        <v>45588</v>
      </c>
      <c r="D418" t="inlineStr">
        <is>
          <t>NORRBOTTENS LÄN</t>
        </is>
      </c>
      <c r="E418" t="inlineStr">
        <is>
          <t>ARVIDSJAUR</t>
        </is>
      </c>
      <c r="G418" t="n">
        <v>3.9</v>
      </c>
      <c r="H418" t="n">
        <v>0</v>
      </c>
      <c r="I418" t="n">
        <v>0</v>
      </c>
      <c r="J418" t="n">
        <v>0</v>
      </c>
      <c r="K418" t="n">
        <v>0</v>
      </c>
      <c r="L418" t="n">
        <v>0</v>
      </c>
      <c r="M418" t="n">
        <v>0</v>
      </c>
      <c r="N418" t="n">
        <v>0</v>
      </c>
      <c r="O418" t="n">
        <v>0</v>
      </c>
      <c r="P418" t="n">
        <v>0</v>
      </c>
      <c r="Q418" t="n">
        <v>0</v>
      </c>
      <c r="R418" s="2" t="inlineStr"/>
    </row>
    <row r="419" ht="15" customHeight="1">
      <c r="A419" t="inlineStr">
        <is>
          <t>A 43850-2023</t>
        </is>
      </c>
      <c r="B419" s="1" t="n">
        <v>45182</v>
      </c>
      <c r="C419" s="1" t="n">
        <v>45588</v>
      </c>
      <c r="D419" t="inlineStr">
        <is>
          <t>NORRBOTTENS LÄN</t>
        </is>
      </c>
      <c r="E419" t="inlineStr">
        <is>
          <t>ARVIDSJAUR</t>
        </is>
      </c>
      <c r="G419" t="n">
        <v>4.3</v>
      </c>
      <c r="H419" t="n">
        <v>0</v>
      </c>
      <c r="I419" t="n">
        <v>0</v>
      </c>
      <c r="J419" t="n">
        <v>0</v>
      </c>
      <c r="K419" t="n">
        <v>0</v>
      </c>
      <c r="L419" t="n">
        <v>0</v>
      </c>
      <c r="M419" t="n">
        <v>0</v>
      </c>
      <c r="N419" t="n">
        <v>0</v>
      </c>
      <c r="O419" t="n">
        <v>0</v>
      </c>
      <c r="P419" t="n">
        <v>0</v>
      </c>
      <c r="Q419" t="n">
        <v>0</v>
      </c>
      <c r="R419" s="2" t="inlineStr"/>
    </row>
    <row r="420" ht="15" customHeight="1">
      <c r="A420" t="inlineStr">
        <is>
          <t>A 43842-2023</t>
        </is>
      </c>
      <c r="B420" s="1" t="n">
        <v>45182</v>
      </c>
      <c r="C420" s="1" t="n">
        <v>45588</v>
      </c>
      <c r="D420" t="inlineStr">
        <is>
          <t>NORRBOTTENS LÄN</t>
        </is>
      </c>
      <c r="E420" t="inlineStr">
        <is>
          <t>ARVIDSJAUR</t>
        </is>
      </c>
      <c r="G420" t="n">
        <v>5.6</v>
      </c>
      <c r="H420" t="n">
        <v>0</v>
      </c>
      <c r="I420" t="n">
        <v>0</v>
      </c>
      <c r="J420" t="n">
        <v>0</v>
      </c>
      <c r="K420" t="n">
        <v>0</v>
      </c>
      <c r="L420" t="n">
        <v>0</v>
      </c>
      <c r="M420" t="n">
        <v>0</v>
      </c>
      <c r="N420" t="n">
        <v>0</v>
      </c>
      <c r="O420" t="n">
        <v>0</v>
      </c>
      <c r="P420" t="n">
        <v>0</v>
      </c>
      <c r="Q420" t="n">
        <v>0</v>
      </c>
      <c r="R420" s="2" t="inlineStr"/>
    </row>
    <row r="421" ht="15" customHeight="1">
      <c r="A421" t="inlineStr">
        <is>
          <t>A 44179-2023</t>
        </is>
      </c>
      <c r="B421" s="1" t="n">
        <v>45188</v>
      </c>
      <c r="C421" s="1" t="n">
        <v>45588</v>
      </c>
      <c r="D421" t="inlineStr">
        <is>
          <t>NORRBOTTENS LÄN</t>
        </is>
      </c>
      <c r="E421" t="inlineStr">
        <is>
          <t>ARVIDSJAUR</t>
        </is>
      </c>
      <c r="F421" t="inlineStr">
        <is>
          <t>Sveaskog</t>
        </is>
      </c>
      <c r="G421" t="n">
        <v>7.3</v>
      </c>
      <c r="H421" t="n">
        <v>0</v>
      </c>
      <c r="I421" t="n">
        <v>0</v>
      </c>
      <c r="J421" t="n">
        <v>0</v>
      </c>
      <c r="K421" t="n">
        <v>0</v>
      </c>
      <c r="L421" t="n">
        <v>0</v>
      </c>
      <c r="M421" t="n">
        <v>0</v>
      </c>
      <c r="N421" t="n">
        <v>0</v>
      </c>
      <c r="O421" t="n">
        <v>0</v>
      </c>
      <c r="P421" t="n">
        <v>0</v>
      </c>
      <c r="Q421" t="n">
        <v>0</v>
      </c>
      <c r="R421" s="2" t="inlineStr"/>
    </row>
    <row r="422" ht="15" customHeight="1">
      <c r="A422" t="inlineStr">
        <is>
          <t>A 44557-2023</t>
        </is>
      </c>
      <c r="B422" s="1" t="n">
        <v>45189</v>
      </c>
      <c r="C422" s="1" t="n">
        <v>45588</v>
      </c>
      <c r="D422" t="inlineStr">
        <is>
          <t>NORRBOTTENS LÄN</t>
        </is>
      </c>
      <c r="E422" t="inlineStr">
        <is>
          <t>ARVIDSJAUR</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45778-2023</t>
        </is>
      </c>
      <c r="B423" s="1" t="n">
        <v>45189</v>
      </c>
      <c r="C423" s="1" t="n">
        <v>45588</v>
      </c>
      <c r="D423" t="inlineStr">
        <is>
          <t>NORRBOTTENS LÄN</t>
        </is>
      </c>
      <c r="E423" t="inlineStr">
        <is>
          <t>ARVIDSJAUR</t>
        </is>
      </c>
      <c r="G423" t="n">
        <v>7.9</v>
      </c>
      <c r="H423" t="n">
        <v>0</v>
      </c>
      <c r="I423" t="n">
        <v>0</v>
      </c>
      <c r="J423" t="n">
        <v>0</v>
      </c>
      <c r="K423" t="n">
        <v>0</v>
      </c>
      <c r="L423" t="n">
        <v>0</v>
      </c>
      <c r="M423" t="n">
        <v>0</v>
      </c>
      <c r="N423" t="n">
        <v>0</v>
      </c>
      <c r="O423" t="n">
        <v>0</v>
      </c>
      <c r="P423" t="n">
        <v>0</v>
      </c>
      <c r="Q423" t="n">
        <v>0</v>
      </c>
      <c r="R423" s="2" t="inlineStr"/>
    </row>
    <row r="424" ht="15" customHeight="1">
      <c r="A424" t="inlineStr">
        <is>
          <t>A 45757-2023</t>
        </is>
      </c>
      <c r="B424" s="1" t="n">
        <v>45189</v>
      </c>
      <c r="C424" s="1" t="n">
        <v>45588</v>
      </c>
      <c r="D424" t="inlineStr">
        <is>
          <t>NORRBOTTENS LÄN</t>
        </is>
      </c>
      <c r="E424" t="inlineStr">
        <is>
          <t>ARVIDSJAUR</t>
        </is>
      </c>
      <c r="G424" t="n">
        <v>7.8</v>
      </c>
      <c r="H424" t="n">
        <v>0</v>
      </c>
      <c r="I424" t="n">
        <v>0</v>
      </c>
      <c r="J424" t="n">
        <v>0</v>
      </c>
      <c r="K424" t="n">
        <v>0</v>
      </c>
      <c r="L424" t="n">
        <v>0</v>
      </c>
      <c r="M424" t="n">
        <v>0</v>
      </c>
      <c r="N424" t="n">
        <v>0</v>
      </c>
      <c r="O424" t="n">
        <v>0</v>
      </c>
      <c r="P424" t="n">
        <v>0</v>
      </c>
      <c r="Q424" t="n">
        <v>0</v>
      </c>
      <c r="R424" s="2" t="inlineStr"/>
    </row>
    <row r="425" ht="15" customHeight="1">
      <c r="A425" t="inlineStr">
        <is>
          <t>A 45100-2023</t>
        </is>
      </c>
      <c r="B425" s="1" t="n">
        <v>45191</v>
      </c>
      <c r="C425" s="1" t="n">
        <v>45588</v>
      </c>
      <c r="D425" t="inlineStr">
        <is>
          <t>NORRBOTTENS LÄN</t>
        </is>
      </c>
      <c r="E425" t="inlineStr">
        <is>
          <t>ARVIDSJAUR</t>
        </is>
      </c>
      <c r="G425" t="n">
        <v>8.4</v>
      </c>
      <c r="H425" t="n">
        <v>0</v>
      </c>
      <c r="I425" t="n">
        <v>0</v>
      </c>
      <c r="J425" t="n">
        <v>0</v>
      </c>
      <c r="K425" t="n">
        <v>0</v>
      </c>
      <c r="L425" t="n">
        <v>0</v>
      </c>
      <c r="M425" t="n">
        <v>0</v>
      </c>
      <c r="N425" t="n">
        <v>0</v>
      </c>
      <c r="O425" t="n">
        <v>0</v>
      </c>
      <c r="P425" t="n">
        <v>0</v>
      </c>
      <c r="Q425" t="n">
        <v>0</v>
      </c>
      <c r="R425" s="2" t="inlineStr"/>
    </row>
    <row r="426" ht="15" customHeight="1">
      <c r="A426" t="inlineStr">
        <is>
          <t>A 45034-2023</t>
        </is>
      </c>
      <c r="B426" s="1" t="n">
        <v>45191</v>
      </c>
      <c r="C426" s="1" t="n">
        <v>45588</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45962-2023</t>
        </is>
      </c>
      <c r="B427" s="1" t="n">
        <v>45195</v>
      </c>
      <c r="C427" s="1" t="n">
        <v>45588</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45961-2023</t>
        </is>
      </c>
      <c r="B428" s="1" t="n">
        <v>45195</v>
      </c>
      <c r="C428" s="1" t="n">
        <v>45588</v>
      </c>
      <c r="D428" t="inlineStr">
        <is>
          <t>NORRBOTTENS LÄN</t>
        </is>
      </c>
      <c r="E428" t="inlineStr">
        <is>
          <t>ARVIDSJAUR</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45960-2023</t>
        </is>
      </c>
      <c r="B429" s="1" t="n">
        <v>45195</v>
      </c>
      <c r="C429" s="1" t="n">
        <v>45588</v>
      </c>
      <c r="D429" t="inlineStr">
        <is>
          <t>NORRBOTTENS LÄN</t>
        </is>
      </c>
      <c r="E429" t="inlineStr">
        <is>
          <t>ARVIDSJAUR</t>
        </is>
      </c>
      <c r="F429" t="inlineStr">
        <is>
          <t>SCA</t>
        </is>
      </c>
      <c r="G429" t="n">
        <v>12.3</v>
      </c>
      <c r="H429" t="n">
        <v>0</v>
      </c>
      <c r="I429" t="n">
        <v>0</v>
      </c>
      <c r="J429" t="n">
        <v>0</v>
      </c>
      <c r="K429" t="n">
        <v>0</v>
      </c>
      <c r="L429" t="n">
        <v>0</v>
      </c>
      <c r="M429" t="n">
        <v>0</v>
      </c>
      <c r="N429" t="n">
        <v>0</v>
      </c>
      <c r="O429" t="n">
        <v>0</v>
      </c>
      <c r="P429" t="n">
        <v>0</v>
      </c>
      <c r="Q429" t="n">
        <v>0</v>
      </c>
      <c r="R429" s="2" t="inlineStr"/>
    </row>
    <row r="430" ht="15" customHeight="1">
      <c r="A430" t="inlineStr">
        <is>
          <t>A 48291-2023</t>
        </is>
      </c>
      <c r="B430" s="1" t="n">
        <v>45201</v>
      </c>
      <c r="C430" s="1" t="n">
        <v>45588</v>
      </c>
      <c r="D430" t="inlineStr">
        <is>
          <t>NORRBOTTENS LÄN</t>
        </is>
      </c>
      <c r="E430" t="inlineStr">
        <is>
          <t>ARVIDSJAUR</t>
        </is>
      </c>
      <c r="G430" t="n">
        <v>0.9</v>
      </c>
      <c r="H430" t="n">
        <v>0</v>
      </c>
      <c r="I430" t="n">
        <v>0</v>
      </c>
      <c r="J430" t="n">
        <v>0</v>
      </c>
      <c r="K430" t="n">
        <v>0</v>
      </c>
      <c r="L430" t="n">
        <v>0</v>
      </c>
      <c r="M430" t="n">
        <v>0</v>
      </c>
      <c r="N430" t="n">
        <v>0</v>
      </c>
      <c r="O430" t="n">
        <v>0</v>
      </c>
      <c r="P430" t="n">
        <v>0</v>
      </c>
      <c r="Q430" t="n">
        <v>0</v>
      </c>
      <c r="R430" s="2" t="inlineStr"/>
    </row>
    <row r="431" ht="15" customHeight="1">
      <c r="A431" t="inlineStr">
        <is>
          <t>A 48250-2023</t>
        </is>
      </c>
      <c r="B431" s="1" t="n">
        <v>45205</v>
      </c>
      <c r="C431" s="1" t="n">
        <v>45588</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49734-2023</t>
        </is>
      </c>
      <c r="B432" s="1" t="n">
        <v>45208</v>
      </c>
      <c r="C432" s="1" t="n">
        <v>45588</v>
      </c>
      <c r="D432" t="inlineStr">
        <is>
          <t>NORRBOTTENS LÄN</t>
        </is>
      </c>
      <c r="E432" t="inlineStr">
        <is>
          <t>ARVIDSJAUR</t>
        </is>
      </c>
      <c r="G432" t="n">
        <v>6.3</v>
      </c>
      <c r="H432" t="n">
        <v>0</v>
      </c>
      <c r="I432" t="n">
        <v>0</v>
      </c>
      <c r="J432" t="n">
        <v>0</v>
      </c>
      <c r="K432" t="n">
        <v>0</v>
      </c>
      <c r="L432" t="n">
        <v>0</v>
      </c>
      <c r="M432" t="n">
        <v>0</v>
      </c>
      <c r="N432" t="n">
        <v>0</v>
      </c>
      <c r="O432" t="n">
        <v>0</v>
      </c>
      <c r="P432" t="n">
        <v>0</v>
      </c>
      <c r="Q432" t="n">
        <v>0</v>
      </c>
      <c r="R432" s="2" t="inlineStr"/>
    </row>
    <row r="433" ht="15" customHeight="1">
      <c r="A433" t="inlineStr">
        <is>
          <t>A 49737-2023</t>
        </is>
      </c>
      <c r="B433" s="1" t="n">
        <v>45208</v>
      </c>
      <c r="C433" s="1" t="n">
        <v>45588</v>
      </c>
      <c r="D433" t="inlineStr">
        <is>
          <t>NORRBOTTENS LÄN</t>
        </is>
      </c>
      <c r="E433" t="inlineStr">
        <is>
          <t>ARVIDSJAUR</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49103-2023</t>
        </is>
      </c>
      <c r="B434" s="1" t="n">
        <v>45210</v>
      </c>
      <c r="C434" s="1" t="n">
        <v>45588</v>
      </c>
      <c r="D434" t="inlineStr">
        <is>
          <t>NORRBOTTENS LÄN</t>
        </is>
      </c>
      <c r="E434" t="inlineStr">
        <is>
          <t>ARVIDSJAUR</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50731-2023</t>
        </is>
      </c>
      <c r="B435" s="1" t="n">
        <v>45210</v>
      </c>
      <c r="C435" s="1" t="n">
        <v>45588</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51627-2023</t>
        </is>
      </c>
      <c r="B436" s="1" t="n">
        <v>45222</v>
      </c>
      <c r="C436" s="1" t="n">
        <v>45588</v>
      </c>
      <c r="D436" t="inlineStr">
        <is>
          <t>NORRBOTTENS LÄN</t>
        </is>
      </c>
      <c r="E436" t="inlineStr">
        <is>
          <t>ARVIDSJAUR</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51631-2023</t>
        </is>
      </c>
      <c r="B437" s="1" t="n">
        <v>45222</v>
      </c>
      <c r="C437" s="1" t="n">
        <v>45588</v>
      </c>
      <c r="D437" t="inlineStr">
        <is>
          <t>NORRBOTTENS LÄN</t>
        </is>
      </c>
      <c r="E437" t="inlineStr">
        <is>
          <t>ARVIDSJAUR</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51629-2023</t>
        </is>
      </c>
      <c r="B438" s="1" t="n">
        <v>45222</v>
      </c>
      <c r="C438" s="1" t="n">
        <v>45588</v>
      </c>
      <c r="D438" t="inlineStr">
        <is>
          <t>NORRBOTTENS LÄN</t>
        </is>
      </c>
      <c r="E438" t="inlineStr">
        <is>
          <t>ARVIDSJAUR</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53271-2023</t>
        </is>
      </c>
      <c r="B439" s="1" t="n">
        <v>45222</v>
      </c>
      <c r="C439" s="1" t="n">
        <v>45588</v>
      </c>
      <c r="D439" t="inlineStr">
        <is>
          <t>NORRBOTTENS LÄN</t>
        </is>
      </c>
      <c r="E439" t="inlineStr">
        <is>
          <t>ARVIDSJAUR</t>
        </is>
      </c>
      <c r="G439" t="n">
        <v>4.3</v>
      </c>
      <c r="H439" t="n">
        <v>0</v>
      </c>
      <c r="I439" t="n">
        <v>0</v>
      </c>
      <c r="J439" t="n">
        <v>0</v>
      </c>
      <c r="K439" t="n">
        <v>0</v>
      </c>
      <c r="L439" t="n">
        <v>0</v>
      </c>
      <c r="M439" t="n">
        <v>0</v>
      </c>
      <c r="N439" t="n">
        <v>0</v>
      </c>
      <c r="O439" t="n">
        <v>0</v>
      </c>
      <c r="P439" t="n">
        <v>0</v>
      </c>
      <c r="Q439" t="n">
        <v>0</v>
      </c>
      <c r="R439" s="2" t="inlineStr"/>
    </row>
    <row r="440" ht="15" customHeight="1">
      <c r="A440" t="inlineStr">
        <is>
          <t>A 52642-2023</t>
        </is>
      </c>
      <c r="B440" s="1" t="n">
        <v>45225</v>
      </c>
      <c r="C440" s="1" t="n">
        <v>45588</v>
      </c>
      <c r="D440" t="inlineStr">
        <is>
          <t>NORRBOTTENS LÄN</t>
        </is>
      </c>
      <c r="E440" t="inlineStr">
        <is>
          <t>ARVIDSJAUR</t>
        </is>
      </c>
      <c r="G440" t="n">
        <v>0.9</v>
      </c>
      <c r="H440" t="n">
        <v>0</v>
      </c>
      <c r="I440" t="n">
        <v>0</v>
      </c>
      <c r="J440" t="n">
        <v>0</v>
      </c>
      <c r="K440" t="n">
        <v>0</v>
      </c>
      <c r="L440" t="n">
        <v>0</v>
      </c>
      <c r="M440" t="n">
        <v>0</v>
      </c>
      <c r="N440" t="n">
        <v>0</v>
      </c>
      <c r="O440" t="n">
        <v>0</v>
      </c>
      <c r="P440" t="n">
        <v>0</v>
      </c>
      <c r="Q440" t="n">
        <v>0</v>
      </c>
      <c r="R440" s="2" t="inlineStr"/>
    </row>
    <row r="441" ht="15" customHeight="1">
      <c r="A441" t="inlineStr">
        <is>
          <t>A 52649-2023</t>
        </is>
      </c>
      <c r="B441" s="1" t="n">
        <v>45225</v>
      </c>
      <c r="C441" s="1" t="n">
        <v>45588</v>
      </c>
      <c r="D441" t="inlineStr">
        <is>
          <t>NORRBOTTENS LÄN</t>
        </is>
      </c>
      <c r="E441" t="inlineStr">
        <is>
          <t>ARVIDSJAUR</t>
        </is>
      </c>
      <c r="G441" t="n">
        <v>1.9</v>
      </c>
      <c r="H441" t="n">
        <v>0</v>
      </c>
      <c r="I441" t="n">
        <v>0</v>
      </c>
      <c r="J441" t="n">
        <v>0</v>
      </c>
      <c r="K441" t="n">
        <v>0</v>
      </c>
      <c r="L441" t="n">
        <v>0</v>
      </c>
      <c r="M441" t="n">
        <v>0</v>
      </c>
      <c r="N441" t="n">
        <v>0</v>
      </c>
      <c r="O441" t="n">
        <v>0</v>
      </c>
      <c r="P441" t="n">
        <v>0</v>
      </c>
      <c r="Q441" t="n">
        <v>0</v>
      </c>
      <c r="R441" s="2" t="inlineStr"/>
    </row>
    <row r="442" ht="15" customHeight="1">
      <c r="A442" t="inlineStr">
        <is>
          <t>A 52635-2023</t>
        </is>
      </c>
      <c r="B442" s="1" t="n">
        <v>45225</v>
      </c>
      <c r="C442" s="1" t="n">
        <v>45588</v>
      </c>
      <c r="D442" t="inlineStr">
        <is>
          <t>NORRBOTTENS LÄN</t>
        </is>
      </c>
      <c r="E442" t="inlineStr">
        <is>
          <t>ARVIDSJAUR</t>
        </is>
      </c>
      <c r="G442" t="n">
        <v>4.3</v>
      </c>
      <c r="H442" t="n">
        <v>0</v>
      </c>
      <c r="I442" t="n">
        <v>0</v>
      </c>
      <c r="J442" t="n">
        <v>0</v>
      </c>
      <c r="K442" t="n">
        <v>0</v>
      </c>
      <c r="L442" t="n">
        <v>0</v>
      </c>
      <c r="M442" t="n">
        <v>0</v>
      </c>
      <c r="N442" t="n">
        <v>0</v>
      </c>
      <c r="O442" t="n">
        <v>0</v>
      </c>
      <c r="P442" t="n">
        <v>0</v>
      </c>
      <c r="Q442" t="n">
        <v>0</v>
      </c>
      <c r="R442" s="2" t="inlineStr"/>
    </row>
    <row r="443" ht="15" customHeight="1">
      <c r="A443" t="inlineStr">
        <is>
          <t>A 52640-2023</t>
        </is>
      </c>
      <c r="B443" s="1" t="n">
        <v>45225</v>
      </c>
      <c r="C443" s="1" t="n">
        <v>45588</v>
      </c>
      <c r="D443" t="inlineStr">
        <is>
          <t>NORRBOTTENS LÄN</t>
        </is>
      </c>
      <c r="E443" t="inlineStr">
        <is>
          <t>ARVIDSJAUR</t>
        </is>
      </c>
      <c r="G443" t="n">
        <v>2.2</v>
      </c>
      <c r="H443" t="n">
        <v>0</v>
      </c>
      <c r="I443" t="n">
        <v>0</v>
      </c>
      <c r="J443" t="n">
        <v>0</v>
      </c>
      <c r="K443" t="n">
        <v>0</v>
      </c>
      <c r="L443" t="n">
        <v>0</v>
      </c>
      <c r="M443" t="n">
        <v>0</v>
      </c>
      <c r="N443" t="n">
        <v>0</v>
      </c>
      <c r="O443" t="n">
        <v>0</v>
      </c>
      <c r="P443" t="n">
        <v>0</v>
      </c>
      <c r="Q443" t="n">
        <v>0</v>
      </c>
      <c r="R443" s="2" t="inlineStr"/>
    </row>
    <row r="444" ht="15" customHeight="1">
      <c r="A444" t="inlineStr">
        <is>
          <t>A 52645-2023</t>
        </is>
      </c>
      <c r="B444" s="1" t="n">
        <v>45225</v>
      </c>
      <c r="C444" s="1" t="n">
        <v>45588</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52638-2023</t>
        </is>
      </c>
      <c r="B445" s="1" t="n">
        <v>45225</v>
      </c>
      <c r="C445" s="1" t="n">
        <v>45588</v>
      </c>
      <c r="D445" t="inlineStr">
        <is>
          <t>NORRBOTTENS LÄN</t>
        </is>
      </c>
      <c r="E445" t="inlineStr">
        <is>
          <t>ARVIDSJAUR</t>
        </is>
      </c>
      <c r="G445" t="n">
        <v>7.1</v>
      </c>
      <c r="H445" t="n">
        <v>0</v>
      </c>
      <c r="I445" t="n">
        <v>0</v>
      </c>
      <c r="J445" t="n">
        <v>0</v>
      </c>
      <c r="K445" t="n">
        <v>0</v>
      </c>
      <c r="L445" t="n">
        <v>0</v>
      </c>
      <c r="M445" t="n">
        <v>0</v>
      </c>
      <c r="N445" t="n">
        <v>0</v>
      </c>
      <c r="O445" t="n">
        <v>0</v>
      </c>
      <c r="P445" t="n">
        <v>0</v>
      </c>
      <c r="Q445" t="n">
        <v>0</v>
      </c>
      <c r="R445" s="2" t="inlineStr"/>
    </row>
    <row r="446" ht="15" customHeight="1">
      <c r="A446" t="inlineStr">
        <is>
          <t>A 52644-2023</t>
        </is>
      </c>
      <c r="B446" s="1" t="n">
        <v>45225</v>
      </c>
      <c r="C446" s="1" t="n">
        <v>45588</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52646-2023</t>
        </is>
      </c>
      <c r="B447" s="1" t="n">
        <v>45225</v>
      </c>
      <c r="C447" s="1" t="n">
        <v>45588</v>
      </c>
      <c r="D447" t="inlineStr">
        <is>
          <t>NORRBOTTENS LÄN</t>
        </is>
      </c>
      <c r="E447" t="inlineStr">
        <is>
          <t>ARVIDSJAUR</t>
        </is>
      </c>
      <c r="G447" t="n">
        <v>1.2</v>
      </c>
      <c r="H447" t="n">
        <v>0</v>
      </c>
      <c r="I447" t="n">
        <v>0</v>
      </c>
      <c r="J447" t="n">
        <v>0</v>
      </c>
      <c r="K447" t="n">
        <v>0</v>
      </c>
      <c r="L447" t="n">
        <v>0</v>
      </c>
      <c r="M447" t="n">
        <v>0</v>
      </c>
      <c r="N447" t="n">
        <v>0</v>
      </c>
      <c r="O447" t="n">
        <v>0</v>
      </c>
      <c r="P447" t="n">
        <v>0</v>
      </c>
      <c r="Q447" t="n">
        <v>0</v>
      </c>
      <c r="R447" s="2" t="inlineStr"/>
    </row>
    <row r="448" ht="15" customHeight="1">
      <c r="A448" t="inlineStr">
        <is>
          <t>A 52650-2023</t>
        </is>
      </c>
      <c r="B448" s="1" t="n">
        <v>45225</v>
      </c>
      <c r="C448" s="1" t="n">
        <v>45588</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54311-2023</t>
        </is>
      </c>
      <c r="B449" s="1" t="n">
        <v>45225</v>
      </c>
      <c r="C449" s="1" t="n">
        <v>45588</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54524-2023</t>
        </is>
      </c>
      <c r="B450" s="1" t="n">
        <v>45226</v>
      </c>
      <c r="C450" s="1" t="n">
        <v>45588</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54529-2023</t>
        </is>
      </c>
      <c r="B451" s="1" t="n">
        <v>45226</v>
      </c>
      <c r="C451" s="1" t="n">
        <v>45588</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54521-2023</t>
        </is>
      </c>
      <c r="B452" s="1" t="n">
        <v>45226</v>
      </c>
      <c r="C452" s="1" t="n">
        <v>45588</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53535-2023</t>
        </is>
      </c>
      <c r="B453" s="1" t="n">
        <v>45230</v>
      </c>
      <c r="C453" s="1" t="n">
        <v>45588</v>
      </c>
      <c r="D453" t="inlineStr">
        <is>
          <t>NORRBOTTENS LÄN</t>
        </is>
      </c>
      <c r="E453" t="inlineStr">
        <is>
          <t>ARVIDSJAUR</t>
        </is>
      </c>
      <c r="F453" t="inlineStr">
        <is>
          <t>Sveaskog</t>
        </is>
      </c>
      <c r="G453" t="n">
        <v>3.8</v>
      </c>
      <c r="H453" t="n">
        <v>0</v>
      </c>
      <c r="I453" t="n">
        <v>0</v>
      </c>
      <c r="J453" t="n">
        <v>0</v>
      </c>
      <c r="K453" t="n">
        <v>0</v>
      </c>
      <c r="L453" t="n">
        <v>0</v>
      </c>
      <c r="M453" t="n">
        <v>0</v>
      </c>
      <c r="N453" t="n">
        <v>0</v>
      </c>
      <c r="O453" t="n">
        <v>0</v>
      </c>
      <c r="P453" t="n">
        <v>0</v>
      </c>
      <c r="Q453" t="n">
        <v>0</v>
      </c>
      <c r="R453" s="2" t="inlineStr"/>
    </row>
    <row r="454" ht="15" customHeight="1">
      <c r="A454" t="inlineStr">
        <is>
          <t>A 53534-2023</t>
        </is>
      </c>
      <c r="B454" s="1" t="n">
        <v>45230</v>
      </c>
      <c r="C454" s="1" t="n">
        <v>45588</v>
      </c>
      <c r="D454" t="inlineStr">
        <is>
          <t>NORRBOTTENS LÄN</t>
        </is>
      </c>
      <c r="E454" t="inlineStr">
        <is>
          <t>ARVIDSJAUR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55568-2023</t>
        </is>
      </c>
      <c r="B455" s="1" t="n">
        <v>45232</v>
      </c>
      <c r="C455" s="1" t="n">
        <v>45588</v>
      </c>
      <c r="D455" t="inlineStr">
        <is>
          <t>NORRBOTTENS LÄN</t>
        </is>
      </c>
      <c r="E455" t="inlineStr">
        <is>
          <t>ARVIDSJAUR</t>
        </is>
      </c>
      <c r="G455" t="n">
        <v>2.3</v>
      </c>
      <c r="H455" t="n">
        <v>0</v>
      </c>
      <c r="I455" t="n">
        <v>0</v>
      </c>
      <c r="J455" t="n">
        <v>0</v>
      </c>
      <c r="K455" t="n">
        <v>0</v>
      </c>
      <c r="L455" t="n">
        <v>0</v>
      </c>
      <c r="M455" t="n">
        <v>0</v>
      </c>
      <c r="N455" t="n">
        <v>0</v>
      </c>
      <c r="O455" t="n">
        <v>0</v>
      </c>
      <c r="P455" t="n">
        <v>0</v>
      </c>
      <c r="Q455" t="n">
        <v>0</v>
      </c>
      <c r="R455" s="2" t="inlineStr"/>
    </row>
    <row r="456" ht="15" customHeight="1">
      <c r="A456" t="inlineStr">
        <is>
          <t>A 55564-2023</t>
        </is>
      </c>
      <c r="B456" s="1" t="n">
        <v>45232</v>
      </c>
      <c r="C456" s="1" t="n">
        <v>45588</v>
      </c>
      <c r="D456" t="inlineStr">
        <is>
          <t>NORRBOTTENS LÄN</t>
        </is>
      </c>
      <c r="E456" t="inlineStr">
        <is>
          <t>ARVIDSJAUR</t>
        </is>
      </c>
      <c r="G456" t="n">
        <v>4.6</v>
      </c>
      <c r="H456" t="n">
        <v>0</v>
      </c>
      <c r="I456" t="n">
        <v>0</v>
      </c>
      <c r="J456" t="n">
        <v>0</v>
      </c>
      <c r="K456" t="n">
        <v>0</v>
      </c>
      <c r="L456" t="n">
        <v>0</v>
      </c>
      <c r="M456" t="n">
        <v>0</v>
      </c>
      <c r="N456" t="n">
        <v>0</v>
      </c>
      <c r="O456" t="n">
        <v>0</v>
      </c>
      <c r="P456" t="n">
        <v>0</v>
      </c>
      <c r="Q456" t="n">
        <v>0</v>
      </c>
      <c r="R456" s="2" t="inlineStr"/>
    </row>
    <row r="457" ht="15" customHeight="1">
      <c r="A457" t="inlineStr">
        <is>
          <t>A 55577-2023</t>
        </is>
      </c>
      <c r="B457" s="1" t="n">
        <v>45232</v>
      </c>
      <c r="C457" s="1" t="n">
        <v>45588</v>
      </c>
      <c r="D457" t="inlineStr">
        <is>
          <t>NORRBOTTENS LÄN</t>
        </is>
      </c>
      <c r="E457" t="inlineStr">
        <is>
          <t>ARVIDSJAUR</t>
        </is>
      </c>
      <c r="G457" t="n">
        <v>2.9</v>
      </c>
      <c r="H457" t="n">
        <v>0</v>
      </c>
      <c r="I457" t="n">
        <v>0</v>
      </c>
      <c r="J457" t="n">
        <v>0</v>
      </c>
      <c r="K457" t="n">
        <v>0</v>
      </c>
      <c r="L457" t="n">
        <v>0</v>
      </c>
      <c r="M457" t="n">
        <v>0</v>
      </c>
      <c r="N457" t="n">
        <v>0</v>
      </c>
      <c r="O457" t="n">
        <v>0</v>
      </c>
      <c r="P457" t="n">
        <v>0</v>
      </c>
      <c r="Q457" t="n">
        <v>0</v>
      </c>
      <c r="R457" s="2" t="inlineStr"/>
    </row>
    <row r="458" ht="15" customHeight="1">
      <c r="A458" t="inlineStr">
        <is>
          <t>A 55557-2023</t>
        </is>
      </c>
      <c r="B458" s="1" t="n">
        <v>45232</v>
      </c>
      <c r="C458" s="1" t="n">
        <v>45588</v>
      </c>
      <c r="D458" t="inlineStr">
        <is>
          <t>NORRBOTTENS LÄN</t>
        </is>
      </c>
      <c r="E458" t="inlineStr">
        <is>
          <t>ARVIDSJAUR</t>
        </is>
      </c>
      <c r="G458" t="n">
        <v>6.3</v>
      </c>
      <c r="H458" t="n">
        <v>0</v>
      </c>
      <c r="I458" t="n">
        <v>0</v>
      </c>
      <c r="J458" t="n">
        <v>0</v>
      </c>
      <c r="K458" t="n">
        <v>0</v>
      </c>
      <c r="L458" t="n">
        <v>0</v>
      </c>
      <c r="M458" t="n">
        <v>0</v>
      </c>
      <c r="N458" t="n">
        <v>0</v>
      </c>
      <c r="O458" t="n">
        <v>0</v>
      </c>
      <c r="P458" t="n">
        <v>0</v>
      </c>
      <c r="Q458" t="n">
        <v>0</v>
      </c>
      <c r="R458" s="2" t="inlineStr"/>
    </row>
    <row r="459" ht="15" customHeight="1">
      <c r="A459" t="inlineStr">
        <is>
          <t>A 58010-2023</t>
        </is>
      </c>
      <c r="B459" s="1" t="n">
        <v>45244</v>
      </c>
      <c r="C459" s="1" t="n">
        <v>45588</v>
      </c>
      <c r="D459" t="inlineStr">
        <is>
          <t>NORRBOTTENS LÄN</t>
        </is>
      </c>
      <c r="E459" t="inlineStr">
        <is>
          <t>ARVIDSJAUR</t>
        </is>
      </c>
      <c r="G459" t="n">
        <v>3.3</v>
      </c>
      <c r="H459" t="n">
        <v>0</v>
      </c>
      <c r="I459" t="n">
        <v>0</v>
      </c>
      <c r="J459" t="n">
        <v>0</v>
      </c>
      <c r="K459" t="n">
        <v>0</v>
      </c>
      <c r="L459" t="n">
        <v>0</v>
      </c>
      <c r="M459" t="n">
        <v>0</v>
      </c>
      <c r="N459" t="n">
        <v>0</v>
      </c>
      <c r="O459" t="n">
        <v>0</v>
      </c>
      <c r="P459" t="n">
        <v>0</v>
      </c>
      <c r="Q459" t="n">
        <v>0</v>
      </c>
      <c r="R459" s="2" t="inlineStr"/>
    </row>
    <row r="460" ht="15" customHeight="1">
      <c r="A460" t="inlineStr">
        <is>
          <t>A 57988-2023</t>
        </is>
      </c>
      <c r="B460" s="1" t="n">
        <v>45244</v>
      </c>
      <c r="C460" s="1" t="n">
        <v>45588</v>
      </c>
      <c r="D460" t="inlineStr">
        <is>
          <t>NORRBOTTENS LÄN</t>
        </is>
      </c>
      <c r="E460" t="inlineStr">
        <is>
          <t>ARVIDSJAUR</t>
        </is>
      </c>
      <c r="G460" t="n">
        <v>1.7</v>
      </c>
      <c r="H460" t="n">
        <v>0</v>
      </c>
      <c r="I460" t="n">
        <v>0</v>
      </c>
      <c r="J460" t="n">
        <v>0</v>
      </c>
      <c r="K460" t="n">
        <v>0</v>
      </c>
      <c r="L460" t="n">
        <v>0</v>
      </c>
      <c r="M460" t="n">
        <v>0</v>
      </c>
      <c r="N460" t="n">
        <v>0</v>
      </c>
      <c r="O460" t="n">
        <v>0</v>
      </c>
      <c r="P460" t="n">
        <v>0</v>
      </c>
      <c r="Q460" t="n">
        <v>0</v>
      </c>
      <c r="R460" s="2" t="inlineStr"/>
    </row>
    <row r="461" ht="15" customHeight="1">
      <c r="A461" t="inlineStr">
        <is>
          <t>A 58006-2023</t>
        </is>
      </c>
      <c r="B461" s="1" t="n">
        <v>45244</v>
      </c>
      <c r="C461" s="1" t="n">
        <v>45588</v>
      </c>
      <c r="D461" t="inlineStr">
        <is>
          <t>NORRBOTTENS LÄN</t>
        </is>
      </c>
      <c r="E461" t="inlineStr">
        <is>
          <t>ARVIDSJAUR</t>
        </is>
      </c>
      <c r="G461" t="n">
        <v>4.7</v>
      </c>
      <c r="H461" t="n">
        <v>0</v>
      </c>
      <c r="I461" t="n">
        <v>0</v>
      </c>
      <c r="J461" t="n">
        <v>0</v>
      </c>
      <c r="K461" t="n">
        <v>0</v>
      </c>
      <c r="L461" t="n">
        <v>0</v>
      </c>
      <c r="M461" t="n">
        <v>0</v>
      </c>
      <c r="N461" t="n">
        <v>0</v>
      </c>
      <c r="O461" t="n">
        <v>0</v>
      </c>
      <c r="P461" t="n">
        <v>0</v>
      </c>
      <c r="Q461" t="n">
        <v>0</v>
      </c>
      <c r="R461" s="2" t="inlineStr"/>
    </row>
    <row r="462" ht="15" customHeight="1">
      <c r="A462" t="inlineStr">
        <is>
          <t>A 58004-2023</t>
        </is>
      </c>
      <c r="B462" s="1" t="n">
        <v>45244</v>
      </c>
      <c r="C462" s="1" t="n">
        <v>45588</v>
      </c>
      <c r="D462" t="inlineStr">
        <is>
          <t>NORRBOTTENS LÄN</t>
        </is>
      </c>
      <c r="E462" t="inlineStr">
        <is>
          <t>ARVIDSJAUR</t>
        </is>
      </c>
      <c r="G462" t="n">
        <v>11.3</v>
      </c>
      <c r="H462" t="n">
        <v>0</v>
      </c>
      <c r="I462" t="n">
        <v>0</v>
      </c>
      <c r="J462" t="n">
        <v>0</v>
      </c>
      <c r="K462" t="n">
        <v>0</v>
      </c>
      <c r="L462" t="n">
        <v>0</v>
      </c>
      <c r="M462" t="n">
        <v>0</v>
      </c>
      <c r="N462" t="n">
        <v>0</v>
      </c>
      <c r="O462" t="n">
        <v>0</v>
      </c>
      <c r="P462" t="n">
        <v>0</v>
      </c>
      <c r="Q462" t="n">
        <v>0</v>
      </c>
      <c r="R462" s="2" t="inlineStr"/>
    </row>
    <row r="463" ht="15" customHeight="1">
      <c r="A463" t="inlineStr">
        <is>
          <t>A 58025-2023</t>
        </is>
      </c>
      <c r="B463" s="1" t="n">
        <v>45244</v>
      </c>
      <c r="C463" s="1" t="n">
        <v>45588</v>
      </c>
      <c r="D463" t="inlineStr">
        <is>
          <t>NORRBOTTENS LÄN</t>
        </is>
      </c>
      <c r="E463" t="inlineStr">
        <is>
          <t>ARVIDSJAUR</t>
        </is>
      </c>
      <c r="G463" t="n">
        <v>4.2</v>
      </c>
      <c r="H463" t="n">
        <v>0</v>
      </c>
      <c r="I463" t="n">
        <v>0</v>
      </c>
      <c r="J463" t="n">
        <v>0</v>
      </c>
      <c r="K463" t="n">
        <v>0</v>
      </c>
      <c r="L463" t="n">
        <v>0</v>
      </c>
      <c r="M463" t="n">
        <v>0</v>
      </c>
      <c r="N463" t="n">
        <v>0</v>
      </c>
      <c r="O463" t="n">
        <v>0</v>
      </c>
      <c r="P463" t="n">
        <v>0</v>
      </c>
      <c r="Q463" t="n">
        <v>0</v>
      </c>
      <c r="R463" s="2" t="inlineStr"/>
    </row>
    <row r="464" ht="15" customHeight="1">
      <c r="A464" t="inlineStr">
        <is>
          <t>A 57903-2023</t>
        </is>
      </c>
      <c r="B464" s="1" t="n">
        <v>45244</v>
      </c>
      <c r="C464" s="1" t="n">
        <v>45588</v>
      </c>
      <c r="D464" t="inlineStr">
        <is>
          <t>NORRBOTTENS LÄN</t>
        </is>
      </c>
      <c r="E464" t="inlineStr">
        <is>
          <t>ARVIDSJAUR</t>
        </is>
      </c>
      <c r="G464" t="n">
        <v>2.3</v>
      </c>
      <c r="H464" t="n">
        <v>0</v>
      </c>
      <c r="I464" t="n">
        <v>0</v>
      </c>
      <c r="J464" t="n">
        <v>0</v>
      </c>
      <c r="K464" t="n">
        <v>0</v>
      </c>
      <c r="L464" t="n">
        <v>0</v>
      </c>
      <c r="M464" t="n">
        <v>0</v>
      </c>
      <c r="N464" t="n">
        <v>0</v>
      </c>
      <c r="O464" t="n">
        <v>0</v>
      </c>
      <c r="P464" t="n">
        <v>0</v>
      </c>
      <c r="Q464" t="n">
        <v>0</v>
      </c>
      <c r="R464" s="2" t="inlineStr"/>
    </row>
    <row r="465" ht="15" customHeight="1">
      <c r="A465" t="inlineStr">
        <is>
          <t>A 58253-2023</t>
        </is>
      </c>
      <c r="B465" s="1" t="n">
        <v>45245</v>
      </c>
      <c r="C465" s="1" t="n">
        <v>45588</v>
      </c>
      <c r="D465" t="inlineStr">
        <is>
          <t>NORRBOTTENS LÄN</t>
        </is>
      </c>
      <c r="E465" t="inlineStr">
        <is>
          <t>ARVIDSJAUR</t>
        </is>
      </c>
      <c r="G465" t="n">
        <v>1.1</v>
      </c>
      <c r="H465" t="n">
        <v>0</v>
      </c>
      <c r="I465" t="n">
        <v>0</v>
      </c>
      <c r="J465" t="n">
        <v>0</v>
      </c>
      <c r="K465" t="n">
        <v>0</v>
      </c>
      <c r="L465" t="n">
        <v>0</v>
      </c>
      <c r="M465" t="n">
        <v>0</v>
      </c>
      <c r="N465" t="n">
        <v>0</v>
      </c>
      <c r="O465" t="n">
        <v>0</v>
      </c>
      <c r="P465" t="n">
        <v>0</v>
      </c>
      <c r="Q465" t="n">
        <v>0</v>
      </c>
      <c r="R465" s="2" t="inlineStr"/>
    </row>
    <row r="466" ht="15" customHeight="1">
      <c r="A466" t="inlineStr">
        <is>
          <t>A 58063-2023</t>
        </is>
      </c>
      <c r="B466" s="1" t="n">
        <v>45247</v>
      </c>
      <c r="C466" s="1" t="n">
        <v>45588</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63382-2023</t>
        </is>
      </c>
      <c r="B467" s="1" t="n">
        <v>45274</v>
      </c>
      <c r="C467" s="1" t="n">
        <v>45588</v>
      </c>
      <c r="D467" t="inlineStr">
        <is>
          <t>NORRBOTTENS LÄN</t>
        </is>
      </c>
      <c r="E467" t="inlineStr">
        <is>
          <t>ARVIDSJAUR</t>
        </is>
      </c>
      <c r="G467" t="n">
        <v>1.2</v>
      </c>
      <c r="H467" t="n">
        <v>0</v>
      </c>
      <c r="I467" t="n">
        <v>0</v>
      </c>
      <c r="J467" t="n">
        <v>0</v>
      </c>
      <c r="K467" t="n">
        <v>0</v>
      </c>
      <c r="L467" t="n">
        <v>0</v>
      </c>
      <c r="M467" t="n">
        <v>0</v>
      </c>
      <c r="N467" t="n">
        <v>0</v>
      </c>
      <c r="O467" t="n">
        <v>0</v>
      </c>
      <c r="P467" t="n">
        <v>0</v>
      </c>
      <c r="Q467" t="n">
        <v>0</v>
      </c>
      <c r="R467" s="2" t="inlineStr"/>
    </row>
    <row r="468" ht="15" customHeight="1">
      <c r="A468" t="inlineStr">
        <is>
          <t>A 63828-2023</t>
        </is>
      </c>
      <c r="B468" s="1" t="n">
        <v>45278</v>
      </c>
      <c r="C468" s="1" t="n">
        <v>45588</v>
      </c>
      <c r="D468" t="inlineStr">
        <is>
          <t>NORRBOTTENS LÄN</t>
        </is>
      </c>
      <c r="E468" t="inlineStr">
        <is>
          <t>ARVIDSJAUR</t>
        </is>
      </c>
      <c r="F468" t="inlineStr">
        <is>
          <t>Sveaskog</t>
        </is>
      </c>
      <c r="G468" t="n">
        <v>28.4</v>
      </c>
      <c r="H468" t="n">
        <v>0</v>
      </c>
      <c r="I468" t="n">
        <v>0</v>
      </c>
      <c r="J468" t="n">
        <v>0</v>
      </c>
      <c r="K468" t="n">
        <v>0</v>
      </c>
      <c r="L468" t="n">
        <v>0</v>
      </c>
      <c r="M468" t="n">
        <v>0</v>
      </c>
      <c r="N468" t="n">
        <v>0</v>
      </c>
      <c r="O468" t="n">
        <v>0</v>
      </c>
      <c r="P468" t="n">
        <v>0</v>
      </c>
      <c r="Q468" t="n">
        <v>0</v>
      </c>
      <c r="R468" s="2" t="inlineStr"/>
    </row>
    <row r="469" ht="15" customHeight="1">
      <c r="A469" t="inlineStr">
        <is>
          <t>A 218-2024</t>
        </is>
      </c>
      <c r="B469" s="1" t="n">
        <v>45293</v>
      </c>
      <c r="C469" s="1" t="n">
        <v>45588</v>
      </c>
      <c r="D469" t="inlineStr">
        <is>
          <t>NORRBOTTENS LÄN</t>
        </is>
      </c>
      <c r="E469" t="inlineStr">
        <is>
          <t>ARVIDSJAUR</t>
        </is>
      </c>
      <c r="G469" t="n">
        <v>6.8</v>
      </c>
      <c r="H469" t="n">
        <v>0</v>
      </c>
      <c r="I469" t="n">
        <v>0</v>
      </c>
      <c r="J469" t="n">
        <v>0</v>
      </c>
      <c r="K469" t="n">
        <v>0</v>
      </c>
      <c r="L469" t="n">
        <v>0</v>
      </c>
      <c r="M469" t="n">
        <v>0</v>
      </c>
      <c r="N469" t="n">
        <v>0</v>
      </c>
      <c r="O469" t="n">
        <v>0</v>
      </c>
      <c r="P469" t="n">
        <v>0</v>
      </c>
      <c r="Q469" t="n">
        <v>0</v>
      </c>
      <c r="R469" s="2" t="inlineStr"/>
    </row>
    <row r="470" ht="15" customHeight="1">
      <c r="A470" t="inlineStr">
        <is>
          <t>A 217-2024</t>
        </is>
      </c>
      <c r="B470" s="1" t="n">
        <v>45293</v>
      </c>
      <c r="C470" s="1" t="n">
        <v>45588</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1355-2024</t>
        </is>
      </c>
      <c r="B471" s="1" t="n">
        <v>45303</v>
      </c>
      <c r="C471" s="1" t="n">
        <v>45588</v>
      </c>
      <c r="D471" t="inlineStr">
        <is>
          <t>NORRBOTTENS LÄN</t>
        </is>
      </c>
      <c r="E471" t="inlineStr">
        <is>
          <t>ARVIDSJAUR</t>
        </is>
      </c>
      <c r="G471" t="n">
        <v>1</v>
      </c>
      <c r="H471" t="n">
        <v>0</v>
      </c>
      <c r="I471" t="n">
        <v>0</v>
      </c>
      <c r="J471" t="n">
        <v>0</v>
      </c>
      <c r="K471" t="n">
        <v>0</v>
      </c>
      <c r="L471" t="n">
        <v>0</v>
      </c>
      <c r="M471" t="n">
        <v>0</v>
      </c>
      <c r="N471" t="n">
        <v>0</v>
      </c>
      <c r="O471" t="n">
        <v>0</v>
      </c>
      <c r="P471" t="n">
        <v>0</v>
      </c>
      <c r="Q471" t="n">
        <v>0</v>
      </c>
      <c r="R471" s="2" t="inlineStr"/>
    </row>
    <row r="472" ht="15" customHeight="1">
      <c r="A472" t="inlineStr">
        <is>
          <t>A 1845-2024</t>
        </is>
      </c>
      <c r="B472" s="1" t="n">
        <v>45307</v>
      </c>
      <c r="C472" s="1" t="n">
        <v>45588</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2037-2024</t>
        </is>
      </c>
      <c r="B473" s="1" t="n">
        <v>45308</v>
      </c>
      <c r="C473" s="1" t="n">
        <v>45588</v>
      </c>
      <c r="D473" t="inlineStr">
        <is>
          <t>NORRBOTTENS LÄN</t>
        </is>
      </c>
      <c r="E473" t="inlineStr">
        <is>
          <t>ARVIDSJAUR</t>
        </is>
      </c>
      <c r="G473" t="n">
        <v>2.1</v>
      </c>
      <c r="H473" t="n">
        <v>0</v>
      </c>
      <c r="I473" t="n">
        <v>0</v>
      </c>
      <c r="J473" t="n">
        <v>0</v>
      </c>
      <c r="K473" t="n">
        <v>0</v>
      </c>
      <c r="L473" t="n">
        <v>0</v>
      </c>
      <c r="M473" t="n">
        <v>0</v>
      </c>
      <c r="N473" t="n">
        <v>0</v>
      </c>
      <c r="O473" t="n">
        <v>0</v>
      </c>
      <c r="P473" t="n">
        <v>0</v>
      </c>
      <c r="Q473" t="n">
        <v>0</v>
      </c>
      <c r="R473" s="2" t="inlineStr"/>
    </row>
    <row r="474" ht="15" customHeight="1">
      <c r="A474" t="inlineStr">
        <is>
          <t>A 2116-2024</t>
        </is>
      </c>
      <c r="B474" s="1" t="n">
        <v>45309</v>
      </c>
      <c r="C474" s="1" t="n">
        <v>45588</v>
      </c>
      <c r="D474" t="inlineStr">
        <is>
          <t>NORRBOTTENS LÄN</t>
        </is>
      </c>
      <c r="E474" t="inlineStr">
        <is>
          <t>ARVIDSJAUR</t>
        </is>
      </c>
      <c r="G474" t="n">
        <v>0.9</v>
      </c>
      <c r="H474" t="n">
        <v>0</v>
      </c>
      <c r="I474" t="n">
        <v>0</v>
      </c>
      <c r="J474" t="n">
        <v>0</v>
      </c>
      <c r="K474" t="n">
        <v>0</v>
      </c>
      <c r="L474" t="n">
        <v>0</v>
      </c>
      <c r="M474" t="n">
        <v>0</v>
      </c>
      <c r="N474" t="n">
        <v>0</v>
      </c>
      <c r="O474" t="n">
        <v>0</v>
      </c>
      <c r="P474" t="n">
        <v>0</v>
      </c>
      <c r="Q474" t="n">
        <v>0</v>
      </c>
      <c r="R474" s="2" t="inlineStr"/>
    </row>
    <row r="475" ht="15" customHeight="1">
      <c r="A475" t="inlineStr">
        <is>
          <t>A 2286-2024</t>
        </is>
      </c>
      <c r="B475" s="1" t="n">
        <v>45310</v>
      </c>
      <c r="C475" s="1" t="n">
        <v>45588</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2898-2024</t>
        </is>
      </c>
      <c r="B476" s="1" t="n">
        <v>45315</v>
      </c>
      <c r="C476" s="1" t="n">
        <v>45588</v>
      </c>
      <c r="D476" t="inlineStr">
        <is>
          <t>NORRBOTTENS LÄN</t>
        </is>
      </c>
      <c r="E476" t="inlineStr">
        <is>
          <t>ARVIDSJAUR</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45588</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2970-2024</t>
        </is>
      </c>
      <c r="B478" s="1" t="n">
        <v>45315</v>
      </c>
      <c r="C478" s="1" t="n">
        <v>45588</v>
      </c>
      <c r="D478" t="inlineStr">
        <is>
          <t>NORRBOTTENS LÄN</t>
        </is>
      </c>
      <c r="E478" t="inlineStr">
        <is>
          <t>ARVIDSJAUR</t>
        </is>
      </c>
      <c r="F478" t="inlineStr">
        <is>
          <t>Allmännings- och besparingsskogar</t>
        </is>
      </c>
      <c r="G478" t="n">
        <v>1.5</v>
      </c>
      <c r="H478" t="n">
        <v>0</v>
      </c>
      <c r="I478" t="n">
        <v>0</v>
      </c>
      <c r="J478" t="n">
        <v>0</v>
      </c>
      <c r="K478" t="n">
        <v>0</v>
      </c>
      <c r="L478" t="n">
        <v>0</v>
      </c>
      <c r="M478" t="n">
        <v>0</v>
      </c>
      <c r="N478" t="n">
        <v>0</v>
      </c>
      <c r="O478" t="n">
        <v>0</v>
      </c>
      <c r="P478" t="n">
        <v>0</v>
      </c>
      <c r="Q478" t="n">
        <v>0</v>
      </c>
      <c r="R478" s="2" t="inlineStr"/>
    </row>
    <row r="479" ht="15" customHeight="1">
      <c r="A479" t="inlineStr">
        <is>
          <t>A 2962-2024</t>
        </is>
      </c>
      <c r="B479" s="1" t="n">
        <v>45315</v>
      </c>
      <c r="C479" s="1" t="n">
        <v>45588</v>
      </c>
      <c r="D479" t="inlineStr">
        <is>
          <t>NORRBOTTENS LÄN</t>
        </is>
      </c>
      <c r="E479" t="inlineStr">
        <is>
          <t>ARVIDSJAUR</t>
        </is>
      </c>
      <c r="F479" t="inlineStr">
        <is>
          <t>Allmännings- och besparingsskogar</t>
        </is>
      </c>
      <c r="G479" t="n">
        <v>4</v>
      </c>
      <c r="H479" t="n">
        <v>0</v>
      </c>
      <c r="I479" t="n">
        <v>0</v>
      </c>
      <c r="J479" t="n">
        <v>0</v>
      </c>
      <c r="K479" t="n">
        <v>0</v>
      </c>
      <c r="L479" t="n">
        <v>0</v>
      </c>
      <c r="M479" t="n">
        <v>0</v>
      </c>
      <c r="N479" t="n">
        <v>0</v>
      </c>
      <c r="O479" t="n">
        <v>0</v>
      </c>
      <c r="P479" t="n">
        <v>0</v>
      </c>
      <c r="Q479" t="n">
        <v>0</v>
      </c>
      <c r="R479" s="2" t="inlineStr"/>
    </row>
    <row r="480" ht="15" customHeight="1">
      <c r="A480" t="inlineStr">
        <is>
          <t>A 2905-2024</t>
        </is>
      </c>
      <c r="B480" s="1" t="n">
        <v>45315</v>
      </c>
      <c r="C480" s="1" t="n">
        <v>45588</v>
      </c>
      <c r="D480" t="inlineStr">
        <is>
          <t>NORRBOTTENS LÄN</t>
        </is>
      </c>
      <c r="E480" t="inlineStr">
        <is>
          <t>ARVIDSJAUR</t>
        </is>
      </c>
      <c r="F480" t="inlineStr">
        <is>
          <t>Allmännings- och besparingsskogar</t>
        </is>
      </c>
      <c r="G480" t="n">
        <v>13.7</v>
      </c>
      <c r="H480" t="n">
        <v>0</v>
      </c>
      <c r="I480" t="n">
        <v>0</v>
      </c>
      <c r="J480" t="n">
        <v>0</v>
      </c>
      <c r="K480" t="n">
        <v>0</v>
      </c>
      <c r="L480" t="n">
        <v>0</v>
      </c>
      <c r="M480" t="n">
        <v>0</v>
      </c>
      <c r="N480" t="n">
        <v>0</v>
      </c>
      <c r="O480" t="n">
        <v>0</v>
      </c>
      <c r="P480" t="n">
        <v>0</v>
      </c>
      <c r="Q480" t="n">
        <v>0</v>
      </c>
      <c r="R480" s="2" t="inlineStr"/>
    </row>
    <row r="481" ht="15" customHeight="1">
      <c r="A481" t="inlineStr">
        <is>
          <t>A 2895-2024</t>
        </is>
      </c>
      <c r="B481" s="1" t="n">
        <v>45315</v>
      </c>
      <c r="C481" s="1" t="n">
        <v>45588</v>
      </c>
      <c r="D481" t="inlineStr">
        <is>
          <t>NORRBOTTENS LÄN</t>
        </is>
      </c>
      <c r="E481" t="inlineStr">
        <is>
          <t>ARVIDSJAUR</t>
        </is>
      </c>
      <c r="F481" t="inlineStr">
        <is>
          <t>Allmännings- och besparingsskogar</t>
        </is>
      </c>
      <c r="G481" t="n">
        <v>6</v>
      </c>
      <c r="H481" t="n">
        <v>0</v>
      </c>
      <c r="I481" t="n">
        <v>0</v>
      </c>
      <c r="J481" t="n">
        <v>0</v>
      </c>
      <c r="K481" t="n">
        <v>0</v>
      </c>
      <c r="L481" t="n">
        <v>0</v>
      </c>
      <c r="M481" t="n">
        <v>0</v>
      </c>
      <c r="N481" t="n">
        <v>0</v>
      </c>
      <c r="O481" t="n">
        <v>0</v>
      </c>
      <c r="P481" t="n">
        <v>0</v>
      </c>
      <c r="Q481" t="n">
        <v>0</v>
      </c>
      <c r="R481" s="2" t="inlineStr"/>
    </row>
    <row r="482" ht="15" customHeight="1">
      <c r="A482" t="inlineStr">
        <is>
          <t>A 3034-2024</t>
        </is>
      </c>
      <c r="B482" s="1" t="n">
        <v>45316</v>
      </c>
      <c r="C482" s="1" t="n">
        <v>45588</v>
      </c>
      <c r="D482" t="inlineStr">
        <is>
          <t>NORRBOTTENS LÄN</t>
        </is>
      </c>
      <c r="E482" t="inlineStr">
        <is>
          <t>ARVIDSJAUR</t>
        </is>
      </c>
      <c r="F482" t="inlineStr">
        <is>
          <t>Allmännings- och besparingsskogar</t>
        </is>
      </c>
      <c r="G482" t="n">
        <v>3.9</v>
      </c>
      <c r="H482" t="n">
        <v>0</v>
      </c>
      <c r="I482" t="n">
        <v>0</v>
      </c>
      <c r="J482" t="n">
        <v>0</v>
      </c>
      <c r="K482" t="n">
        <v>0</v>
      </c>
      <c r="L482" t="n">
        <v>0</v>
      </c>
      <c r="M482" t="n">
        <v>0</v>
      </c>
      <c r="N482" t="n">
        <v>0</v>
      </c>
      <c r="O482" t="n">
        <v>0</v>
      </c>
      <c r="P482" t="n">
        <v>0</v>
      </c>
      <c r="Q482" t="n">
        <v>0</v>
      </c>
      <c r="R482" s="2" t="inlineStr"/>
    </row>
    <row r="483" ht="15" customHeight="1">
      <c r="A483" t="inlineStr">
        <is>
          <t>A 3203-2024</t>
        </is>
      </c>
      <c r="B483" s="1" t="n">
        <v>45316</v>
      </c>
      <c r="C483" s="1" t="n">
        <v>45588</v>
      </c>
      <c r="D483" t="inlineStr">
        <is>
          <t>NORRBOTTENS LÄN</t>
        </is>
      </c>
      <c r="E483" t="inlineStr">
        <is>
          <t>ARVIDSJAUR</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3207-2024</t>
        </is>
      </c>
      <c r="B484" s="1" t="n">
        <v>45316</v>
      </c>
      <c r="C484" s="1" t="n">
        <v>45588</v>
      </c>
      <c r="D484" t="inlineStr">
        <is>
          <t>NORRBOTTENS LÄN</t>
        </is>
      </c>
      <c r="E484" t="inlineStr">
        <is>
          <t>ARVIDSJAUR</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3201-2024</t>
        </is>
      </c>
      <c r="B485" s="1" t="n">
        <v>45316</v>
      </c>
      <c r="C485" s="1" t="n">
        <v>45588</v>
      </c>
      <c r="D485" t="inlineStr">
        <is>
          <t>NORRBOTTENS LÄN</t>
        </is>
      </c>
      <c r="E485" t="inlineStr">
        <is>
          <t>ARVIDSJAUR</t>
        </is>
      </c>
      <c r="F485" t="inlineStr">
        <is>
          <t>Allmännings- och besparingsskogar</t>
        </is>
      </c>
      <c r="G485" t="n">
        <v>1.9</v>
      </c>
      <c r="H485" t="n">
        <v>0</v>
      </c>
      <c r="I485" t="n">
        <v>0</v>
      </c>
      <c r="J485" t="n">
        <v>0</v>
      </c>
      <c r="K485" t="n">
        <v>0</v>
      </c>
      <c r="L485" t="n">
        <v>0</v>
      </c>
      <c r="M485" t="n">
        <v>0</v>
      </c>
      <c r="N485" t="n">
        <v>0</v>
      </c>
      <c r="O485" t="n">
        <v>0</v>
      </c>
      <c r="P485" t="n">
        <v>0</v>
      </c>
      <c r="Q485" t="n">
        <v>0</v>
      </c>
      <c r="R485" s="2" t="inlineStr"/>
    </row>
    <row r="486" ht="15" customHeight="1">
      <c r="A486" t="inlineStr">
        <is>
          <t>A 3165-2024</t>
        </is>
      </c>
      <c r="B486" s="1" t="n">
        <v>45316</v>
      </c>
      <c r="C486" s="1" t="n">
        <v>45588</v>
      </c>
      <c r="D486" t="inlineStr">
        <is>
          <t>NORRBOTTENS LÄN</t>
        </is>
      </c>
      <c r="E486" t="inlineStr">
        <is>
          <t>ARVIDSJAUR</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3206-2024</t>
        </is>
      </c>
      <c r="B487" s="1" t="n">
        <v>45316</v>
      </c>
      <c r="C487" s="1" t="n">
        <v>45588</v>
      </c>
      <c r="D487" t="inlineStr">
        <is>
          <t>NORRBOTTENS LÄN</t>
        </is>
      </c>
      <c r="E487" t="inlineStr">
        <is>
          <t>ARVIDSJAUR</t>
        </is>
      </c>
      <c r="F487" t="inlineStr">
        <is>
          <t>Allmännings- och besparingsskogar</t>
        </is>
      </c>
      <c r="G487" t="n">
        <v>15.1</v>
      </c>
      <c r="H487" t="n">
        <v>0</v>
      </c>
      <c r="I487" t="n">
        <v>0</v>
      </c>
      <c r="J487" t="n">
        <v>0</v>
      </c>
      <c r="K487" t="n">
        <v>0</v>
      </c>
      <c r="L487" t="n">
        <v>0</v>
      </c>
      <c r="M487" t="n">
        <v>0</v>
      </c>
      <c r="N487" t="n">
        <v>0</v>
      </c>
      <c r="O487" t="n">
        <v>0</v>
      </c>
      <c r="P487" t="n">
        <v>0</v>
      </c>
      <c r="Q487" t="n">
        <v>0</v>
      </c>
      <c r="R487" s="2" t="inlineStr"/>
    </row>
    <row r="488" ht="15" customHeight="1">
      <c r="A488" t="inlineStr">
        <is>
          <t>A 3258-2024</t>
        </is>
      </c>
      <c r="B488" s="1" t="n">
        <v>45316</v>
      </c>
      <c r="C488" s="1" t="n">
        <v>45588</v>
      </c>
      <c r="D488" t="inlineStr">
        <is>
          <t>NORRBOTTENS LÄN</t>
        </is>
      </c>
      <c r="E488" t="inlineStr">
        <is>
          <t>ARVIDSJAUR</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3274-2024</t>
        </is>
      </c>
      <c r="B489" s="1" t="n">
        <v>45316</v>
      </c>
      <c r="C489" s="1" t="n">
        <v>45588</v>
      </c>
      <c r="D489" t="inlineStr">
        <is>
          <t>NORRBOTTENS LÄN</t>
        </is>
      </c>
      <c r="E489" t="inlineStr">
        <is>
          <t>ARVIDSJAUR</t>
        </is>
      </c>
      <c r="F489" t="inlineStr">
        <is>
          <t>Allmännings- och besparingsskogar</t>
        </is>
      </c>
      <c r="G489" t="n">
        <v>1.8</v>
      </c>
      <c r="H489" t="n">
        <v>0</v>
      </c>
      <c r="I489" t="n">
        <v>0</v>
      </c>
      <c r="J489" t="n">
        <v>0</v>
      </c>
      <c r="K489" t="n">
        <v>0</v>
      </c>
      <c r="L489" t="n">
        <v>0</v>
      </c>
      <c r="M489" t="n">
        <v>0</v>
      </c>
      <c r="N489" t="n">
        <v>0</v>
      </c>
      <c r="O489" t="n">
        <v>0</v>
      </c>
      <c r="P489" t="n">
        <v>0</v>
      </c>
      <c r="Q489" t="n">
        <v>0</v>
      </c>
      <c r="R489" s="2" t="inlineStr"/>
    </row>
    <row r="490" ht="15" customHeight="1">
      <c r="A490" t="inlineStr">
        <is>
          <t>A 3266-2024</t>
        </is>
      </c>
      <c r="B490" s="1" t="n">
        <v>45316</v>
      </c>
      <c r="C490" s="1" t="n">
        <v>45588</v>
      </c>
      <c r="D490" t="inlineStr">
        <is>
          <t>NORRBOTTENS LÄN</t>
        </is>
      </c>
      <c r="E490" t="inlineStr">
        <is>
          <t>ARVIDSJAUR</t>
        </is>
      </c>
      <c r="F490" t="inlineStr">
        <is>
          <t>Allmännings- och besparingsskogar</t>
        </is>
      </c>
      <c r="G490" t="n">
        <v>2.8</v>
      </c>
      <c r="H490" t="n">
        <v>0</v>
      </c>
      <c r="I490" t="n">
        <v>0</v>
      </c>
      <c r="J490" t="n">
        <v>0</v>
      </c>
      <c r="K490" t="n">
        <v>0</v>
      </c>
      <c r="L490" t="n">
        <v>0</v>
      </c>
      <c r="M490" t="n">
        <v>0</v>
      </c>
      <c r="N490" t="n">
        <v>0</v>
      </c>
      <c r="O490" t="n">
        <v>0</v>
      </c>
      <c r="P490" t="n">
        <v>0</v>
      </c>
      <c r="Q490" t="n">
        <v>0</v>
      </c>
      <c r="R490" s="2" t="inlineStr"/>
    </row>
    <row r="491" ht="15" customHeight="1">
      <c r="A491" t="inlineStr">
        <is>
          <t>A 3262-2024</t>
        </is>
      </c>
      <c r="B491" s="1" t="n">
        <v>45316</v>
      </c>
      <c r="C491" s="1" t="n">
        <v>45588</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3265-2024</t>
        </is>
      </c>
      <c r="B492" s="1" t="n">
        <v>45316</v>
      </c>
      <c r="C492" s="1" t="n">
        <v>45588</v>
      </c>
      <c r="D492" t="inlineStr">
        <is>
          <t>NORRBOTTENS LÄN</t>
        </is>
      </c>
      <c r="E492" t="inlineStr">
        <is>
          <t>ARVIDSJAUR</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3299-2024</t>
        </is>
      </c>
      <c r="B493" s="1" t="n">
        <v>45316</v>
      </c>
      <c r="C493" s="1" t="n">
        <v>45588</v>
      </c>
      <c r="D493" t="inlineStr">
        <is>
          <t>NORRBOTTENS LÄN</t>
        </is>
      </c>
      <c r="E493" t="inlineStr">
        <is>
          <t>ARVIDSJAUR</t>
        </is>
      </c>
      <c r="F493" t="inlineStr">
        <is>
          <t>Allmännings- och besparingsskogar</t>
        </is>
      </c>
      <c r="G493" t="n">
        <v>5</v>
      </c>
      <c r="H493" t="n">
        <v>0</v>
      </c>
      <c r="I493" t="n">
        <v>0</v>
      </c>
      <c r="J493" t="n">
        <v>0</v>
      </c>
      <c r="K493" t="n">
        <v>0</v>
      </c>
      <c r="L493" t="n">
        <v>0</v>
      </c>
      <c r="M493" t="n">
        <v>0</v>
      </c>
      <c r="N493" t="n">
        <v>0</v>
      </c>
      <c r="O493" t="n">
        <v>0</v>
      </c>
      <c r="P493" t="n">
        <v>0</v>
      </c>
      <c r="Q493" t="n">
        <v>0</v>
      </c>
      <c r="R493" s="2" t="inlineStr"/>
    </row>
    <row r="494" ht="15" customHeight="1">
      <c r="A494" t="inlineStr">
        <is>
          <t>A 3343-2024</t>
        </is>
      </c>
      <c r="B494" s="1" t="n">
        <v>45317</v>
      </c>
      <c r="C494" s="1" t="n">
        <v>45588</v>
      </c>
      <c r="D494" t="inlineStr">
        <is>
          <t>NORRBOTTENS LÄN</t>
        </is>
      </c>
      <c r="E494" t="inlineStr">
        <is>
          <t>ARVIDSJAUR</t>
        </is>
      </c>
      <c r="G494" t="n">
        <v>10.9</v>
      </c>
      <c r="H494" t="n">
        <v>0</v>
      </c>
      <c r="I494" t="n">
        <v>0</v>
      </c>
      <c r="J494" t="n">
        <v>0</v>
      </c>
      <c r="K494" t="n">
        <v>0</v>
      </c>
      <c r="L494" t="n">
        <v>0</v>
      </c>
      <c r="M494" t="n">
        <v>0</v>
      </c>
      <c r="N494" t="n">
        <v>0</v>
      </c>
      <c r="O494" t="n">
        <v>0</v>
      </c>
      <c r="P494" t="n">
        <v>0</v>
      </c>
      <c r="Q494" t="n">
        <v>0</v>
      </c>
      <c r="R494" s="2" t="inlineStr"/>
    </row>
    <row r="495" ht="15" customHeight="1">
      <c r="A495" t="inlineStr">
        <is>
          <t>A 4539-2024</t>
        </is>
      </c>
      <c r="B495" s="1" t="n">
        <v>45327</v>
      </c>
      <c r="C495" s="1" t="n">
        <v>45588</v>
      </c>
      <c r="D495" t="inlineStr">
        <is>
          <t>NORRBOTTENS LÄN</t>
        </is>
      </c>
      <c r="E495" t="inlineStr">
        <is>
          <t>ARVIDSJAUR</t>
        </is>
      </c>
      <c r="G495" t="n">
        <v>5.4</v>
      </c>
      <c r="H495" t="n">
        <v>0</v>
      </c>
      <c r="I495" t="n">
        <v>0</v>
      </c>
      <c r="J495" t="n">
        <v>0</v>
      </c>
      <c r="K495" t="n">
        <v>0</v>
      </c>
      <c r="L495" t="n">
        <v>0</v>
      </c>
      <c r="M495" t="n">
        <v>0</v>
      </c>
      <c r="N495" t="n">
        <v>0</v>
      </c>
      <c r="O495" t="n">
        <v>0</v>
      </c>
      <c r="P495" t="n">
        <v>0</v>
      </c>
      <c r="Q495" t="n">
        <v>0</v>
      </c>
      <c r="R495" s="2" t="inlineStr"/>
    </row>
    <row r="496" ht="15" customHeight="1">
      <c r="A496" t="inlineStr">
        <is>
          <t>A 4934-2024</t>
        </is>
      </c>
      <c r="B496" s="1" t="n">
        <v>45329</v>
      </c>
      <c r="C496" s="1" t="n">
        <v>45588</v>
      </c>
      <c r="D496" t="inlineStr">
        <is>
          <t>NORRBOTTENS LÄN</t>
        </is>
      </c>
      <c r="E496" t="inlineStr">
        <is>
          <t>ARVIDSJAUR</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4937-2024</t>
        </is>
      </c>
      <c r="B497" s="1" t="n">
        <v>45329</v>
      </c>
      <c r="C497" s="1" t="n">
        <v>45588</v>
      </c>
      <c r="D497" t="inlineStr">
        <is>
          <t>NORRBOTTENS LÄN</t>
        </is>
      </c>
      <c r="E497" t="inlineStr">
        <is>
          <t>ARVIDSJAUR</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4989-2024</t>
        </is>
      </c>
      <c r="B498" s="1" t="n">
        <v>45329</v>
      </c>
      <c r="C498" s="1" t="n">
        <v>45588</v>
      </c>
      <c r="D498" t="inlineStr">
        <is>
          <t>NORRBOTTENS LÄN</t>
        </is>
      </c>
      <c r="E498" t="inlineStr">
        <is>
          <t>ARVIDSJAUR</t>
        </is>
      </c>
      <c r="F498" t="inlineStr">
        <is>
          <t>Sveaskog</t>
        </is>
      </c>
      <c r="G498" t="n">
        <v>57.4</v>
      </c>
      <c r="H498" t="n">
        <v>0</v>
      </c>
      <c r="I498" t="n">
        <v>0</v>
      </c>
      <c r="J498" t="n">
        <v>0</v>
      </c>
      <c r="K498" t="n">
        <v>0</v>
      </c>
      <c r="L498" t="n">
        <v>0</v>
      </c>
      <c r="M498" t="n">
        <v>0</v>
      </c>
      <c r="N498" t="n">
        <v>0</v>
      </c>
      <c r="O498" t="n">
        <v>0</v>
      </c>
      <c r="P498" t="n">
        <v>0</v>
      </c>
      <c r="Q498" t="n">
        <v>0</v>
      </c>
      <c r="R498" s="2" t="inlineStr"/>
    </row>
    <row r="499" ht="15" customHeight="1">
      <c r="A499" t="inlineStr">
        <is>
          <t>A 4935-2024</t>
        </is>
      </c>
      <c r="B499" s="1" t="n">
        <v>45329</v>
      </c>
      <c r="C499" s="1" t="n">
        <v>45588</v>
      </c>
      <c r="D499" t="inlineStr">
        <is>
          <t>NORRBOTTENS LÄN</t>
        </is>
      </c>
      <c r="E499" t="inlineStr">
        <is>
          <t>ARVIDSJAUR</t>
        </is>
      </c>
      <c r="F499" t="inlineStr">
        <is>
          <t>Sveaskog</t>
        </is>
      </c>
      <c r="G499" t="n">
        <v>6.9</v>
      </c>
      <c r="H499" t="n">
        <v>0</v>
      </c>
      <c r="I499" t="n">
        <v>0</v>
      </c>
      <c r="J499" t="n">
        <v>0</v>
      </c>
      <c r="K499" t="n">
        <v>0</v>
      </c>
      <c r="L499" t="n">
        <v>0</v>
      </c>
      <c r="M499" t="n">
        <v>0</v>
      </c>
      <c r="N499" t="n">
        <v>0</v>
      </c>
      <c r="O499" t="n">
        <v>0</v>
      </c>
      <c r="P499" t="n">
        <v>0</v>
      </c>
      <c r="Q499" t="n">
        <v>0</v>
      </c>
      <c r="R499" s="2" t="inlineStr"/>
    </row>
    <row r="500" ht="15" customHeight="1">
      <c r="A500" t="inlineStr">
        <is>
          <t>A 5210-2024</t>
        </is>
      </c>
      <c r="B500" s="1" t="n">
        <v>45330</v>
      </c>
      <c r="C500" s="1" t="n">
        <v>45588</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5197-2024</t>
        </is>
      </c>
      <c r="B501" s="1" t="n">
        <v>45330</v>
      </c>
      <c r="C501" s="1" t="n">
        <v>45588</v>
      </c>
      <c r="D501" t="inlineStr">
        <is>
          <t>NORRBOTTENS LÄN</t>
        </is>
      </c>
      <c r="E501" t="inlineStr">
        <is>
          <t>ARVIDSJAUR</t>
        </is>
      </c>
      <c r="G501" t="n">
        <v>4.1</v>
      </c>
      <c r="H501" t="n">
        <v>0</v>
      </c>
      <c r="I501" t="n">
        <v>0</v>
      </c>
      <c r="J501" t="n">
        <v>0</v>
      </c>
      <c r="K501" t="n">
        <v>0</v>
      </c>
      <c r="L501" t="n">
        <v>0</v>
      </c>
      <c r="M501" t="n">
        <v>0</v>
      </c>
      <c r="N501" t="n">
        <v>0</v>
      </c>
      <c r="O501" t="n">
        <v>0</v>
      </c>
      <c r="P501" t="n">
        <v>0</v>
      </c>
      <c r="Q501" t="n">
        <v>0</v>
      </c>
      <c r="R501" s="2" t="inlineStr"/>
    </row>
    <row r="502" ht="15" customHeight="1">
      <c r="A502" t="inlineStr">
        <is>
          <t>A 5702-2024</t>
        </is>
      </c>
      <c r="B502" s="1" t="n">
        <v>45334</v>
      </c>
      <c r="C502" s="1" t="n">
        <v>45588</v>
      </c>
      <c r="D502" t="inlineStr">
        <is>
          <t>NORRBOTTENS LÄN</t>
        </is>
      </c>
      <c r="E502" t="inlineStr">
        <is>
          <t>ARVIDSJAUR</t>
        </is>
      </c>
      <c r="G502" t="n">
        <v>1</v>
      </c>
      <c r="H502" t="n">
        <v>0</v>
      </c>
      <c r="I502" t="n">
        <v>0</v>
      </c>
      <c r="J502" t="n">
        <v>0</v>
      </c>
      <c r="K502" t="n">
        <v>0</v>
      </c>
      <c r="L502" t="n">
        <v>0</v>
      </c>
      <c r="M502" t="n">
        <v>0</v>
      </c>
      <c r="N502" t="n">
        <v>0</v>
      </c>
      <c r="O502" t="n">
        <v>0</v>
      </c>
      <c r="P502" t="n">
        <v>0</v>
      </c>
      <c r="Q502" t="n">
        <v>0</v>
      </c>
      <c r="R502" s="2" t="inlineStr"/>
    </row>
    <row r="503" ht="15" customHeight="1">
      <c r="A503" t="inlineStr">
        <is>
          <t>A 6574-2024</t>
        </is>
      </c>
      <c r="B503" s="1" t="n">
        <v>45341</v>
      </c>
      <c r="C503" s="1" t="n">
        <v>45588</v>
      </c>
      <c r="D503" t="inlineStr">
        <is>
          <t>NORRBOTTENS LÄN</t>
        </is>
      </c>
      <c r="E503" t="inlineStr">
        <is>
          <t>ARVIDSJAUR</t>
        </is>
      </c>
      <c r="F503" t="inlineStr">
        <is>
          <t>Sveaskog</t>
        </is>
      </c>
      <c r="G503" t="n">
        <v>27.1</v>
      </c>
      <c r="H503" t="n">
        <v>0</v>
      </c>
      <c r="I503" t="n">
        <v>0</v>
      </c>
      <c r="J503" t="n">
        <v>0</v>
      </c>
      <c r="K503" t="n">
        <v>0</v>
      </c>
      <c r="L503" t="n">
        <v>0</v>
      </c>
      <c r="M503" t="n">
        <v>0</v>
      </c>
      <c r="N503" t="n">
        <v>0</v>
      </c>
      <c r="O503" t="n">
        <v>0</v>
      </c>
      <c r="P503" t="n">
        <v>0</v>
      </c>
      <c r="Q503" t="n">
        <v>0</v>
      </c>
      <c r="R503" s="2" t="inlineStr"/>
    </row>
    <row r="504" ht="15" customHeight="1">
      <c r="A504" t="inlineStr">
        <is>
          <t>A 6862-2024</t>
        </is>
      </c>
      <c r="B504" s="1" t="n">
        <v>45342</v>
      </c>
      <c r="C504" s="1" t="n">
        <v>45588</v>
      </c>
      <c r="D504" t="inlineStr">
        <is>
          <t>NORRBOTTENS LÄN</t>
        </is>
      </c>
      <c r="E504" t="inlineStr">
        <is>
          <t>ARVIDSJAUR</t>
        </is>
      </c>
      <c r="G504" t="n">
        <v>8.5</v>
      </c>
      <c r="H504" t="n">
        <v>0</v>
      </c>
      <c r="I504" t="n">
        <v>0</v>
      </c>
      <c r="J504" t="n">
        <v>0</v>
      </c>
      <c r="K504" t="n">
        <v>0</v>
      </c>
      <c r="L504" t="n">
        <v>0</v>
      </c>
      <c r="M504" t="n">
        <v>0</v>
      </c>
      <c r="N504" t="n">
        <v>0</v>
      </c>
      <c r="O504" t="n">
        <v>0</v>
      </c>
      <c r="P504" t="n">
        <v>0</v>
      </c>
      <c r="Q504" t="n">
        <v>0</v>
      </c>
      <c r="R504" s="2" t="inlineStr"/>
    </row>
    <row r="505" ht="15" customHeight="1">
      <c r="A505" t="inlineStr">
        <is>
          <t>A 7790-2024</t>
        </is>
      </c>
      <c r="B505" s="1" t="n">
        <v>45348</v>
      </c>
      <c r="C505" s="1" t="n">
        <v>45588</v>
      </c>
      <c r="D505" t="inlineStr">
        <is>
          <t>NORRBOTTENS LÄN</t>
        </is>
      </c>
      <c r="E505" t="inlineStr">
        <is>
          <t>ARVIDSJAUR</t>
        </is>
      </c>
      <c r="G505" t="n">
        <v>7.7</v>
      </c>
      <c r="H505" t="n">
        <v>0</v>
      </c>
      <c r="I505" t="n">
        <v>0</v>
      </c>
      <c r="J505" t="n">
        <v>0</v>
      </c>
      <c r="K505" t="n">
        <v>0</v>
      </c>
      <c r="L505" t="n">
        <v>0</v>
      </c>
      <c r="M505" t="n">
        <v>0</v>
      </c>
      <c r="N505" t="n">
        <v>0</v>
      </c>
      <c r="O505" t="n">
        <v>0</v>
      </c>
      <c r="P505" t="n">
        <v>0</v>
      </c>
      <c r="Q505" t="n">
        <v>0</v>
      </c>
      <c r="R505" s="2" t="inlineStr"/>
    </row>
    <row r="506" ht="15" customHeight="1">
      <c r="A506" t="inlineStr">
        <is>
          <t>A 9621-2024</t>
        </is>
      </c>
      <c r="B506" s="1" t="n">
        <v>45361</v>
      </c>
      <c r="C506" s="1" t="n">
        <v>45588</v>
      </c>
      <c r="D506" t="inlineStr">
        <is>
          <t>NORRBOTTENS LÄN</t>
        </is>
      </c>
      <c r="E506" t="inlineStr">
        <is>
          <t>ARVIDSJAUR</t>
        </is>
      </c>
      <c r="G506" t="n">
        <v>0.4</v>
      </c>
      <c r="H506" t="n">
        <v>0</v>
      </c>
      <c r="I506" t="n">
        <v>0</v>
      </c>
      <c r="J506" t="n">
        <v>0</v>
      </c>
      <c r="K506" t="n">
        <v>0</v>
      </c>
      <c r="L506" t="n">
        <v>0</v>
      </c>
      <c r="M506" t="n">
        <v>0</v>
      </c>
      <c r="N506" t="n">
        <v>0</v>
      </c>
      <c r="O506" t="n">
        <v>0</v>
      </c>
      <c r="P506" t="n">
        <v>0</v>
      </c>
      <c r="Q506" t="n">
        <v>0</v>
      </c>
      <c r="R506" s="2" t="inlineStr"/>
    </row>
    <row r="507" ht="15" customHeight="1">
      <c r="A507" t="inlineStr">
        <is>
          <t>A 10130-2024</t>
        </is>
      </c>
      <c r="B507" s="1" t="n">
        <v>45364</v>
      </c>
      <c r="C507" s="1" t="n">
        <v>45588</v>
      </c>
      <c r="D507" t="inlineStr">
        <is>
          <t>NORRBOTTENS LÄN</t>
        </is>
      </c>
      <c r="E507" t="inlineStr">
        <is>
          <t>ARVIDSJAUR</t>
        </is>
      </c>
      <c r="F507" t="inlineStr">
        <is>
          <t>Sveaskog</t>
        </is>
      </c>
      <c r="G507" t="n">
        <v>22.5</v>
      </c>
      <c r="H507" t="n">
        <v>0</v>
      </c>
      <c r="I507" t="n">
        <v>0</v>
      </c>
      <c r="J507" t="n">
        <v>0</v>
      </c>
      <c r="K507" t="n">
        <v>0</v>
      </c>
      <c r="L507" t="n">
        <v>0</v>
      </c>
      <c r="M507" t="n">
        <v>0</v>
      </c>
      <c r="N507" t="n">
        <v>0</v>
      </c>
      <c r="O507" t="n">
        <v>0</v>
      </c>
      <c r="P507" t="n">
        <v>0</v>
      </c>
      <c r="Q507" t="n">
        <v>0</v>
      </c>
      <c r="R507" s="2" t="inlineStr"/>
    </row>
    <row r="508" ht="15" customHeight="1">
      <c r="A508" t="inlineStr">
        <is>
          <t>A 10126-2024</t>
        </is>
      </c>
      <c r="B508" s="1" t="n">
        <v>45364</v>
      </c>
      <c r="C508" s="1" t="n">
        <v>45588</v>
      </c>
      <c r="D508" t="inlineStr">
        <is>
          <t>NORRBOTTENS LÄN</t>
        </is>
      </c>
      <c r="E508" t="inlineStr">
        <is>
          <t>ARVIDSJAUR</t>
        </is>
      </c>
      <c r="F508" t="inlineStr">
        <is>
          <t>Sveaskog</t>
        </is>
      </c>
      <c r="G508" t="n">
        <v>19.8</v>
      </c>
      <c r="H508" t="n">
        <v>0</v>
      </c>
      <c r="I508" t="n">
        <v>0</v>
      </c>
      <c r="J508" t="n">
        <v>0</v>
      </c>
      <c r="K508" t="n">
        <v>0</v>
      </c>
      <c r="L508" t="n">
        <v>0</v>
      </c>
      <c r="M508" t="n">
        <v>0</v>
      </c>
      <c r="N508" t="n">
        <v>0</v>
      </c>
      <c r="O508" t="n">
        <v>0</v>
      </c>
      <c r="P508" t="n">
        <v>0</v>
      </c>
      <c r="Q508" t="n">
        <v>0</v>
      </c>
      <c r="R508" s="2" t="inlineStr"/>
    </row>
    <row r="509" ht="15" customHeight="1">
      <c r="A509" t="inlineStr">
        <is>
          <t>A 10243-2024</t>
        </is>
      </c>
      <c r="B509" s="1" t="n">
        <v>45365</v>
      </c>
      <c r="C509" s="1" t="n">
        <v>45588</v>
      </c>
      <c r="D509" t="inlineStr">
        <is>
          <t>NORRBOTTENS LÄN</t>
        </is>
      </c>
      <c r="E509" t="inlineStr">
        <is>
          <t>ARVIDSJAUR</t>
        </is>
      </c>
      <c r="F509" t="inlineStr">
        <is>
          <t>Sveaskog</t>
        </is>
      </c>
      <c r="G509" t="n">
        <v>7.5</v>
      </c>
      <c r="H509" t="n">
        <v>0</v>
      </c>
      <c r="I509" t="n">
        <v>0</v>
      </c>
      <c r="J509" t="n">
        <v>0</v>
      </c>
      <c r="K509" t="n">
        <v>0</v>
      </c>
      <c r="L509" t="n">
        <v>0</v>
      </c>
      <c r="M509" t="n">
        <v>0</v>
      </c>
      <c r="N509" t="n">
        <v>0</v>
      </c>
      <c r="O509" t="n">
        <v>0</v>
      </c>
      <c r="P509" t="n">
        <v>0</v>
      </c>
      <c r="Q509" t="n">
        <v>0</v>
      </c>
      <c r="R509" s="2" t="inlineStr"/>
    </row>
    <row r="510" ht="15" customHeight="1">
      <c r="A510" t="inlineStr">
        <is>
          <t>A 10538-2024</t>
        </is>
      </c>
      <c r="B510" s="1" t="n">
        <v>45366</v>
      </c>
      <c r="C510" s="1" t="n">
        <v>45588</v>
      </c>
      <c r="D510" t="inlineStr">
        <is>
          <t>NORRBOTTENS LÄN</t>
        </is>
      </c>
      <c r="E510" t="inlineStr">
        <is>
          <t>ARVIDSJAUR</t>
        </is>
      </c>
      <c r="G510" t="n">
        <v>4.8</v>
      </c>
      <c r="H510" t="n">
        <v>0</v>
      </c>
      <c r="I510" t="n">
        <v>0</v>
      </c>
      <c r="J510" t="n">
        <v>0</v>
      </c>
      <c r="K510" t="n">
        <v>0</v>
      </c>
      <c r="L510" t="n">
        <v>0</v>
      </c>
      <c r="M510" t="n">
        <v>0</v>
      </c>
      <c r="N510" t="n">
        <v>0</v>
      </c>
      <c r="O510" t="n">
        <v>0</v>
      </c>
      <c r="P510" t="n">
        <v>0</v>
      </c>
      <c r="Q510" t="n">
        <v>0</v>
      </c>
      <c r="R510" s="2" t="inlineStr"/>
    </row>
    <row r="511" ht="15" customHeight="1">
      <c r="A511" t="inlineStr">
        <is>
          <t>A 10846-2024</t>
        </is>
      </c>
      <c r="B511" s="1" t="n">
        <v>45369</v>
      </c>
      <c r="C511" s="1" t="n">
        <v>45588</v>
      </c>
      <c r="D511" t="inlineStr">
        <is>
          <t>NORRBOTTENS LÄN</t>
        </is>
      </c>
      <c r="E511" t="inlineStr">
        <is>
          <t>ARVIDSJAUR</t>
        </is>
      </c>
      <c r="G511" t="n">
        <v>5.9</v>
      </c>
      <c r="H511" t="n">
        <v>0</v>
      </c>
      <c r="I511" t="n">
        <v>0</v>
      </c>
      <c r="J511" t="n">
        <v>0</v>
      </c>
      <c r="K511" t="n">
        <v>0</v>
      </c>
      <c r="L511" t="n">
        <v>0</v>
      </c>
      <c r="M511" t="n">
        <v>0</v>
      </c>
      <c r="N511" t="n">
        <v>0</v>
      </c>
      <c r="O511" t="n">
        <v>0</v>
      </c>
      <c r="P511" t="n">
        <v>0</v>
      </c>
      <c r="Q511" t="n">
        <v>0</v>
      </c>
      <c r="R511" s="2" t="inlineStr"/>
    </row>
    <row r="512" ht="15" customHeight="1">
      <c r="A512" t="inlineStr">
        <is>
          <t>A 10845-2024</t>
        </is>
      </c>
      <c r="B512" s="1" t="n">
        <v>45369</v>
      </c>
      <c r="C512" s="1" t="n">
        <v>45588</v>
      </c>
      <c r="D512" t="inlineStr">
        <is>
          <t>NORRBOTTENS LÄN</t>
        </is>
      </c>
      <c r="E512" t="inlineStr">
        <is>
          <t>ARVIDSJAUR</t>
        </is>
      </c>
      <c r="G512" t="n">
        <v>1.9</v>
      </c>
      <c r="H512" t="n">
        <v>0</v>
      </c>
      <c r="I512" t="n">
        <v>0</v>
      </c>
      <c r="J512" t="n">
        <v>0</v>
      </c>
      <c r="K512" t="n">
        <v>0</v>
      </c>
      <c r="L512" t="n">
        <v>0</v>
      </c>
      <c r="M512" t="n">
        <v>0</v>
      </c>
      <c r="N512" t="n">
        <v>0</v>
      </c>
      <c r="O512" t="n">
        <v>0</v>
      </c>
      <c r="P512" t="n">
        <v>0</v>
      </c>
      <c r="Q512" t="n">
        <v>0</v>
      </c>
      <c r="R512" s="2" t="inlineStr"/>
    </row>
    <row r="513" ht="15" customHeight="1">
      <c r="A513" t="inlineStr">
        <is>
          <t>A 10848-2024</t>
        </is>
      </c>
      <c r="B513" s="1" t="n">
        <v>45369</v>
      </c>
      <c r="C513" s="1" t="n">
        <v>45588</v>
      </c>
      <c r="D513" t="inlineStr">
        <is>
          <t>NORRBOTTENS LÄN</t>
        </is>
      </c>
      <c r="E513" t="inlineStr">
        <is>
          <t>ARVIDSJAUR</t>
        </is>
      </c>
      <c r="G513" t="n">
        <v>3.5</v>
      </c>
      <c r="H513" t="n">
        <v>0</v>
      </c>
      <c r="I513" t="n">
        <v>0</v>
      </c>
      <c r="J513" t="n">
        <v>0</v>
      </c>
      <c r="K513" t="n">
        <v>0</v>
      </c>
      <c r="L513" t="n">
        <v>0</v>
      </c>
      <c r="M513" t="n">
        <v>0</v>
      </c>
      <c r="N513" t="n">
        <v>0</v>
      </c>
      <c r="O513" t="n">
        <v>0</v>
      </c>
      <c r="P513" t="n">
        <v>0</v>
      </c>
      <c r="Q513" t="n">
        <v>0</v>
      </c>
      <c r="R513" s="2" t="inlineStr"/>
    </row>
    <row r="514" ht="15" customHeight="1">
      <c r="A514" t="inlineStr">
        <is>
          <t>A 12062-2024</t>
        </is>
      </c>
      <c r="B514" s="1" t="n">
        <v>45376</v>
      </c>
      <c r="C514" s="1" t="n">
        <v>45588</v>
      </c>
      <c r="D514" t="inlineStr">
        <is>
          <t>NORRBOTTENS LÄN</t>
        </is>
      </c>
      <c r="E514" t="inlineStr">
        <is>
          <t>ARVIDSJAUR</t>
        </is>
      </c>
      <c r="F514" t="inlineStr">
        <is>
          <t>Allmännings- och besparingsskogar</t>
        </is>
      </c>
      <c r="G514" t="n">
        <v>3.3</v>
      </c>
      <c r="H514" t="n">
        <v>0</v>
      </c>
      <c r="I514" t="n">
        <v>0</v>
      </c>
      <c r="J514" t="n">
        <v>0</v>
      </c>
      <c r="K514" t="n">
        <v>0</v>
      </c>
      <c r="L514" t="n">
        <v>0</v>
      </c>
      <c r="M514" t="n">
        <v>0</v>
      </c>
      <c r="N514" t="n">
        <v>0</v>
      </c>
      <c r="O514" t="n">
        <v>0</v>
      </c>
      <c r="P514" t="n">
        <v>0</v>
      </c>
      <c r="Q514" t="n">
        <v>0</v>
      </c>
      <c r="R514" s="2" t="inlineStr"/>
    </row>
    <row r="515" ht="15" customHeight="1">
      <c r="A515" t="inlineStr">
        <is>
          <t>A 14977-2024</t>
        </is>
      </c>
      <c r="B515" s="1" t="n">
        <v>45398</v>
      </c>
      <c r="C515" s="1" t="n">
        <v>45588</v>
      </c>
      <c r="D515" t="inlineStr">
        <is>
          <t>NORRBOTTENS LÄN</t>
        </is>
      </c>
      <c r="E515" t="inlineStr">
        <is>
          <t>ARVIDSJAUR</t>
        </is>
      </c>
      <c r="F515" t="inlineStr">
        <is>
          <t>SCA</t>
        </is>
      </c>
      <c r="G515" t="n">
        <v>55.7</v>
      </c>
      <c r="H515" t="n">
        <v>0</v>
      </c>
      <c r="I515" t="n">
        <v>0</v>
      </c>
      <c r="J515" t="n">
        <v>0</v>
      </c>
      <c r="K515" t="n">
        <v>0</v>
      </c>
      <c r="L515" t="n">
        <v>0</v>
      </c>
      <c r="M515" t="n">
        <v>0</v>
      </c>
      <c r="N515" t="n">
        <v>0</v>
      </c>
      <c r="O515" t="n">
        <v>0</v>
      </c>
      <c r="P515" t="n">
        <v>0</v>
      </c>
      <c r="Q515" t="n">
        <v>0</v>
      </c>
      <c r="R515" s="2" t="inlineStr"/>
    </row>
    <row r="516" ht="15" customHeight="1">
      <c r="A516" t="inlineStr">
        <is>
          <t>A 15091-2024</t>
        </is>
      </c>
      <c r="B516" s="1" t="n">
        <v>45399</v>
      </c>
      <c r="C516" s="1" t="n">
        <v>45588</v>
      </c>
      <c r="D516" t="inlineStr">
        <is>
          <t>NORRBOTTENS LÄN</t>
        </is>
      </c>
      <c r="E516" t="inlineStr">
        <is>
          <t>ARVIDSJAUR</t>
        </is>
      </c>
      <c r="F516" t="inlineStr">
        <is>
          <t>Sveaskog</t>
        </is>
      </c>
      <c r="G516" t="n">
        <v>41.6</v>
      </c>
      <c r="H516" t="n">
        <v>0</v>
      </c>
      <c r="I516" t="n">
        <v>0</v>
      </c>
      <c r="J516" t="n">
        <v>0</v>
      </c>
      <c r="K516" t="n">
        <v>0</v>
      </c>
      <c r="L516" t="n">
        <v>0</v>
      </c>
      <c r="M516" t="n">
        <v>0</v>
      </c>
      <c r="N516" t="n">
        <v>0</v>
      </c>
      <c r="O516" t="n">
        <v>0</v>
      </c>
      <c r="P516" t="n">
        <v>0</v>
      </c>
      <c r="Q516" t="n">
        <v>0</v>
      </c>
      <c r="R516" s="2" t="inlineStr"/>
    </row>
    <row r="517" ht="15" customHeight="1">
      <c r="A517" t="inlineStr">
        <is>
          <t>A 15715-2024</t>
        </is>
      </c>
      <c r="B517" s="1" t="n">
        <v>45404</v>
      </c>
      <c r="C517" s="1" t="n">
        <v>45588</v>
      </c>
      <c r="D517" t="inlineStr">
        <is>
          <t>NORRBOTTENS LÄN</t>
        </is>
      </c>
      <c r="E517" t="inlineStr">
        <is>
          <t>ARVIDSJAUR</t>
        </is>
      </c>
      <c r="G517" t="n">
        <v>7.5</v>
      </c>
      <c r="H517" t="n">
        <v>0</v>
      </c>
      <c r="I517" t="n">
        <v>0</v>
      </c>
      <c r="J517" t="n">
        <v>0</v>
      </c>
      <c r="K517" t="n">
        <v>0</v>
      </c>
      <c r="L517" t="n">
        <v>0</v>
      </c>
      <c r="M517" t="n">
        <v>0</v>
      </c>
      <c r="N517" t="n">
        <v>0</v>
      </c>
      <c r="O517" t="n">
        <v>0</v>
      </c>
      <c r="P517" t="n">
        <v>0</v>
      </c>
      <c r="Q517" t="n">
        <v>0</v>
      </c>
      <c r="R517" s="2" t="inlineStr"/>
    </row>
    <row r="518" ht="15" customHeight="1">
      <c r="A518" t="inlineStr">
        <is>
          <t>A 16911-2024</t>
        </is>
      </c>
      <c r="B518" s="1" t="n">
        <v>45411</v>
      </c>
      <c r="C518" s="1" t="n">
        <v>45588</v>
      </c>
      <c r="D518" t="inlineStr">
        <is>
          <t>NORRBOTTENS LÄN</t>
        </is>
      </c>
      <c r="E518" t="inlineStr">
        <is>
          <t>ARVIDSJAUR</t>
        </is>
      </c>
      <c r="F518" t="inlineStr">
        <is>
          <t>Sveaskog</t>
        </is>
      </c>
      <c r="G518" t="n">
        <v>34.1</v>
      </c>
      <c r="H518" t="n">
        <v>0</v>
      </c>
      <c r="I518" t="n">
        <v>0</v>
      </c>
      <c r="J518" t="n">
        <v>0</v>
      </c>
      <c r="K518" t="n">
        <v>0</v>
      </c>
      <c r="L518" t="n">
        <v>0</v>
      </c>
      <c r="M518" t="n">
        <v>0</v>
      </c>
      <c r="N518" t="n">
        <v>0</v>
      </c>
      <c r="O518" t="n">
        <v>0</v>
      </c>
      <c r="P518" t="n">
        <v>0</v>
      </c>
      <c r="Q518" t="n">
        <v>0</v>
      </c>
      <c r="R518" s="2" t="inlineStr"/>
    </row>
    <row r="519" ht="15" customHeight="1">
      <c r="A519" t="inlineStr">
        <is>
          <t>A 17453-2024</t>
        </is>
      </c>
      <c r="B519" s="1" t="n">
        <v>45415</v>
      </c>
      <c r="C519" s="1" t="n">
        <v>45588</v>
      </c>
      <c r="D519" t="inlineStr">
        <is>
          <t>NORRBOTTENS LÄN</t>
        </is>
      </c>
      <c r="E519" t="inlineStr">
        <is>
          <t>ARVIDSJAUR</t>
        </is>
      </c>
      <c r="G519" t="n">
        <v>3.7</v>
      </c>
      <c r="H519" t="n">
        <v>0</v>
      </c>
      <c r="I519" t="n">
        <v>0</v>
      </c>
      <c r="J519" t="n">
        <v>0</v>
      </c>
      <c r="K519" t="n">
        <v>0</v>
      </c>
      <c r="L519" t="n">
        <v>0</v>
      </c>
      <c r="M519" t="n">
        <v>0</v>
      </c>
      <c r="N519" t="n">
        <v>0</v>
      </c>
      <c r="O519" t="n">
        <v>0</v>
      </c>
      <c r="P519" t="n">
        <v>0</v>
      </c>
      <c r="Q519" t="n">
        <v>0</v>
      </c>
      <c r="R519" s="2" t="inlineStr"/>
    </row>
    <row r="520" ht="15" customHeight="1">
      <c r="A520" t="inlineStr">
        <is>
          <t>A 18785-2024</t>
        </is>
      </c>
      <c r="B520" s="1" t="n">
        <v>45426</v>
      </c>
      <c r="C520" s="1" t="n">
        <v>45588</v>
      </c>
      <c r="D520" t="inlineStr">
        <is>
          <t>NORRBOTTENS LÄN</t>
        </is>
      </c>
      <c r="E520" t="inlineStr">
        <is>
          <t>ARVIDSJAUR</t>
        </is>
      </c>
      <c r="F520" t="inlineStr">
        <is>
          <t>Sveaskog</t>
        </is>
      </c>
      <c r="G520" t="n">
        <v>3.8</v>
      </c>
      <c r="H520" t="n">
        <v>0</v>
      </c>
      <c r="I520" t="n">
        <v>0</v>
      </c>
      <c r="J520" t="n">
        <v>0</v>
      </c>
      <c r="K520" t="n">
        <v>0</v>
      </c>
      <c r="L520" t="n">
        <v>0</v>
      </c>
      <c r="M520" t="n">
        <v>0</v>
      </c>
      <c r="N520" t="n">
        <v>0</v>
      </c>
      <c r="O520" t="n">
        <v>0</v>
      </c>
      <c r="P520" t="n">
        <v>0</v>
      </c>
      <c r="Q520" t="n">
        <v>0</v>
      </c>
      <c r="R520" s="2" t="inlineStr"/>
    </row>
    <row r="521" ht="15" customHeight="1">
      <c r="A521" t="inlineStr">
        <is>
          <t>A 18780-2024</t>
        </is>
      </c>
      <c r="B521" s="1" t="n">
        <v>45426</v>
      </c>
      <c r="C521" s="1" t="n">
        <v>45588</v>
      </c>
      <c r="D521" t="inlineStr">
        <is>
          <t>NORRBOTTENS LÄN</t>
        </is>
      </c>
      <c r="E521" t="inlineStr">
        <is>
          <t>ARVIDSJAUR</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20582-2024</t>
        </is>
      </c>
      <c r="B522" s="1" t="n">
        <v>45436</v>
      </c>
      <c r="C522" s="1" t="n">
        <v>45588</v>
      </c>
      <c r="D522" t="inlineStr">
        <is>
          <t>NORRBOTTENS LÄN</t>
        </is>
      </c>
      <c r="E522" t="inlineStr">
        <is>
          <t>ARVIDSJAUR</t>
        </is>
      </c>
      <c r="F522" t="inlineStr">
        <is>
          <t>Sveaskog</t>
        </is>
      </c>
      <c r="G522" t="n">
        <v>12.4</v>
      </c>
      <c r="H522" t="n">
        <v>0</v>
      </c>
      <c r="I522" t="n">
        <v>0</v>
      </c>
      <c r="J522" t="n">
        <v>0</v>
      </c>
      <c r="K522" t="n">
        <v>0</v>
      </c>
      <c r="L522" t="n">
        <v>0</v>
      </c>
      <c r="M522" t="n">
        <v>0</v>
      </c>
      <c r="N522" t="n">
        <v>0</v>
      </c>
      <c r="O522" t="n">
        <v>0</v>
      </c>
      <c r="P522" t="n">
        <v>0</v>
      </c>
      <c r="Q522" t="n">
        <v>0</v>
      </c>
      <c r="R522" s="2" t="inlineStr"/>
    </row>
    <row r="523" ht="15" customHeight="1">
      <c r="A523" t="inlineStr">
        <is>
          <t>A 20574-2024</t>
        </is>
      </c>
      <c r="B523" s="1" t="n">
        <v>45436</v>
      </c>
      <c r="C523" s="1" t="n">
        <v>45588</v>
      </c>
      <c r="D523" t="inlineStr">
        <is>
          <t>NORRBOTTENS LÄN</t>
        </is>
      </c>
      <c r="E523" t="inlineStr">
        <is>
          <t>ARVIDSJAUR</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20593-2024</t>
        </is>
      </c>
      <c r="B524" s="1" t="n">
        <v>45436</v>
      </c>
      <c r="C524" s="1" t="n">
        <v>45588</v>
      </c>
      <c r="D524" t="inlineStr">
        <is>
          <t>NORRBOTTENS LÄN</t>
        </is>
      </c>
      <c r="E524" t="inlineStr">
        <is>
          <t>ARVIDSJAUR</t>
        </is>
      </c>
      <c r="F524" t="inlineStr">
        <is>
          <t>Sveaskog</t>
        </is>
      </c>
      <c r="G524" t="n">
        <v>7.1</v>
      </c>
      <c r="H524" t="n">
        <v>0</v>
      </c>
      <c r="I524" t="n">
        <v>0</v>
      </c>
      <c r="J524" t="n">
        <v>0</v>
      </c>
      <c r="K524" t="n">
        <v>0</v>
      </c>
      <c r="L524" t="n">
        <v>0</v>
      </c>
      <c r="M524" t="n">
        <v>0</v>
      </c>
      <c r="N524" t="n">
        <v>0</v>
      </c>
      <c r="O524" t="n">
        <v>0</v>
      </c>
      <c r="P524" t="n">
        <v>0</v>
      </c>
      <c r="Q524" t="n">
        <v>0</v>
      </c>
      <c r="R524" s="2" t="inlineStr"/>
    </row>
    <row r="525" ht="15" customHeight="1">
      <c r="A525" t="inlineStr">
        <is>
          <t>A 20573-2024</t>
        </is>
      </c>
      <c r="B525" s="1" t="n">
        <v>45436</v>
      </c>
      <c r="C525" s="1" t="n">
        <v>45588</v>
      </c>
      <c r="D525" t="inlineStr">
        <is>
          <t>NORRBOTTENS LÄN</t>
        </is>
      </c>
      <c r="E525" t="inlineStr">
        <is>
          <t>ARVIDSJAUR</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20811-2024</t>
        </is>
      </c>
      <c r="B526" s="1" t="n">
        <v>45439</v>
      </c>
      <c r="C526" s="1" t="n">
        <v>45588</v>
      </c>
      <c r="D526" t="inlineStr">
        <is>
          <t>NORRBOTTENS LÄN</t>
        </is>
      </c>
      <c r="E526" t="inlineStr">
        <is>
          <t>ARVIDSJAUR</t>
        </is>
      </c>
      <c r="G526" t="n">
        <v>1.6</v>
      </c>
      <c r="H526" t="n">
        <v>0</v>
      </c>
      <c r="I526" t="n">
        <v>0</v>
      </c>
      <c r="J526" t="n">
        <v>0</v>
      </c>
      <c r="K526" t="n">
        <v>0</v>
      </c>
      <c r="L526" t="n">
        <v>0</v>
      </c>
      <c r="M526" t="n">
        <v>0</v>
      </c>
      <c r="N526" t="n">
        <v>0</v>
      </c>
      <c r="O526" t="n">
        <v>0</v>
      </c>
      <c r="P526" t="n">
        <v>0</v>
      </c>
      <c r="Q526" t="n">
        <v>0</v>
      </c>
      <c r="R526" s="2" t="inlineStr"/>
    </row>
    <row r="527" ht="15" customHeight="1">
      <c r="A527" t="inlineStr">
        <is>
          <t>A 21358-2024</t>
        </is>
      </c>
      <c r="B527" s="1" t="n">
        <v>45440</v>
      </c>
      <c r="C527" s="1" t="n">
        <v>45588</v>
      </c>
      <c r="D527" t="inlineStr">
        <is>
          <t>NORRBOTTENS LÄN</t>
        </is>
      </c>
      <c r="E527" t="inlineStr">
        <is>
          <t>ARVIDSJAUR</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21704-2024</t>
        </is>
      </c>
      <c r="B528" s="1" t="n">
        <v>45442</v>
      </c>
      <c r="C528" s="1" t="n">
        <v>45588</v>
      </c>
      <c r="D528" t="inlineStr">
        <is>
          <t>NORRBOTTENS LÄN</t>
        </is>
      </c>
      <c r="E528" t="inlineStr">
        <is>
          <t>ARVIDSJAUR</t>
        </is>
      </c>
      <c r="G528" t="n">
        <v>3.1</v>
      </c>
      <c r="H528" t="n">
        <v>0</v>
      </c>
      <c r="I528" t="n">
        <v>0</v>
      </c>
      <c r="J528" t="n">
        <v>0</v>
      </c>
      <c r="K528" t="n">
        <v>0</v>
      </c>
      <c r="L528" t="n">
        <v>0</v>
      </c>
      <c r="M528" t="n">
        <v>0</v>
      </c>
      <c r="N528" t="n">
        <v>0</v>
      </c>
      <c r="O528" t="n">
        <v>0</v>
      </c>
      <c r="P528" t="n">
        <v>0</v>
      </c>
      <c r="Q528" t="n">
        <v>0</v>
      </c>
      <c r="R528" s="2" t="inlineStr"/>
    </row>
    <row r="529" ht="15" customHeight="1">
      <c r="A529" t="inlineStr">
        <is>
          <t>A 22688-2024</t>
        </is>
      </c>
      <c r="B529" s="1" t="n">
        <v>45448</v>
      </c>
      <c r="C529" s="1" t="n">
        <v>45588</v>
      </c>
      <c r="D529" t="inlineStr">
        <is>
          <t>NORRBOTTENS LÄN</t>
        </is>
      </c>
      <c r="E529" t="inlineStr">
        <is>
          <t>ARVIDSJAUR</t>
        </is>
      </c>
      <c r="G529" t="n">
        <v>6.4</v>
      </c>
      <c r="H529" t="n">
        <v>0</v>
      </c>
      <c r="I529" t="n">
        <v>0</v>
      </c>
      <c r="J529" t="n">
        <v>0</v>
      </c>
      <c r="K529" t="n">
        <v>0</v>
      </c>
      <c r="L529" t="n">
        <v>0</v>
      </c>
      <c r="M529" t="n">
        <v>0</v>
      </c>
      <c r="N529" t="n">
        <v>0</v>
      </c>
      <c r="O529" t="n">
        <v>0</v>
      </c>
      <c r="P529" t="n">
        <v>0</v>
      </c>
      <c r="Q529" t="n">
        <v>0</v>
      </c>
      <c r="R529" s="2" t="inlineStr"/>
    </row>
    <row r="530" ht="15" customHeight="1">
      <c r="A530" t="inlineStr">
        <is>
          <t>A 22696-2024</t>
        </is>
      </c>
      <c r="B530" s="1" t="n">
        <v>45448</v>
      </c>
      <c r="C530" s="1" t="n">
        <v>45588</v>
      </c>
      <c r="D530" t="inlineStr">
        <is>
          <t>NORRBOTTENS LÄN</t>
        </is>
      </c>
      <c r="E530" t="inlineStr">
        <is>
          <t>ARVIDSJAUR</t>
        </is>
      </c>
      <c r="F530" t="inlineStr">
        <is>
          <t>Sveaskog</t>
        </is>
      </c>
      <c r="G530" t="n">
        <v>23.1</v>
      </c>
      <c r="H530" t="n">
        <v>0</v>
      </c>
      <c r="I530" t="n">
        <v>0</v>
      </c>
      <c r="J530" t="n">
        <v>0</v>
      </c>
      <c r="K530" t="n">
        <v>0</v>
      </c>
      <c r="L530" t="n">
        <v>0</v>
      </c>
      <c r="M530" t="n">
        <v>0</v>
      </c>
      <c r="N530" t="n">
        <v>0</v>
      </c>
      <c r="O530" t="n">
        <v>0</v>
      </c>
      <c r="P530" t="n">
        <v>0</v>
      </c>
      <c r="Q530" t="n">
        <v>0</v>
      </c>
      <c r="R530" s="2" t="inlineStr"/>
    </row>
    <row r="531" ht="15" customHeight="1">
      <c r="A531" t="inlineStr">
        <is>
          <t>A 22691-2024</t>
        </is>
      </c>
      <c r="B531" s="1" t="n">
        <v>45448</v>
      </c>
      <c r="C531" s="1" t="n">
        <v>45588</v>
      </c>
      <c r="D531" t="inlineStr">
        <is>
          <t>NORRBOTTENS LÄN</t>
        </is>
      </c>
      <c r="E531" t="inlineStr">
        <is>
          <t>ARVIDSJAUR</t>
        </is>
      </c>
      <c r="F531" t="inlineStr">
        <is>
          <t>Sveaskog</t>
        </is>
      </c>
      <c r="G531" t="n">
        <v>11.2</v>
      </c>
      <c r="H531" t="n">
        <v>0</v>
      </c>
      <c r="I531" t="n">
        <v>0</v>
      </c>
      <c r="J531" t="n">
        <v>0</v>
      </c>
      <c r="K531" t="n">
        <v>0</v>
      </c>
      <c r="L531" t="n">
        <v>0</v>
      </c>
      <c r="M531" t="n">
        <v>0</v>
      </c>
      <c r="N531" t="n">
        <v>0</v>
      </c>
      <c r="O531" t="n">
        <v>0</v>
      </c>
      <c r="P531" t="n">
        <v>0</v>
      </c>
      <c r="Q531" t="n">
        <v>0</v>
      </c>
      <c r="R531" s="2" t="inlineStr"/>
    </row>
    <row r="532" ht="15" customHeight="1">
      <c r="A532" t="inlineStr">
        <is>
          <t>A 22996-2024</t>
        </is>
      </c>
      <c r="B532" s="1" t="n">
        <v>45450</v>
      </c>
      <c r="C532" s="1" t="n">
        <v>45588</v>
      </c>
      <c r="D532" t="inlineStr">
        <is>
          <t>NORRBOTTENS LÄN</t>
        </is>
      </c>
      <c r="E532" t="inlineStr">
        <is>
          <t>ARVIDSJAUR</t>
        </is>
      </c>
      <c r="F532" t="inlineStr">
        <is>
          <t>Sveaskog</t>
        </is>
      </c>
      <c r="G532" t="n">
        <v>8.9</v>
      </c>
      <c r="H532" t="n">
        <v>0</v>
      </c>
      <c r="I532" t="n">
        <v>0</v>
      </c>
      <c r="J532" t="n">
        <v>0</v>
      </c>
      <c r="K532" t="n">
        <v>0</v>
      </c>
      <c r="L532" t="n">
        <v>0</v>
      </c>
      <c r="M532" t="n">
        <v>0</v>
      </c>
      <c r="N532" t="n">
        <v>0</v>
      </c>
      <c r="O532" t="n">
        <v>0</v>
      </c>
      <c r="P532" t="n">
        <v>0</v>
      </c>
      <c r="Q532" t="n">
        <v>0</v>
      </c>
      <c r="R532" s="2" t="inlineStr"/>
    </row>
    <row r="533" ht="15" customHeight="1">
      <c r="A533" t="inlineStr">
        <is>
          <t>A 22997-2024</t>
        </is>
      </c>
      <c r="B533" s="1" t="n">
        <v>45450</v>
      </c>
      <c r="C533" s="1" t="n">
        <v>45588</v>
      </c>
      <c r="D533" t="inlineStr">
        <is>
          <t>NORRBOTTENS LÄN</t>
        </is>
      </c>
      <c r="E533" t="inlineStr">
        <is>
          <t>ARVIDSJAUR</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23589-2024</t>
        </is>
      </c>
      <c r="B534" s="1" t="n">
        <v>45454</v>
      </c>
      <c r="C534" s="1" t="n">
        <v>45588</v>
      </c>
      <c r="D534" t="inlineStr">
        <is>
          <t>NORRBOTTENS LÄN</t>
        </is>
      </c>
      <c r="E534" t="inlineStr">
        <is>
          <t>ARVIDSJAUR</t>
        </is>
      </c>
      <c r="G534" t="n">
        <v>9.5</v>
      </c>
      <c r="H534" t="n">
        <v>0</v>
      </c>
      <c r="I534" t="n">
        <v>0</v>
      </c>
      <c r="J534" t="n">
        <v>0</v>
      </c>
      <c r="K534" t="n">
        <v>0</v>
      </c>
      <c r="L534" t="n">
        <v>0</v>
      </c>
      <c r="M534" t="n">
        <v>0</v>
      </c>
      <c r="N534" t="n">
        <v>0</v>
      </c>
      <c r="O534" t="n">
        <v>0</v>
      </c>
      <c r="P534" t="n">
        <v>0</v>
      </c>
      <c r="Q534" t="n">
        <v>0</v>
      </c>
      <c r="R534" s="2" t="inlineStr"/>
    </row>
    <row r="535" ht="15" customHeight="1">
      <c r="A535" t="inlineStr">
        <is>
          <t>A 23736-2024</t>
        </is>
      </c>
      <c r="B535" s="1" t="n">
        <v>45454</v>
      </c>
      <c r="C535" s="1" t="n">
        <v>45588</v>
      </c>
      <c r="D535" t="inlineStr">
        <is>
          <t>NORRBOTTENS LÄN</t>
        </is>
      </c>
      <c r="E535" t="inlineStr">
        <is>
          <t>ARVIDSJAUR</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23592-2024</t>
        </is>
      </c>
      <c r="B536" s="1" t="n">
        <v>45454</v>
      </c>
      <c r="C536" s="1" t="n">
        <v>45588</v>
      </c>
      <c r="D536" t="inlineStr">
        <is>
          <t>NORRBOTTENS LÄN</t>
        </is>
      </c>
      <c r="E536" t="inlineStr">
        <is>
          <t>ARVIDSJAUR</t>
        </is>
      </c>
      <c r="G536" t="n">
        <v>2.4</v>
      </c>
      <c r="H536" t="n">
        <v>0</v>
      </c>
      <c r="I536" t="n">
        <v>0</v>
      </c>
      <c r="J536" t="n">
        <v>0</v>
      </c>
      <c r="K536" t="n">
        <v>0</v>
      </c>
      <c r="L536" t="n">
        <v>0</v>
      </c>
      <c r="M536" t="n">
        <v>0</v>
      </c>
      <c r="N536" t="n">
        <v>0</v>
      </c>
      <c r="O536" t="n">
        <v>0</v>
      </c>
      <c r="P536" t="n">
        <v>0</v>
      </c>
      <c r="Q536" t="n">
        <v>0</v>
      </c>
      <c r="R536" s="2" t="inlineStr"/>
    </row>
    <row r="537" ht="15" customHeight="1">
      <c r="A537" t="inlineStr">
        <is>
          <t>A 24854-2024</t>
        </is>
      </c>
      <c r="B537" s="1" t="n">
        <v>45461</v>
      </c>
      <c r="C537" s="1" t="n">
        <v>45588</v>
      </c>
      <c r="D537" t="inlineStr">
        <is>
          <t>NORRBOTTENS LÄN</t>
        </is>
      </c>
      <c r="E537" t="inlineStr">
        <is>
          <t>ARVIDSJAUR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24860-2024</t>
        </is>
      </c>
      <c r="B538" s="1" t="n">
        <v>45461</v>
      </c>
      <c r="C538" s="1" t="n">
        <v>45588</v>
      </c>
      <c r="D538" t="inlineStr">
        <is>
          <t>NORRBOTTENS LÄN</t>
        </is>
      </c>
      <c r="E538" t="inlineStr">
        <is>
          <t>ARVIDSJAUR</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24836-2024</t>
        </is>
      </c>
      <c r="B539" s="1" t="n">
        <v>45461</v>
      </c>
      <c r="C539" s="1" t="n">
        <v>45588</v>
      </c>
      <c r="D539" t="inlineStr">
        <is>
          <t>NORRBOTTENS LÄN</t>
        </is>
      </c>
      <c r="E539" t="inlineStr">
        <is>
          <t>ARVIDSJAUR</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25121-2024</t>
        </is>
      </c>
      <c r="B540" s="1" t="n">
        <v>45462</v>
      </c>
      <c r="C540" s="1" t="n">
        <v>45588</v>
      </c>
      <c r="D540" t="inlineStr">
        <is>
          <t>NORRBOTTENS LÄN</t>
        </is>
      </c>
      <c r="E540" t="inlineStr">
        <is>
          <t>ARVIDSJAUR</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25043-2024</t>
        </is>
      </c>
      <c r="B541" s="1" t="n">
        <v>45462</v>
      </c>
      <c r="C541" s="1" t="n">
        <v>45588</v>
      </c>
      <c r="D541" t="inlineStr">
        <is>
          <t>NORRBOTTENS LÄN</t>
        </is>
      </c>
      <c r="E541" t="inlineStr">
        <is>
          <t>ARVIDSJAUR</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45588</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45588</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45588</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45588</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45588</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45588</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45588</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45588</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45588</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45588</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45588</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45588</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45588</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45588</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45588</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45588</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45588</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45588</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45588</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45588</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45588</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45588</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45588</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45588</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45588</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45588</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45588</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45588</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45588</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45588</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45588</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45588</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45588</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45588</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45588</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45588</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45588</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45588</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45588</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45588</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45588</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45588</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45588</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45588</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45588</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45588</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45588</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45588</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40937-2024</t>
        </is>
      </c>
      <c r="B590" s="1" t="n">
        <v>45558</v>
      </c>
      <c r="C590" s="1" t="n">
        <v>45588</v>
      </c>
      <c r="D590" t="inlineStr">
        <is>
          <t>NORRBOTTENS LÄN</t>
        </is>
      </c>
      <c r="E590" t="inlineStr">
        <is>
          <t>ARVIDSJAUR</t>
        </is>
      </c>
      <c r="F590" t="inlineStr">
        <is>
          <t>Sveaskog</t>
        </is>
      </c>
      <c r="G590" t="n">
        <v>22.6</v>
      </c>
      <c r="H590" t="n">
        <v>0</v>
      </c>
      <c r="I590" t="n">
        <v>0</v>
      </c>
      <c r="J590" t="n">
        <v>0</v>
      </c>
      <c r="K590" t="n">
        <v>0</v>
      </c>
      <c r="L590" t="n">
        <v>0</v>
      </c>
      <c r="M590" t="n">
        <v>0</v>
      </c>
      <c r="N590" t="n">
        <v>0</v>
      </c>
      <c r="O590" t="n">
        <v>0</v>
      </c>
      <c r="P590" t="n">
        <v>0</v>
      </c>
      <c r="Q590" t="n">
        <v>0</v>
      </c>
      <c r="R590" s="2" t="inlineStr"/>
    </row>
    <row r="591" ht="15" customHeight="1">
      <c r="A591" t="inlineStr">
        <is>
          <t>A 40940-2024</t>
        </is>
      </c>
      <c r="B591" s="1" t="n">
        <v>45558</v>
      </c>
      <c r="C591" s="1" t="n">
        <v>45588</v>
      </c>
      <c r="D591" t="inlineStr">
        <is>
          <t>NORRBOTTENS LÄN</t>
        </is>
      </c>
      <c r="E591" t="inlineStr">
        <is>
          <t>ARVIDSJAUR</t>
        </is>
      </c>
      <c r="F591" t="inlineStr">
        <is>
          <t>Sveaskog</t>
        </is>
      </c>
      <c r="G591" t="n">
        <v>15.4</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45588</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45588</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41587-2024</t>
        </is>
      </c>
      <c r="B594" s="1" t="n">
        <v>45560</v>
      </c>
      <c r="C594" s="1" t="n">
        <v>45588</v>
      </c>
      <c r="D594" t="inlineStr">
        <is>
          <t>NORRBOTTENS LÄN</t>
        </is>
      </c>
      <c r="E594" t="inlineStr">
        <is>
          <t>ARVIDSJAUR</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41599-2024</t>
        </is>
      </c>
      <c r="B595" s="1" t="n">
        <v>45560</v>
      </c>
      <c r="C595" s="1" t="n">
        <v>45588</v>
      </c>
      <c r="D595" t="inlineStr">
        <is>
          <t>NORRBOTTENS LÄN</t>
        </is>
      </c>
      <c r="E595" t="inlineStr">
        <is>
          <t>ARVIDSJAUR</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41659-2024</t>
        </is>
      </c>
      <c r="B596" s="1" t="n">
        <v>45560</v>
      </c>
      <c r="C596" s="1" t="n">
        <v>45588</v>
      </c>
      <c r="D596" t="inlineStr">
        <is>
          <t>NORRBOTTENS LÄN</t>
        </is>
      </c>
      <c r="E596" t="inlineStr">
        <is>
          <t>ARVIDSJAUR</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45588</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45588</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45588</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45588</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45588</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45588</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45588</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45588</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45588</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2024-10-23T13:20:33Z</dcterms:created>
  <dcterms:modified xmlns:dcterms="http://purl.org/dc/terms/" xmlns:xsi="http://www.w3.org/2001/XMLSchema-instance" xsi:type="dcterms:W3CDTF">2024-10-23T13:20:33Z</dcterms:modified>
</cp:coreProperties>
</file>