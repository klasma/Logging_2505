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45976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45976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45976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45976</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45976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45976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45976</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45976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45976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45976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45976</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61137-2022</t>
        </is>
      </c>
      <c r="B22" s="1" t="n">
        <v>44915</v>
      </c>
      <c r="C22" s="1" t="n">
        <v>45976</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11564-2025</t>
        </is>
      </c>
      <c r="B23" s="1" t="n">
        <v>45726</v>
      </c>
      <c r="C23" s="1" t="n">
        <v>45976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45976</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47099-2025</t>
        </is>
      </c>
      <c r="B25" s="1" t="n">
        <v>45929</v>
      </c>
      <c r="C25" s="1" t="n">
        <v>45976</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45976</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11634-2025</t>
        </is>
      </c>
      <c r="B27" s="1" t="n">
        <v>45726</v>
      </c>
      <c r="C27" s="1" t="n">
        <v>45976</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53163-2024</t>
        </is>
      </c>
      <c r="B28" s="1" t="n">
        <v>45611</v>
      </c>
      <c r="C28" s="1" t="n">
        <v>45976</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56489-2025</t>
        </is>
      </c>
      <c r="B29" s="1" t="n">
        <v>45975.41206018518</v>
      </c>
      <c r="C29" s="1" t="n">
        <v>45976</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45976</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32812-2025</t>
        </is>
      </c>
      <c r="B31" s="1" t="n">
        <v>45839.51643518519</v>
      </c>
      <c r="C31" s="1" t="n">
        <v>45976</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47954-2022</t>
        </is>
      </c>
      <c r="B32" s="1" t="n">
        <v>44855</v>
      </c>
      <c r="C32" s="1" t="n">
        <v>45976</v>
      </c>
      <c r="D32" t="inlineStr">
        <is>
          <t>NORRBOTTENS LÄN</t>
        </is>
      </c>
      <c r="E32" t="inlineStr">
        <is>
          <t>ARVIDSJAUR</t>
        </is>
      </c>
      <c r="F32" t="inlineStr">
        <is>
          <t>Sveaskog</t>
        </is>
      </c>
      <c r="G32" t="n">
        <v>3.3</v>
      </c>
      <c r="H32" t="n">
        <v>1</v>
      </c>
      <c r="I32" t="n">
        <v>0</v>
      </c>
      <c r="J32" t="n">
        <v>1</v>
      </c>
      <c r="K32" t="n">
        <v>0</v>
      </c>
      <c r="L32" t="n">
        <v>0</v>
      </c>
      <c r="M32" t="n">
        <v>0</v>
      </c>
      <c r="N32" t="n">
        <v>0</v>
      </c>
      <c r="O32" t="n">
        <v>1</v>
      </c>
      <c r="P32" t="n">
        <v>0</v>
      </c>
      <c r="Q32" t="n">
        <v>1</v>
      </c>
      <c r="R32" s="2" t="inlineStr">
        <is>
          <t>Spillkråka</t>
        </is>
      </c>
      <c r="S32">
        <f>HYPERLINK("https://klasma.github.io/Logging_2505/artfynd/A 47954-2022 artfynd.xlsx", "A 47954-2022")</f>
        <v/>
      </c>
      <c r="T32">
        <f>HYPERLINK("https://klasma.github.io/Logging_2505/kartor/A 47954-2022 karta.png", "A 47954-2022")</f>
        <v/>
      </c>
      <c r="V32">
        <f>HYPERLINK("https://klasma.github.io/Logging_2505/klagomål/A 47954-2022 FSC-klagomål.docx", "A 47954-2022")</f>
        <v/>
      </c>
      <c r="W32">
        <f>HYPERLINK("https://klasma.github.io/Logging_2505/klagomålsmail/A 47954-2022 FSC-klagomål mail.docx", "A 47954-2022")</f>
        <v/>
      </c>
      <c r="X32">
        <f>HYPERLINK("https://klasma.github.io/Logging_2505/tillsyn/A 47954-2022 tillsynsbegäran.docx", "A 47954-2022")</f>
        <v/>
      </c>
      <c r="Y32">
        <f>HYPERLINK("https://klasma.github.io/Logging_2505/tillsynsmail/A 47954-2022 tillsynsbegäran mail.docx", "A 47954-2022")</f>
        <v/>
      </c>
      <c r="Z32">
        <f>HYPERLINK("https://klasma.github.io/Logging_2505/fåglar/A 47954-2022 prioriterade fågelarter.docx", "A 47954-2022")</f>
        <v/>
      </c>
    </row>
    <row r="33" ht="15" customHeight="1">
      <c r="A33" t="inlineStr">
        <is>
          <t>A 57926-2021</t>
        </is>
      </c>
      <c r="B33" s="1" t="n">
        <v>44487</v>
      </c>
      <c r="C33" s="1" t="n">
        <v>45976</v>
      </c>
      <c r="D33" t="inlineStr">
        <is>
          <t>NORRBOTTENS LÄN</t>
        </is>
      </c>
      <c r="E33" t="inlineStr">
        <is>
          <t>ARVIDSJAUR</t>
        </is>
      </c>
      <c r="F33" t="inlineStr">
        <is>
          <t>Sveaskog</t>
        </is>
      </c>
      <c r="G33" t="n">
        <v>28.6</v>
      </c>
      <c r="H33" t="n">
        <v>0</v>
      </c>
      <c r="I33" t="n">
        <v>0</v>
      </c>
      <c r="J33" t="n">
        <v>1</v>
      </c>
      <c r="K33" t="n">
        <v>0</v>
      </c>
      <c r="L33" t="n">
        <v>0</v>
      </c>
      <c r="M33" t="n">
        <v>0</v>
      </c>
      <c r="N33" t="n">
        <v>0</v>
      </c>
      <c r="O33" t="n">
        <v>1</v>
      </c>
      <c r="P33" t="n">
        <v>0</v>
      </c>
      <c r="Q33" t="n">
        <v>1</v>
      </c>
      <c r="R33" s="2" t="inlineStr">
        <is>
          <t>Tallticka</t>
        </is>
      </c>
      <c r="S33">
        <f>HYPERLINK("https://klasma.github.io/Logging_2505/artfynd/A 57926-2021 artfynd.xlsx", "A 57926-2021")</f>
        <v/>
      </c>
      <c r="T33">
        <f>HYPERLINK("https://klasma.github.io/Logging_2505/kartor/A 57926-2021 karta.png", "A 57926-2021")</f>
        <v/>
      </c>
      <c r="V33">
        <f>HYPERLINK("https://klasma.github.io/Logging_2505/klagomål/A 57926-2021 FSC-klagomål.docx", "A 57926-2021")</f>
        <v/>
      </c>
      <c r="W33">
        <f>HYPERLINK("https://klasma.github.io/Logging_2505/klagomålsmail/A 57926-2021 FSC-klagomål mail.docx", "A 57926-2021")</f>
        <v/>
      </c>
      <c r="X33">
        <f>HYPERLINK("https://klasma.github.io/Logging_2505/tillsyn/A 57926-2021 tillsynsbegäran.docx", "A 57926-2021")</f>
        <v/>
      </c>
      <c r="Y33">
        <f>HYPERLINK("https://klasma.github.io/Logging_2505/tillsynsmail/A 57926-2021 tillsynsbegäran mail.docx", "A 57926-2021")</f>
        <v/>
      </c>
    </row>
    <row r="34" ht="15" customHeight="1">
      <c r="A34" t="inlineStr">
        <is>
          <t>A 57994-2021</t>
        </is>
      </c>
      <c r="B34" s="1" t="n">
        <v>44487</v>
      </c>
      <c r="C34" s="1" t="n">
        <v>45976</v>
      </c>
      <c r="D34" t="inlineStr">
        <is>
          <t>NORRBOTTENS LÄN</t>
        </is>
      </c>
      <c r="E34" t="inlineStr">
        <is>
          <t>ARVIDSJAUR</t>
        </is>
      </c>
      <c r="F34" t="inlineStr">
        <is>
          <t>Sveaskog</t>
        </is>
      </c>
      <c r="G34" t="n">
        <v>12.9</v>
      </c>
      <c r="H34" t="n">
        <v>1</v>
      </c>
      <c r="I34" t="n">
        <v>0</v>
      </c>
      <c r="J34" t="n">
        <v>1</v>
      </c>
      <c r="K34" t="n">
        <v>0</v>
      </c>
      <c r="L34" t="n">
        <v>0</v>
      </c>
      <c r="M34" t="n">
        <v>0</v>
      </c>
      <c r="N34" t="n">
        <v>0</v>
      </c>
      <c r="O34" t="n">
        <v>1</v>
      </c>
      <c r="P34" t="n">
        <v>0</v>
      </c>
      <c r="Q34" t="n">
        <v>1</v>
      </c>
      <c r="R34" s="2" t="inlineStr">
        <is>
          <t>Kungsörn</t>
        </is>
      </c>
      <c r="S34">
        <f>HYPERLINK("https://klasma.github.io/Logging_2505/artfynd/A 57994-2021 artfynd.xlsx", "A 57994-2021")</f>
        <v/>
      </c>
      <c r="T34">
        <f>HYPERLINK("https://klasma.github.io/Logging_2505/kartor/A 57994-2021 karta.png", "A 57994-2021")</f>
        <v/>
      </c>
      <c r="V34">
        <f>HYPERLINK("https://klasma.github.io/Logging_2505/klagomål/A 57994-2021 FSC-klagomål.docx", "A 57994-2021")</f>
        <v/>
      </c>
      <c r="W34">
        <f>HYPERLINK("https://klasma.github.io/Logging_2505/klagomålsmail/A 57994-2021 FSC-klagomål mail.docx", "A 57994-2021")</f>
        <v/>
      </c>
      <c r="X34">
        <f>HYPERLINK("https://klasma.github.io/Logging_2505/tillsyn/A 57994-2021 tillsynsbegäran.docx", "A 57994-2021")</f>
        <v/>
      </c>
      <c r="Y34">
        <f>HYPERLINK("https://klasma.github.io/Logging_2505/tillsynsmail/A 57994-2021 tillsynsbegäran mail.docx", "A 57994-2021")</f>
        <v/>
      </c>
      <c r="Z34">
        <f>HYPERLINK("https://klasma.github.io/Logging_2505/fåglar/A 57994-2021 prioriterade fågelarter.docx", "A 57994-2021")</f>
        <v/>
      </c>
    </row>
    <row r="35" ht="15" customHeight="1">
      <c r="A35" t="inlineStr">
        <is>
          <t>A 50826-2025</t>
        </is>
      </c>
      <c r="B35" s="1" t="n">
        <v>45946.54731481482</v>
      </c>
      <c r="C35" s="1" t="n">
        <v>45976</v>
      </c>
      <c r="D35" t="inlineStr">
        <is>
          <t>NORRBOTTENS LÄN</t>
        </is>
      </c>
      <c r="E35" t="inlineStr">
        <is>
          <t>ARVIDSJAUR</t>
        </is>
      </c>
      <c r="F35" t="inlineStr">
        <is>
          <t>Sveaskog</t>
        </is>
      </c>
      <c r="G35" t="n">
        <v>31.8</v>
      </c>
      <c r="H35" t="n">
        <v>0</v>
      </c>
      <c r="I35" t="n">
        <v>0</v>
      </c>
      <c r="J35" t="n">
        <v>1</v>
      </c>
      <c r="K35" t="n">
        <v>0</v>
      </c>
      <c r="L35" t="n">
        <v>0</v>
      </c>
      <c r="M35" t="n">
        <v>0</v>
      </c>
      <c r="N35" t="n">
        <v>0</v>
      </c>
      <c r="O35" t="n">
        <v>1</v>
      </c>
      <c r="P35" t="n">
        <v>0</v>
      </c>
      <c r="Q35" t="n">
        <v>1</v>
      </c>
      <c r="R35" s="2" t="inlineStr">
        <is>
          <t>Lunglav</t>
        </is>
      </c>
      <c r="S35">
        <f>HYPERLINK("https://klasma.github.io/Logging_2505/artfynd/A 50826-2025 artfynd.xlsx", "A 50826-2025")</f>
        <v/>
      </c>
      <c r="T35">
        <f>HYPERLINK("https://klasma.github.io/Logging_2505/kartor/A 50826-2025 karta.png", "A 50826-2025")</f>
        <v/>
      </c>
      <c r="V35">
        <f>HYPERLINK("https://klasma.github.io/Logging_2505/klagomål/A 50826-2025 FSC-klagomål.docx", "A 50826-2025")</f>
        <v/>
      </c>
      <c r="W35">
        <f>HYPERLINK("https://klasma.github.io/Logging_2505/klagomålsmail/A 50826-2025 FSC-klagomål mail.docx", "A 50826-2025")</f>
        <v/>
      </c>
      <c r="X35">
        <f>HYPERLINK("https://klasma.github.io/Logging_2505/tillsyn/A 50826-2025 tillsynsbegäran.docx", "A 50826-2025")</f>
        <v/>
      </c>
      <c r="Y35">
        <f>HYPERLINK("https://klasma.github.io/Logging_2505/tillsynsmail/A 50826-2025 tillsynsbegäran mail.docx", "A 50826-2025")</f>
        <v/>
      </c>
    </row>
    <row r="36" ht="15" customHeight="1">
      <c r="A36" t="inlineStr">
        <is>
          <t>A 38166-2023</t>
        </is>
      </c>
      <c r="B36" s="1" t="n">
        <v>45161</v>
      </c>
      <c r="C36" s="1" t="n">
        <v>45976</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45579-2025</t>
        </is>
      </c>
      <c r="B37" s="1" t="n">
        <v>45922.66604166666</v>
      </c>
      <c r="C37" s="1" t="n">
        <v>45976</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47094-2025</t>
        </is>
      </c>
      <c r="B38" s="1" t="n">
        <v>45929.65230324074</v>
      </c>
      <c r="C38" s="1" t="n">
        <v>45976</v>
      </c>
      <c r="D38" t="inlineStr">
        <is>
          <t>NORRBOTTENS LÄN</t>
        </is>
      </c>
      <c r="E38" t="inlineStr">
        <is>
          <t>ARVIDSJAUR</t>
        </is>
      </c>
      <c r="F38" t="inlineStr">
        <is>
          <t>Sveaskog</t>
        </is>
      </c>
      <c r="G38" t="n">
        <v>6.8</v>
      </c>
      <c r="H38" t="n">
        <v>0</v>
      </c>
      <c r="I38" t="n">
        <v>1</v>
      </c>
      <c r="J38" t="n">
        <v>0</v>
      </c>
      <c r="K38" t="n">
        <v>0</v>
      </c>
      <c r="L38" t="n">
        <v>0</v>
      </c>
      <c r="M38" t="n">
        <v>0</v>
      </c>
      <c r="N38" t="n">
        <v>0</v>
      </c>
      <c r="O38" t="n">
        <v>0</v>
      </c>
      <c r="P38" t="n">
        <v>0</v>
      </c>
      <c r="Q38" t="n">
        <v>1</v>
      </c>
      <c r="R38" s="2" t="inlineStr">
        <is>
          <t>Strutbräken</t>
        </is>
      </c>
      <c r="S38">
        <f>HYPERLINK("https://klasma.github.io/Logging_2505/artfynd/A 47094-2025 artfynd.xlsx", "A 47094-2025")</f>
        <v/>
      </c>
      <c r="T38">
        <f>HYPERLINK("https://klasma.github.io/Logging_2505/kartor/A 47094-2025 karta.png", "A 47094-2025")</f>
        <v/>
      </c>
      <c r="V38">
        <f>HYPERLINK("https://klasma.github.io/Logging_2505/klagomål/A 47094-2025 FSC-klagomål.docx", "A 47094-2025")</f>
        <v/>
      </c>
      <c r="W38">
        <f>HYPERLINK("https://klasma.github.io/Logging_2505/klagomålsmail/A 47094-2025 FSC-klagomål mail.docx", "A 47094-2025")</f>
        <v/>
      </c>
      <c r="X38">
        <f>HYPERLINK("https://klasma.github.io/Logging_2505/tillsyn/A 47094-2025 tillsynsbegäran.docx", "A 47094-2025")</f>
        <v/>
      </c>
      <c r="Y38">
        <f>HYPERLINK("https://klasma.github.io/Logging_2505/tillsynsmail/A 47094-2025 tillsynsbegäran mail.docx", "A 47094-2025")</f>
        <v/>
      </c>
    </row>
    <row r="39" ht="15" customHeight="1">
      <c r="A39" t="inlineStr">
        <is>
          <t>A 29314-2023</t>
        </is>
      </c>
      <c r="B39" s="1" t="n">
        <v>45105</v>
      </c>
      <c r="C39" s="1" t="n">
        <v>45976</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48368-2024</t>
        </is>
      </c>
      <c r="B40" s="1" t="n">
        <v>45590.57829861111</v>
      </c>
      <c r="C40" s="1" t="n">
        <v>45976</v>
      </c>
      <c r="D40" t="inlineStr">
        <is>
          <t>NORRBOTTENS LÄN</t>
        </is>
      </c>
      <c r="E40" t="inlineStr">
        <is>
          <t>ARVIDSJAUR</t>
        </is>
      </c>
      <c r="F40" t="inlineStr">
        <is>
          <t>Sveaskog</t>
        </is>
      </c>
      <c r="G40" t="n">
        <v>7.2</v>
      </c>
      <c r="H40" t="n">
        <v>0</v>
      </c>
      <c r="I40" t="n">
        <v>0</v>
      </c>
      <c r="J40" t="n">
        <v>1</v>
      </c>
      <c r="K40" t="n">
        <v>0</v>
      </c>
      <c r="L40" t="n">
        <v>0</v>
      </c>
      <c r="M40" t="n">
        <v>0</v>
      </c>
      <c r="N40" t="n">
        <v>0</v>
      </c>
      <c r="O40" t="n">
        <v>1</v>
      </c>
      <c r="P40" t="n">
        <v>0</v>
      </c>
      <c r="Q40" t="n">
        <v>1</v>
      </c>
      <c r="R40" s="2" t="inlineStr">
        <is>
          <t>Orange taggsvamp</t>
        </is>
      </c>
      <c r="S40">
        <f>HYPERLINK("https://klasma.github.io/Logging_2505/artfynd/A 48368-2024 artfynd.xlsx", "A 48368-2024")</f>
        <v/>
      </c>
      <c r="T40">
        <f>HYPERLINK("https://klasma.github.io/Logging_2505/kartor/A 48368-2024 karta.png", "A 48368-2024")</f>
        <v/>
      </c>
      <c r="V40">
        <f>HYPERLINK("https://klasma.github.io/Logging_2505/klagomål/A 48368-2024 FSC-klagomål.docx", "A 48368-2024")</f>
        <v/>
      </c>
      <c r="W40">
        <f>HYPERLINK("https://klasma.github.io/Logging_2505/klagomålsmail/A 48368-2024 FSC-klagomål mail.docx", "A 48368-2024")</f>
        <v/>
      </c>
      <c r="X40">
        <f>HYPERLINK("https://klasma.github.io/Logging_2505/tillsyn/A 48368-2024 tillsynsbegäran.docx", "A 48368-2024")</f>
        <v/>
      </c>
      <c r="Y40">
        <f>HYPERLINK("https://klasma.github.io/Logging_2505/tillsynsmail/A 48368-2024 tillsynsbegäran mail.docx", "A 48368-2024")</f>
        <v/>
      </c>
    </row>
    <row r="41" ht="15" customHeight="1">
      <c r="A41" t="inlineStr">
        <is>
          <t>A 26560-2025</t>
        </is>
      </c>
      <c r="B41" s="1" t="n">
        <v>45807.64883101852</v>
      </c>
      <c r="C41" s="1" t="n">
        <v>45976</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55653-2025</t>
        </is>
      </c>
      <c r="B42" s="1" t="n">
        <v>45972.38201388889</v>
      </c>
      <c r="C42" s="1" t="n">
        <v>45976</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45976</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45386-2024</t>
        </is>
      </c>
      <c r="B44" s="1" t="n">
        <v>45576.53655092593</v>
      </c>
      <c r="C44" s="1" t="n">
        <v>45976</v>
      </c>
      <c r="D44" t="inlineStr">
        <is>
          <t>NORRBOTTENS LÄN</t>
        </is>
      </c>
      <c r="E44" t="inlineStr">
        <is>
          <t>ARVIDSJAUR</t>
        </is>
      </c>
      <c r="F44" t="inlineStr">
        <is>
          <t>Sveaskog</t>
        </is>
      </c>
      <c r="G44" t="n">
        <v>11.9</v>
      </c>
      <c r="H44" t="n">
        <v>0</v>
      </c>
      <c r="I44" t="n">
        <v>1</v>
      </c>
      <c r="J44" t="n">
        <v>0</v>
      </c>
      <c r="K44" t="n">
        <v>0</v>
      </c>
      <c r="L44" t="n">
        <v>0</v>
      </c>
      <c r="M44" t="n">
        <v>0</v>
      </c>
      <c r="N44" t="n">
        <v>0</v>
      </c>
      <c r="O44" t="n">
        <v>0</v>
      </c>
      <c r="P44" t="n">
        <v>0</v>
      </c>
      <c r="Q44" t="n">
        <v>1</v>
      </c>
      <c r="R44" s="2" t="inlineStr">
        <is>
          <t>Dropptaggsvamp</t>
        </is>
      </c>
      <c r="S44">
        <f>HYPERLINK("https://klasma.github.io/Logging_2505/artfynd/A 45386-2024 artfynd.xlsx", "A 45386-2024")</f>
        <v/>
      </c>
      <c r="T44">
        <f>HYPERLINK("https://klasma.github.io/Logging_2505/kartor/A 45386-2024 karta.png", "A 45386-2024")</f>
        <v/>
      </c>
      <c r="V44">
        <f>HYPERLINK("https://klasma.github.io/Logging_2505/klagomål/A 45386-2024 FSC-klagomål.docx", "A 45386-2024")</f>
        <v/>
      </c>
      <c r="W44">
        <f>HYPERLINK("https://klasma.github.io/Logging_2505/klagomålsmail/A 45386-2024 FSC-klagomål mail.docx", "A 45386-2024")</f>
        <v/>
      </c>
      <c r="X44">
        <f>HYPERLINK("https://klasma.github.io/Logging_2505/tillsyn/A 45386-2024 tillsynsbegäran.docx", "A 45386-2024")</f>
        <v/>
      </c>
      <c r="Y44">
        <f>HYPERLINK("https://klasma.github.io/Logging_2505/tillsynsmail/A 45386-2024 tillsynsbegäran mail.docx", "A 45386-2024")</f>
        <v/>
      </c>
    </row>
    <row r="45" ht="15" customHeight="1">
      <c r="A45" t="inlineStr">
        <is>
          <t>A 54539-2024</t>
        </is>
      </c>
      <c r="B45" s="1" t="n">
        <v>45617</v>
      </c>
      <c r="C45" s="1" t="n">
        <v>45976</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22837-2021</t>
        </is>
      </c>
      <c r="B46" s="1" t="n">
        <v>44326</v>
      </c>
      <c r="C46" s="1" t="n">
        <v>45976</v>
      </c>
      <c r="D46" t="inlineStr">
        <is>
          <t>NORRBOTTENS LÄN</t>
        </is>
      </c>
      <c r="E46" t="inlineStr">
        <is>
          <t>ARVIDSJAUR</t>
        </is>
      </c>
      <c r="G46" t="n">
        <v>3</v>
      </c>
      <c r="H46" t="n">
        <v>0</v>
      </c>
      <c r="I46" t="n">
        <v>0</v>
      </c>
      <c r="J46" t="n">
        <v>0</v>
      </c>
      <c r="K46" t="n">
        <v>0</v>
      </c>
      <c r="L46" t="n">
        <v>0</v>
      </c>
      <c r="M46" t="n">
        <v>0</v>
      </c>
      <c r="N46" t="n">
        <v>0</v>
      </c>
      <c r="O46" t="n">
        <v>0</v>
      </c>
      <c r="P46" t="n">
        <v>0</v>
      </c>
      <c r="Q46" t="n">
        <v>0</v>
      </c>
      <c r="R46" s="2" t="inlineStr"/>
    </row>
    <row r="47" ht="15" customHeight="1">
      <c r="A47" t="inlineStr">
        <is>
          <t>A 40844-2021</t>
        </is>
      </c>
      <c r="B47" s="1" t="n">
        <v>44421</v>
      </c>
      <c r="C47" s="1" t="n">
        <v>45976</v>
      </c>
      <c r="D47" t="inlineStr">
        <is>
          <t>NORRBOTTENS LÄN</t>
        </is>
      </c>
      <c r="E47" t="inlineStr">
        <is>
          <t>ARVIDSJAUR</t>
        </is>
      </c>
      <c r="G47" t="n">
        <v>0.3</v>
      </c>
      <c r="H47" t="n">
        <v>0</v>
      </c>
      <c r="I47" t="n">
        <v>0</v>
      </c>
      <c r="J47" t="n">
        <v>0</v>
      </c>
      <c r="K47" t="n">
        <v>0</v>
      </c>
      <c r="L47" t="n">
        <v>0</v>
      </c>
      <c r="M47" t="n">
        <v>0</v>
      </c>
      <c r="N47" t="n">
        <v>0</v>
      </c>
      <c r="O47" t="n">
        <v>0</v>
      </c>
      <c r="P47" t="n">
        <v>0</v>
      </c>
      <c r="Q47" t="n">
        <v>0</v>
      </c>
      <c r="R47" s="2" t="inlineStr"/>
    </row>
    <row r="48" ht="15" customHeight="1">
      <c r="A48" t="inlineStr">
        <is>
          <t>A 46077-2021</t>
        </is>
      </c>
      <c r="B48" s="1" t="n">
        <v>44442</v>
      </c>
      <c r="C48" s="1" t="n">
        <v>45976</v>
      </c>
      <c r="D48" t="inlineStr">
        <is>
          <t>NORRBOTTENS LÄN</t>
        </is>
      </c>
      <c r="E48" t="inlineStr">
        <is>
          <t>ARVIDSJAUR</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18920-2022</t>
        </is>
      </c>
      <c r="B49" s="1" t="n">
        <v>44690</v>
      </c>
      <c r="C49" s="1" t="n">
        <v>45976</v>
      </c>
      <c r="D49" t="inlineStr">
        <is>
          <t>NORRBOTTENS LÄN</t>
        </is>
      </c>
      <c r="E49" t="inlineStr">
        <is>
          <t>ARVIDSJAUR</t>
        </is>
      </c>
      <c r="F49" t="inlineStr">
        <is>
          <t>Allmännings- och besparingsskogar</t>
        </is>
      </c>
      <c r="G49" t="n">
        <v>1.1</v>
      </c>
      <c r="H49" t="n">
        <v>0</v>
      </c>
      <c r="I49" t="n">
        <v>0</v>
      </c>
      <c r="J49" t="n">
        <v>0</v>
      </c>
      <c r="K49" t="n">
        <v>0</v>
      </c>
      <c r="L49" t="n">
        <v>0</v>
      </c>
      <c r="M49" t="n">
        <v>0</v>
      </c>
      <c r="N49" t="n">
        <v>0</v>
      </c>
      <c r="O49" t="n">
        <v>0</v>
      </c>
      <c r="P49" t="n">
        <v>0</v>
      </c>
      <c r="Q49" t="n">
        <v>0</v>
      </c>
      <c r="R49" s="2" t="inlineStr"/>
    </row>
    <row r="50" ht="15" customHeight="1">
      <c r="A50" t="inlineStr">
        <is>
          <t>A 22832-2022</t>
        </is>
      </c>
      <c r="B50" s="1" t="n">
        <v>44715</v>
      </c>
      <c r="C50" s="1" t="n">
        <v>45976</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46067-2022</t>
        </is>
      </c>
      <c r="B51" s="1" t="n">
        <v>44845</v>
      </c>
      <c r="C51" s="1" t="n">
        <v>45976</v>
      </c>
      <c r="D51" t="inlineStr">
        <is>
          <t>NORRBOTTENS LÄN</t>
        </is>
      </c>
      <c r="E51" t="inlineStr">
        <is>
          <t>ARVIDSJAUR</t>
        </is>
      </c>
      <c r="G51" t="n">
        <v>0.9</v>
      </c>
      <c r="H51" t="n">
        <v>0</v>
      </c>
      <c r="I51" t="n">
        <v>0</v>
      </c>
      <c r="J51" t="n">
        <v>0</v>
      </c>
      <c r="K51" t="n">
        <v>0</v>
      </c>
      <c r="L51" t="n">
        <v>0</v>
      </c>
      <c r="M51" t="n">
        <v>0</v>
      </c>
      <c r="N51" t="n">
        <v>0</v>
      </c>
      <c r="O51" t="n">
        <v>0</v>
      </c>
      <c r="P51" t="n">
        <v>0</v>
      </c>
      <c r="Q51" t="n">
        <v>0</v>
      </c>
      <c r="R51" s="2" t="inlineStr"/>
    </row>
    <row r="52" ht="15" customHeight="1">
      <c r="A52" t="inlineStr">
        <is>
          <t>A 64384-2021</t>
        </is>
      </c>
      <c r="B52" s="1" t="n">
        <v>44511</v>
      </c>
      <c r="C52" s="1" t="n">
        <v>45976</v>
      </c>
      <c r="D52" t="inlineStr">
        <is>
          <t>NORRBOTTENS LÄN</t>
        </is>
      </c>
      <c r="E52" t="inlineStr">
        <is>
          <t>ARVIDSJAUR</t>
        </is>
      </c>
      <c r="G52" t="n">
        <v>6.9</v>
      </c>
      <c r="H52" t="n">
        <v>0</v>
      </c>
      <c r="I52" t="n">
        <v>0</v>
      </c>
      <c r="J52" t="n">
        <v>0</v>
      </c>
      <c r="K52" t="n">
        <v>0</v>
      </c>
      <c r="L52" t="n">
        <v>0</v>
      </c>
      <c r="M52" t="n">
        <v>0</v>
      </c>
      <c r="N52" t="n">
        <v>0</v>
      </c>
      <c r="O52" t="n">
        <v>0</v>
      </c>
      <c r="P52" t="n">
        <v>0</v>
      </c>
      <c r="Q52" t="n">
        <v>0</v>
      </c>
      <c r="R52" s="2" t="inlineStr"/>
    </row>
    <row r="53" ht="15" customHeight="1">
      <c r="A53" t="inlineStr">
        <is>
          <t>A 57958-2021</t>
        </is>
      </c>
      <c r="B53" s="1" t="n">
        <v>44487</v>
      </c>
      <c r="C53" s="1" t="n">
        <v>45976</v>
      </c>
      <c r="D53" t="inlineStr">
        <is>
          <t>NORRBOTTENS LÄN</t>
        </is>
      </c>
      <c r="E53" t="inlineStr">
        <is>
          <t>ARVIDSJAUR</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59049-2021</t>
        </is>
      </c>
      <c r="B54" s="1" t="n">
        <v>44490</v>
      </c>
      <c r="C54" s="1" t="n">
        <v>45976</v>
      </c>
      <c r="D54" t="inlineStr">
        <is>
          <t>NORRBOTTENS LÄN</t>
        </is>
      </c>
      <c r="E54" t="inlineStr">
        <is>
          <t>ARVIDSJAUR</t>
        </is>
      </c>
      <c r="F54" t="inlineStr">
        <is>
          <t>Sveaskog</t>
        </is>
      </c>
      <c r="G54" t="n">
        <v>6.8</v>
      </c>
      <c r="H54" t="n">
        <v>0</v>
      </c>
      <c r="I54" t="n">
        <v>0</v>
      </c>
      <c r="J54" t="n">
        <v>0</v>
      </c>
      <c r="K54" t="n">
        <v>0</v>
      </c>
      <c r="L54" t="n">
        <v>0</v>
      </c>
      <c r="M54" t="n">
        <v>0</v>
      </c>
      <c r="N54" t="n">
        <v>0</v>
      </c>
      <c r="O54" t="n">
        <v>0</v>
      </c>
      <c r="P54" t="n">
        <v>0</v>
      </c>
      <c r="Q54" t="n">
        <v>0</v>
      </c>
      <c r="R54" s="2" t="inlineStr"/>
    </row>
    <row r="55" ht="15" customHeight="1">
      <c r="A55" t="inlineStr">
        <is>
          <t>A 34471-2022</t>
        </is>
      </c>
      <c r="B55" s="1" t="n">
        <v>44792</v>
      </c>
      <c r="C55" s="1" t="n">
        <v>45976</v>
      </c>
      <c r="D55" t="inlineStr">
        <is>
          <t>NORRBOTTENS LÄN</t>
        </is>
      </c>
      <c r="E55" t="inlineStr">
        <is>
          <t>ARVIDSJAUR</t>
        </is>
      </c>
      <c r="F55" t="inlineStr">
        <is>
          <t>Sveaskog</t>
        </is>
      </c>
      <c r="G55" t="n">
        <v>0.7</v>
      </c>
      <c r="H55" t="n">
        <v>0</v>
      </c>
      <c r="I55" t="n">
        <v>0</v>
      </c>
      <c r="J55" t="n">
        <v>0</v>
      </c>
      <c r="K55" t="n">
        <v>0</v>
      </c>
      <c r="L55" t="n">
        <v>0</v>
      </c>
      <c r="M55" t="n">
        <v>0</v>
      </c>
      <c r="N55" t="n">
        <v>0</v>
      </c>
      <c r="O55" t="n">
        <v>0</v>
      </c>
      <c r="P55" t="n">
        <v>0</v>
      </c>
      <c r="Q55" t="n">
        <v>0</v>
      </c>
      <c r="R55" s="2" t="inlineStr"/>
    </row>
    <row r="56" ht="15" customHeight="1">
      <c r="A56" t="inlineStr">
        <is>
          <t>A 34474-2022</t>
        </is>
      </c>
      <c r="B56" s="1" t="n">
        <v>44792</v>
      </c>
      <c r="C56" s="1" t="n">
        <v>45976</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18914-2022</t>
        </is>
      </c>
      <c r="B57" s="1" t="n">
        <v>44690</v>
      </c>
      <c r="C57" s="1" t="n">
        <v>45976</v>
      </c>
      <c r="D57" t="inlineStr">
        <is>
          <t>NORRBOTTENS LÄN</t>
        </is>
      </c>
      <c r="E57" t="inlineStr">
        <is>
          <t>ARVIDSJAUR</t>
        </is>
      </c>
      <c r="F57" t="inlineStr">
        <is>
          <t>Allmännings- och besparingsskogar</t>
        </is>
      </c>
      <c r="G57" t="n">
        <v>0.5</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45976</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45976</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45976</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45976</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57984-2021</t>
        </is>
      </c>
      <c r="B62" s="1" t="n">
        <v>44487</v>
      </c>
      <c r="C62" s="1" t="n">
        <v>45976</v>
      </c>
      <c r="D62" t="inlineStr">
        <is>
          <t>NORRBOTTENS LÄN</t>
        </is>
      </c>
      <c r="E62" t="inlineStr">
        <is>
          <t>ARVIDSJAUR</t>
        </is>
      </c>
      <c r="F62" t="inlineStr">
        <is>
          <t>Sveaskog</t>
        </is>
      </c>
      <c r="G62" t="n">
        <v>8.699999999999999</v>
      </c>
      <c r="H62" t="n">
        <v>0</v>
      </c>
      <c r="I62" t="n">
        <v>0</v>
      </c>
      <c r="J62" t="n">
        <v>0</v>
      </c>
      <c r="K62" t="n">
        <v>0</v>
      </c>
      <c r="L62" t="n">
        <v>0</v>
      </c>
      <c r="M62" t="n">
        <v>0</v>
      </c>
      <c r="N62" t="n">
        <v>0</v>
      </c>
      <c r="O62" t="n">
        <v>0</v>
      </c>
      <c r="P62" t="n">
        <v>0</v>
      </c>
      <c r="Q62" t="n">
        <v>0</v>
      </c>
      <c r="R62" s="2" t="inlineStr"/>
    </row>
    <row r="63" ht="15" customHeight="1">
      <c r="A63" t="inlineStr">
        <is>
          <t>A 21797-2021</t>
        </is>
      </c>
      <c r="B63" s="1" t="n">
        <v>44322</v>
      </c>
      <c r="C63" s="1" t="n">
        <v>45976</v>
      </c>
      <c r="D63" t="inlineStr">
        <is>
          <t>NORRBOTTENS LÄN</t>
        </is>
      </c>
      <c r="E63" t="inlineStr">
        <is>
          <t>ARVIDSJAUR</t>
        </is>
      </c>
      <c r="G63" t="n">
        <v>9.1</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45976</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34636-2021</t>
        </is>
      </c>
      <c r="B65" s="1" t="n">
        <v>44382</v>
      </c>
      <c r="C65" s="1" t="n">
        <v>45976</v>
      </c>
      <c r="D65" t="inlineStr">
        <is>
          <t>NORRBOTTENS LÄN</t>
        </is>
      </c>
      <c r="E65" t="inlineStr">
        <is>
          <t>ARVIDSJAUR</t>
        </is>
      </c>
      <c r="F65" t="inlineStr">
        <is>
          <t>Sveaskog</t>
        </is>
      </c>
      <c r="G65" t="n">
        <v>2</v>
      </c>
      <c r="H65" t="n">
        <v>0</v>
      </c>
      <c r="I65" t="n">
        <v>0</v>
      </c>
      <c r="J65" t="n">
        <v>0</v>
      </c>
      <c r="K65" t="n">
        <v>0</v>
      </c>
      <c r="L65" t="n">
        <v>0</v>
      </c>
      <c r="M65" t="n">
        <v>0</v>
      </c>
      <c r="N65" t="n">
        <v>0</v>
      </c>
      <c r="O65" t="n">
        <v>0</v>
      </c>
      <c r="P65" t="n">
        <v>0</v>
      </c>
      <c r="Q65" t="n">
        <v>0</v>
      </c>
      <c r="R65" s="2" t="inlineStr"/>
    </row>
    <row r="66" ht="15" customHeight="1">
      <c r="A66" t="inlineStr">
        <is>
          <t>A 73782-2021</t>
        </is>
      </c>
      <c r="B66" s="1" t="n">
        <v>44552</v>
      </c>
      <c r="C66" s="1" t="n">
        <v>45976</v>
      </c>
      <c r="D66" t="inlineStr">
        <is>
          <t>NORRBOTTENS LÄN</t>
        </is>
      </c>
      <c r="E66" t="inlineStr">
        <is>
          <t>ARVIDSJAUR</t>
        </is>
      </c>
      <c r="F66" t="inlineStr">
        <is>
          <t>Sveaskog</t>
        </is>
      </c>
      <c r="G66" t="n">
        <v>5.5</v>
      </c>
      <c r="H66" t="n">
        <v>0</v>
      </c>
      <c r="I66" t="n">
        <v>0</v>
      </c>
      <c r="J66" t="n">
        <v>0</v>
      </c>
      <c r="K66" t="n">
        <v>0</v>
      </c>
      <c r="L66" t="n">
        <v>0</v>
      </c>
      <c r="M66" t="n">
        <v>0</v>
      </c>
      <c r="N66" t="n">
        <v>0</v>
      </c>
      <c r="O66" t="n">
        <v>0</v>
      </c>
      <c r="P66" t="n">
        <v>0</v>
      </c>
      <c r="Q66" t="n">
        <v>0</v>
      </c>
      <c r="R66" s="2" t="inlineStr"/>
    </row>
    <row r="67" ht="15" customHeight="1">
      <c r="A67" t="inlineStr">
        <is>
          <t>A 43678-2021</t>
        </is>
      </c>
      <c r="B67" s="1" t="n">
        <v>44433</v>
      </c>
      <c r="C67" s="1" t="n">
        <v>45976</v>
      </c>
      <c r="D67" t="inlineStr">
        <is>
          <t>NORRBOTTENS LÄN</t>
        </is>
      </c>
      <c r="E67" t="inlineStr">
        <is>
          <t>ARVIDSJAUR</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71683-2021</t>
        </is>
      </c>
      <c r="B68" s="1" t="n">
        <v>44543</v>
      </c>
      <c r="C68" s="1" t="n">
        <v>45976</v>
      </c>
      <c r="D68" t="inlineStr">
        <is>
          <t>NORRBOTTENS LÄN</t>
        </is>
      </c>
      <c r="E68" t="inlineStr">
        <is>
          <t>ARVIDSJAUR</t>
        </is>
      </c>
      <c r="F68" t="inlineStr">
        <is>
          <t>Sveaskog</t>
        </is>
      </c>
      <c r="G68" t="n">
        <v>17.8</v>
      </c>
      <c r="H68" t="n">
        <v>0</v>
      </c>
      <c r="I68" t="n">
        <v>0</v>
      </c>
      <c r="J68" t="n">
        <v>0</v>
      </c>
      <c r="K68" t="n">
        <v>0</v>
      </c>
      <c r="L68" t="n">
        <v>0</v>
      </c>
      <c r="M68" t="n">
        <v>0</v>
      </c>
      <c r="N68" t="n">
        <v>0</v>
      </c>
      <c r="O68" t="n">
        <v>0</v>
      </c>
      <c r="P68" t="n">
        <v>0</v>
      </c>
      <c r="Q68" t="n">
        <v>0</v>
      </c>
      <c r="R68" s="2" t="inlineStr"/>
    </row>
    <row r="69" ht="15" customHeight="1">
      <c r="A69" t="inlineStr">
        <is>
          <t>A 58855-2021</t>
        </is>
      </c>
      <c r="B69" s="1" t="n">
        <v>44489</v>
      </c>
      <c r="C69" s="1" t="n">
        <v>45976</v>
      </c>
      <c r="D69" t="inlineStr">
        <is>
          <t>NORRBOTTENS LÄN</t>
        </is>
      </c>
      <c r="E69" t="inlineStr">
        <is>
          <t>ARVIDSJAUR</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45976</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45398-2021</t>
        </is>
      </c>
      <c r="B71" s="1" t="n">
        <v>44440</v>
      </c>
      <c r="C71" s="1" t="n">
        <v>45976</v>
      </c>
      <c r="D71" t="inlineStr">
        <is>
          <t>NORRBOTTENS LÄN</t>
        </is>
      </c>
      <c r="E71" t="inlineStr">
        <is>
          <t>ARVIDSJAUR</t>
        </is>
      </c>
      <c r="F71" t="inlineStr">
        <is>
          <t>Sveaskog</t>
        </is>
      </c>
      <c r="G71" t="n">
        <v>3</v>
      </c>
      <c r="H71" t="n">
        <v>0</v>
      </c>
      <c r="I71" t="n">
        <v>0</v>
      </c>
      <c r="J71" t="n">
        <v>0</v>
      </c>
      <c r="K71" t="n">
        <v>0</v>
      </c>
      <c r="L71" t="n">
        <v>0</v>
      </c>
      <c r="M71" t="n">
        <v>0</v>
      </c>
      <c r="N71" t="n">
        <v>0</v>
      </c>
      <c r="O71" t="n">
        <v>0</v>
      </c>
      <c r="P71" t="n">
        <v>0</v>
      </c>
      <c r="Q71" t="n">
        <v>0</v>
      </c>
      <c r="R71" s="2" t="inlineStr"/>
    </row>
    <row r="72" ht="15" customHeight="1">
      <c r="A72" t="inlineStr">
        <is>
          <t>A 39759-2022</t>
        </is>
      </c>
      <c r="B72" s="1" t="n">
        <v>44819</v>
      </c>
      <c r="C72" s="1" t="n">
        <v>45976</v>
      </c>
      <c r="D72" t="inlineStr">
        <is>
          <t>NORRBOTTENS LÄN</t>
        </is>
      </c>
      <c r="E72" t="inlineStr">
        <is>
          <t>ARVIDSJAUR</t>
        </is>
      </c>
      <c r="F72" t="inlineStr">
        <is>
          <t>Sveaskog</t>
        </is>
      </c>
      <c r="G72" t="n">
        <v>7.7</v>
      </c>
      <c r="H72" t="n">
        <v>0</v>
      </c>
      <c r="I72" t="n">
        <v>0</v>
      </c>
      <c r="J72" t="n">
        <v>0</v>
      </c>
      <c r="K72" t="n">
        <v>0</v>
      </c>
      <c r="L72" t="n">
        <v>0</v>
      </c>
      <c r="M72" t="n">
        <v>0</v>
      </c>
      <c r="N72" t="n">
        <v>0</v>
      </c>
      <c r="O72" t="n">
        <v>0</v>
      </c>
      <c r="P72" t="n">
        <v>0</v>
      </c>
      <c r="Q72" t="n">
        <v>0</v>
      </c>
      <c r="R72" s="2" t="inlineStr"/>
    </row>
    <row r="73" ht="15" customHeight="1">
      <c r="A73" t="inlineStr">
        <is>
          <t>A 10648-2022</t>
        </is>
      </c>
      <c r="B73" s="1" t="n">
        <v>44624</v>
      </c>
      <c r="C73" s="1" t="n">
        <v>45976</v>
      </c>
      <c r="D73" t="inlineStr">
        <is>
          <t>NORRBOTTENS LÄN</t>
        </is>
      </c>
      <c r="E73" t="inlineStr">
        <is>
          <t>ARVIDSJAUR</t>
        </is>
      </c>
      <c r="G73" t="n">
        <v>4.7</v>
      </c>
      <c r="H73" t="n">
        <v>0</v>
      </c>
      <c r="I73" t="n">
        <v>0</v>
      </c>
      <c r="J73" t="n">
        <v>0</v>
      </c>
      <c r="K73" t="n">
        <v>0</v>
      </c>
      <c r="L73" t="n">
        <v>0</v>
      </c>
      <c r="M73" t="n">
        <v>0</v>
      </c>
      <c r="N73" t="n">
        <v>0</v>
      </c>
      <c r="O73" t="n">
        <v>0</v>
      </c>
      <c r="P73" t="n">
        <v>0</v>
      </c>
      <c r="Q73" t="n">
        <v>0</v>
      </c>
      <c r="R73" s="2" t="inlineStr"/>
    </row>
    <row r="74" ht="15" customHeight="1">
      <c r="A74" t="inlineStr">
        <is>
          <t>A 40357-2021</t>
        </is>
      </c>
      <c r="B74" s="1" t="n">
        <v>44419</v>
      </c>
      <c r="C74" s="1" t="n">
        <v>45976</v>
      </c>
      <c r="D74" t="inlineStr">
        <is>
          <t>NORRBOTTENS LÄN</t>
        </is>
      </c>
      <c r="E74" t="inlineStr">
        <is>
          <t>ARVIDSJAUR</t>
        </is>
      </c>
      <c r="G74" t="n">
        <v>4.3</v>
      </c>
      <c r="H74" t="n">
        <v>0</v>
      </c>
      <c r="I74" t="n">
        <v>0</v>
      </c>
      <c r="J74" t="n">
        <v>0</v>
      </c>
      <c r="K74" t="n">
        <v>0</v>
      </c>
      <c r="L74" t="n">
        <v>0</v>
      </c>
      <c r="M74" t="n">
        <v>0</v>
      </c>
      <c r="N74" t="n">
        <v>0</v>
      </c>
      <c r="O74" t="n">
        <v>0</v>
      </c>
      <c r="P74" t="n">
        <v>0</v>
      </c>
      <c r="Q74" t="n">
        <v>0</v>
      </c>
      <c r="R74" s="2" t="inlineStr"/>
    </row>
    <row r="75" ht="15" customHeight="1">
      <c r="A75" t="inlineStr">
        <is>
          <t>A 23588-2021</t>
        </is>
      </c>
      <c r="B75" s="1" t="n">
        <v>44334</v>
      </c>
      <c r="C75" s="1" t="n">
        <v>45976</v>
      </c>
      <c r="D75" t="inlineStr">
        <is>
          <t>NORRBOTTENS LÄN</t>
        </is>
      </c>
      <c r="E75" t="inlineStr">
        <is>
          <t>ARVIDSJAUR</t>
        </is>
      </c>
      <c r="G75" t="n">
        <v>0.6</v>
      </c>
      <c r="H75" t="n">
        <v>0</v>
      </c>
      <c r="I75" t="n">
        <v>0</v>
      </c>
      <c r="J75" t="n">
        <v>0</v>
      </c>
      <c r="K75" t="n">
        <v>0</v>
      </c>
      <c r="L75" t="n">
        <v>0</v>
      </c>
      <c r="M75" t="n">
        <v>0</v>
      </c>
      <c r="N75" t="n">
        <v>0</v>
      </c>
      <c r="O75" t="n">
        <v>0</v>
      </c>
      <c r="P75" t="n">
        <v>0</v>
      </c>
      <c r="Q75" t="n">
        <v>0</v>
      </c>
      <c r="R75" s="2" t="inlineStr"/>
    </row>
    <row r="76" ht="15" customHeight="1">
      <c r="A76" t="inlineStr">
        <is>
          <t>A 57454-2021</t>
        </is>
      </c>
      <c r="B76" s="1" t="n">
        <v>44483</v>
      </c>
      <c r="C76" s="1" t="n">
        <v>45976</v>
      </c>
      <c r="D76" t="inlineStr">
        <is>
          <t>NORRBOTTENS LÄN</t>
        </is>
      </c>
      <c r="E76" t="inlineStr">
        <is>
          <t>ARVIDSJAUR</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34466-2022</t>
        </is>
      </c>
      <c r="B77" s="1" t="n">
        <v>44792</v>
      </c>
      <c r="C77" s="1" t="n">
        <v>45976</v>
      </c>
      <c r="D77" t="inlineStr">
        <is>
          <t>NORRBOTTENS LÄN</t>
        </is>
      </c>
      <c r="E77" t="inlineStr">
        <is>
          <t>ARVIDSJAUR</t>
        </is>
      </c>
      <c r="F77" t="inlineStr">
        <is>
          <t>Sveaskog</t>
        </is>
      </c>
      <c r="G77" t="n">
        <v>4</v>
      </c>
      <c r="H77" t="n">
        <v>0</v>
      </c>
      <c r="I77" t="n">
        <v>0</v>
      </c>
      <c r="J77" t="n">
        <v>0</v>
      </c>
      <c r="K77" t="n">
        <v>0</v>
      </c>
      <c r="L77" t="n">
        <v>0</v>
      </c>
      <c r="M77" t="n">
        <v>0</v>
      </c>
      <c r="N77" t="n">
        <v>0</v>
      </c>
      <c r="O77" t="n">
        <v>0</v>
      </c>
      <c r="P77" t="n">
        <v>0</v>
      </c>
      <c r="Q77" t="n">
        <v>0</v>
      </c>
      <c r="R77" s="2" t="inlineStr"/>
    </row>
    <row r="78" ht="15" customHeight="1">
      <c r="A78" t="inlineStr">
        <is>
          <t>A 67384-2020</t>
        </is>
      </c>
      <c r="B78" s="1" t="n">
        <v>44179</v>
      </c>
      <c r="C78" s="1" t="n">
        <v>45976</v>
      </c>
      <c r="D78" t="inlineStr">
        <is>
          <t>NORRBOTTENS LÄN</t>
        </is>
      </c>
      <c r="E78" t="inlineStr">
        <is>
          <t>ARVIDSJAUR</t>
        </is>
      </c>
      <c r="G78" t="n">
        <v>3.1</v>
      </c>
      <c r="H78" t="n">
        <v>0</v>
      </c>
      <c r="I78" t="n">
        <v>0</v>
      </c>
      <c r="J78" t="n">
        <v>0</v>
      </c>
      <c r="K78" t="n">
        <v>0</v>
      </c>
      <c r="L78" t="n">
        <v>0</v>
      </c>
      <c r="M78" t="n">
        <v>0</v>
      </c>
      <c r="N78" t="n">
        <v>0</v>
      </c>
      <c r="O78" t="n">
        <v>0</v>
      </c>
      <c r="P78" t="n">
        <v>0</v>
      </c>
      <c r="Q78" t="n">
        <v>0</v>
      </c>
      <c r="R78" s="2" t="inlineStr"/>
    </row>
    <row r="79" ht="15" customHeight="1">
      <c r="A79" t="inlineStr">
        <is>
          <t>A 45391-2021</t>
        </is>
      </c>
      <c r="B79" s="1" t="n">
        <v>44440</v>
      </c>
      <c r="C79" s="1" t="n">
        <v>45976</v>
      </c>
      <c r="D79" t="inlineStr">
        <is>
          <t>NORRBOTTENS LÄN</t>
        </is>
      </c>
      <c r="E79" t="inlineStr">
        <is>
          <t>ARVIDSJAUR</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64377-2021</t>
        </is>
      </c>
      <c r="B80" s="1" t="n">
        <v>44511</v>
      </c>
      <c r="C80" s="1" t="n">
        <v>45976</v>
      </c>
      <c r="D80" t="inlineStr">
        <is>
          <t>NORRBOTTENS LÄN</t>
        </is>
      </c>
      <c r="E80" t="inlineStr">
        <is>
          <t>ARVIDSJAUR</t>
        </is>
      </c>
      <c r="G80" t="n">
        <v>6.9</v>
      </c>
      <c r="H80" t="n">
        <v>0</v>
      </c>
      <c r="I80" t="n">
        <v>0</v>
      </c>
      <c r="J80" t="n">
        <v>0</v>
      </c>
      <c r="K80" t="n">
        <v>0</v>
      </c>
      <c r="L80" t="n">
        <v>0</v>
      </c>
      <c r="M80" t="n">
        <v>0</v>
      </c>
      <c r="N80" t="n">
        <v>0</v>
      </c>
      <c r="O80" t="n">
        <v>0</v>
      </c>
      <c r="P80" t="n">
        <v>0</v>
      </c>
      <c r="Q80" t="n">
        <v>0</v>
      </c>
      <c r="R80" s="2" t="inlineStr"/>
    </row>
    <row r="81" ht="15" customHeight="1">
      <c r="A81" t="inlineStr">
        <is>
          <t>A 38360-2022</t>
        </is>
      </c>
      <c r="B81" s="1" t="n">
        <v>44812</v>
      </c>
      <c r="C81" s="1" t="n">
        <v>45976</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69080-2021</t>
        </is>
      </c>
      <c r="B82" s="1" t="n">
        <v>44530</v>
      </c>
      <c r="C82" s="1" t="n">
        <v>45976</v>
      </c>
      <c r="D82" t="inlineStr">
        <is>
          <t>NORRBOTTENS LÄN</t>
        </is>
      </c>
      <c r="E82" t="inlineStr">
        <is>
          <t>ARVIDSJAUR</t>
        </is>
      </c>
      <c r="F82" t="inlineStr">
        <is>
          <t>Sveaskog</t>
        </is>
      </c>
      <c r="G82" t="n">
        <v>10</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45976</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31446-2021</t>
        </is>
      </c>
      <c r="B84" s="1" t="n">
        <v>44369</v>
      </c>
      <c r="C84" s="1" t="n">
        <v>45976</v>
      </c>
      <c r="D84" t="inlineStr">
        <is>
          <t>NORRBOTTENS LÄN</t>
        </is>
      </c>
      <c r="E84" t="inlineStr">
        <is>
          <t>ARVIDSJAUR</t>
        </is>
      </c>
      <c r="F84" t="inlineStr">
        <is>
          <t>Sveaskog</t>
        </is>
      </c>
      <c r="G84" t="n">
        <v>5.7</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45976</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45976</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8483-2021</t>
        </is>
      </c>
      <c r="B87" s="1" t="n">
        <v>44244</v>
      </c>
      <c r="C87" s="1" t="n">
        <v>45976</v>
      </c>
      <c r="D87" t="inlineStr">
        <is>
          <t>NORRBOTTENS LÄN</t>
        </is>
      </c>
      <c r="E87" t="inlineStr">
        <is>
          <t>ARVIDSJAUR</t>
        </is>
      </c>
      <c r="G87" t="n">
        <v>33.1</v>
      </c>
      <c r="H87" t="n">
        <v>0</v>
      </c>
      <c r="I87" t="n">
        <v>0</v>
      </c>
      <c r="J87" t="n">
        <v>0</v>
      </c>
      <c r="K87" t="n">
        <v>0</v>
      </c>
      <c r="L87" t="n">
        <v>0</v>
      </c>
      <c r="M87" t="n">
        <v>0</v>
      </c>
      <c r="N87" t="n">
        <v>0</v>
      </c>
      <c r="O87" t="n">
        <v>0</v>
      </c>
      <c r="P87" t="n">
        <v>0</v>
      </c>
      <c r="Q87" t="n">
        <v>0</v>
      </c>
      <c r="R87" s="2" t="inlineStr"/>
    </row>
    <row r="88" ht="15" customHeight="1">
      <c r="A88" t="inlineStr">
        <is>
          <t>A 69576-2021</t>
        </is>
      </c>
      <c r="B88" s="1" t="n">
        <v>44532</v>
      </c>
      <c r="C88" s="1" t="n">
        <v>45976</v>
      </c>
      <c r="D88" t="inlineStr">
        <is>
          <t>NORRBOTTENS LÄN</t>
        </is>
      </c>
      <c r="E88" t="inlineStr">
        <is>
          <t>ARVIDSJAUR</t>
        </is>
      </c>
      <c r="F88" t="inlineStr">
        <is>
          <t>Övriga Aktiebolag</t>
        </is>
      </c>
      <c r="G88" t="n">
        <v>4.5</v>
      </c>
      <c r="H88" t="n">
        <v>0</v>
      </c>
      <c r="I88" t="n">
        <v>0</v>
      </c>
      <c r="J88" t="n">
        <v>0</v>
      </c>
      <c r="K88" t="n">
        <v>0</v>
      </c>
      <c r="L88" t="n">
        <v>0</v>
      </c>
      <c r="M88" t="n">
        <v>0</v>
      </c>
      <c r="N88" t="n">
        <v>0</v>
      </c>
      <c r="O88" t="n">
        <v>0</v>
      </c>
      <c r="P88" t="n">
        <v>0</v>
      </c>
      <c r="Q88" t="n">
        <v>0</v>
      </c>
      <c r="R88" s="2" t="inlineStr"/>
    </row>
    <row r="89" ht="15" customHeight="1">
      <c r="A89" t="inlineStr">
        <is>
          <t>A 2392-2025</t>
        </is>
      </c>
      <c r="B89" s="1" t="n">
        <v>45674</v>
      </c>
      <c r="C89" s="1" t="n">
        <v>45976</v>
      </c>
      <c r="D89" t="inlineStr">
        <is>
          <t>NORRBOTTENS LÄN</t>
        </is>
      </c>
      <c r="E89" t="inlineStr">
        <is>
          <t>ARVIDSJAUR</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26591-2023</t>
        </is>
      </c>
      <c r="B90" s="1" t="n">
        <v>45090</v>
      </c>
      <c r="C90" s="1" t="n">
        <v>45976</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63638-2020</t>
        </is>
      </c>
      <c r="B91" s="1" t="n">
        <v>44162</v>
      </c>
      <c r="C91" s="1" t="n">
        <v>45976</v>
      </c>
      <c r="D91" t="inlineStr">
        <is>
          <t>NORRBOTTENS LÄN</t>
        </is>
      </c>
      <c r="E91" t="inlineStr">
        <is>
          <t>ARVIDSJAUR</t>
        </is>
      </c>
      <c r="G91" t="n">
        <v>5.1</v>
      </c>
      <c r="H91" t="n">
        <v>0</v>
      </c>
      <c r="I91" t="n">
        <v>0</v>
      </c>
      <c r="J91" t="n">
        <v>0</v>
      </c>
      <c r="K91" t="n">
        <v>0</v>
      </c>
      <c r="L91" t="n">
        <v>0</v>
      </c>
      <c r="M91" t="n">
        <v>0</v>
      </c>
      <c r="N91" t="n">
        <v>0</v>
      </c>
      <c r="O91" t="n">
        <v>0</v>
      </c>
      <c r="P91" t="n">
        <v>0</v>
      </c>
      <c r="Q91" t="n">
        <v>0</v>
      </c>
      <c r="R91" s="2" t="inlineStr"/>
    </row>
    <row r="92" ht="15" customHeight="1">
      <c r="A92" t="inlineStr">
        <is>
          <t>A 21704-2024</t>
        </is>
      </c>
      <c r="B92" s="1" t="n">
        <v>45442</v>
      </c>
      <c r="C92" s="1" t="n">
        <v>45976</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3034-2024</t>
        </is>
      </c>
      <c r="B93" s="1" t="n">
        <v>45316</v>
      </c>
      <c r="C93" s="1" t="n">
        <v>45976</v>
      </c>
      <c r="D93" t="inlineStr">
        <is>
          <t>NORRBOTTENS LÄN</t>
        </is>
      </c>
      <c r="E93" t="inlineStr">
        <is>
          <t>ARVIDSJAUR</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45976</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45976</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45976</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30752-2023</t>
        </is>
      </c>
      <c r="B97" s="1" t="n">
        <v>45103</v>
      </c>
      <c r="C97" s="1" t="n">
        <v>45976</v>
      </c>
      <c r="D97" t="inlineStr">
        <is>
          <t>NORRBOTTENS LÄN</t>
        </is>
      </c>
      <c r="E97" t="inlineStr">
        <is>
          <t>ARVIDSJAUR</t>
        </is>
      </c>
      <c r="G97" t="n">
        <v>9.699999999999999</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45976</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45976</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31453-2021</t>
        </is>
      </c>
      <c r="B100" s="1" t="n">
        <v>44369</v>
      </c>
      <c r="C100" s="1" t="n">
        <v>45976</v>
      </c>
      <c r="D100" t="inlineStr">
        <is>
          <t>NORRBOTTENS LÄN</t>
        </is>
      </c>
      <c r="E100" t="inlineStr">
        <is>
          <t>ARVIDSJAUR</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3207-2024</t>
        </is>
      </c>
      <c r="B101" s="1" t="n">
        <v>45316</v>
      </c>
      <c r="C101" s="1" t="n">
        <v>45976</v>
      </c>
      <c r="D101" t="inlineStr">
        <is>
          <t>NORRBOTTENS LÄN</t>
        </is>
      </c>
      <c r="E101" t="inlineStr">
        <is>
          <t>ARVIDSJAUR</t>
        </is>
      </c>
      <c r="F101" t="inlineStr">
        <is>
          <t>Allmännings- och besparingsskogar</t>
        </is>
      </c>
      <c r="G101" t="n">
        <v>6.6</v>
      </c>
      <c r="H101" t="n">
        <v>0</v>
      </c>
      <c r="I101" t="n">
        <v>0</v>
      </c>
      <c r="J101" t="n">
        <v>0</v>
      </c>
      <c r="K101" t="n">
        <v>0</v>
      </c>
      <c r="L101" t="n">
        <v>0</v>
      </c>
      <c r="M101" t="n">
        <v>0</v>
      </c>
      <c r="N101" t="n">
        <v>0</v>
      </c>
      <c r="O101" t="n">
        <v>0</v>
      </c>
      <c r="P101" t="n">
        <v>0</v>
      </c>
      <c r="Q101" t="n">
        <v>0</v>
      </c>
      <c r="R101" s="2" t="inlineStr"/>
    </row>
    <row r="102" ht="15" customHeight="1">
      <c r="A102" t="inlineStr">
        <is>
          <t>A 26684-2024</t>
        </is>
      </c>
      <c r="B102" s="1" t="n">
        <v>45470.35256944445</v>
      </c>
      <c r="C102" s="1" t="n">
        <v>45976</v>
      </c>
      <c r="D102" t="inlineStr">
        <is>
          <t>NORRBOTTENS LÄN</t>
        </is>
      </c>
      <c r="E102" t="inlineStr">
        <is>
          <t>ARVIDSJAUR</t>
        </is>
      </c>
      <c r="F102" t="inlineStr">
        <is>
          <t>Sveaskog</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36581-2021</t>
        </is>
      </c>
      <c r="B103" s="1" t="n">
        <v>44391</v>
      </c>
      <c r="C103" s="1" t="n">
        <v>45976</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30343-2023</t>
        </is>
      </c>
      <c r="B104" s="1" t="n">
        <v>45111</v>
      </c>
      <c r="C104" s="1" t="n">
        <v>45976</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34477-2022</t>
        </is>
      </c>
      <c r="B105" s="1" t="n">
        <v>44792.64452546297</v>
      </c>
      <c r="C105" s="1" t="n">
        <v>45976</v>
      </c>
      <c r="D105" t="inlineStr">
        <is>
          <t>NORRBOTTENS LÄN</t>
        </is>
      </c>
      <c r="E105" t="inlineStr">
        <is>
          <t>ARVIDSJAUR</t>
        </is>
      </c>
      <c r="F105" t="inlineStr">
        <is>
          <t>Sveaskog</t>
        </is>
      </c>
      <c r="G105" t="n">
        <v>8.1</v>
      </c>
      <c r="H105" t="n">
        <v>0</v>
      </c>
      <c r="I105" t="n">
        <v>0</v>
      </c>
      <c r="J105" t="n">
        <v>0</v>
      </c>
      <c r="K105" t="n">
        <v>0</v>
      </c>
      <c r="L105" t="n">
        <v>0</v>
      </c>
      <c r="M105" t="n">
        <v>0</v>
      </c>
      <c r="N105" t="n">
        <v>0</v>
      </c>
      <c r="O105" t="n">
        <v>0</v>
      </c>
      <c r="P105" t="n">
        <v>0</v>
      </c>
      <c r="Q105" t="n">
        <v>0</v>
      </c>
      <c r="R105" s="2" t="inlineStr"/>
    </row>
    <row r="106" ht="15" customHeight="1">
      <c r="A106" t="inlineStr">
        <is>
          <t>A 42862-2024</t>
        </is>
      </c>
      <c r="B106" s="1" t="n">
        <v>45566</v>
      </c>
      <c r="C106" s="1" t="n">
        <v>45976</v>
      </c>
      <c r="D106" t="inlineStr">
        <is>
          <t>NORRBOTTENS LÄN</t>
        </is>
      </c>
      <c r="E106" t="inlineStr">
        <is>
          <t>ARVIDSJAUR</t>
        </is>
      </c>
      <c r="F106" t="inlineStr">
        <is>
          <t>Sveaskog</t>
        </is>
      </c>
      <c r="G106" t="n">
        <v>26.6</v>
      </c>
      <c r="H106" t="n">
        <v>0</v>
      </c>
      <c r="I106" t="n">
        <v>0</v>
      </c>
      <c r="J106" t="n">
        <v>0</v>
      </c>
      <c r="K106" t="n">
        <v>0</v>
      </c>
      <c r="L106" t="n">
        <v>0</v>
      </c>
      <c r="M106" t="n">
        <v>0</v>
      </c>
      <c r="N106" t="n">
        <v>0</v>
      </c>
      <c r="O106" t="n">
        <v>0</v>
      </c>
      <c r="P106" t="n">
        <v>0</v>
      </c>
      <c r="Q106" t="n">
        <v>0</v>
      </c>
      <c r="R106" s="2" t="inlineStr"/>
    </row>
    <row r="107" ht="15" customHeight="1">
      <c r="A107" t="inlineStr">
        <is>
          <t>A 11741-2025</t>
        </is>
      </c>
      <c r="B107" s="1" t="n">
        <v>45727</v>
      </c>
      <c r="C107" s="1" t="n">
        <v>45976</v>
      </c>
      <c r="D107" t="inlineStr">
        <is>
          <t>NORRBOTTENS LÄN</t>
        </is>
      </c>
      <c r="E107" t="inlineStr">
        <is>
          <t>ARVIDSJAUR</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42674-2021</t>
        </is>
      </c>
      <c r="B108" s="1" t="n">
        <v>44428</v>
      </c>
      <c r="C108" s="1" t="n">
        <v>45976</v>
      </c>
      <c r="D108" t="inlineStr">
        <is>
          <t>NORRBOTTENS LÄN</t>
        </is>
      </c>
      <c r="E108" t="inlineStr">
        <is>
          <t>ARVIDSJAUR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26223-2022</t>
        </is>
      </c>
      <c r="B109" s="1" t="n">
        <v>44735</v>
      </c>
      <c r="C109" s="1" t="n">
        <v>45976</v>
      </c>
      <c r="D109" t="inlineStr">
        <is>
          <t>NORRBOTTENS LÄN</t>
        </is>
      </c>
      <c r="E109" t="inlineStr">
        <is>
          <t>ARVIDSJAUR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36764-2024</t>
        </is>
      </c>
      <c r="B110" s="1" t="n">
        <v>45538</v>
      </c>
      <c r="C110" s="1" t="n">
        <v>45976</v>
      </c>
      <c r="D110" t="inlineStr">
        <is>
          <t>NORRBOTTENS LÄN</t>
        </is>
      </c>
      <c r="E110" t="inlineStr">
        <is>
          <t>ARVIDSJAUR</t>
        </is>
      </c>
      <c r="G110" t="n">
        <v>2.9</v>
      </c>
      <c r="H110" t="n">
        <v>0</v>
      </c>
      <c r="I110" t="n">
        <v>0</v>
      </c>
      <c r="J110" t="n">
        <v>0</v>
      </c>
      <c r="K110" t="n">
        <v>0</v>
      </c>
      <c r="L110" t="n">
        <v>0</v>
      </c>
      <c r="M110" t="n">
        <v>0</v>
      </c>
      <c r="N110" t="n">
        <v>0</v>
      </c>
      <c r="O110" t="n">
        <v>0</v>
      </c>
      <c r="P110" t="n">
        <v>0</v>
      </c>
      <c r="Q110" t="n">
        <v>0</v>
      </c>
      <c r="R110" s="2" t="inlineStr"/>
    </row>
    <row r="111" ht="15" customHeight="1">
      <c r="A111" t="inlineStr">
        <is>
          <t>A 11615-2025</t>
        </is>
      </c>
      <c r="B111" s="1" t="n">
        <v>45726</v>
      </c>
      <c r="C111" s="1" t="n">
        <v>45976</v>
      </c>
      <c r="D111" t="inlineStr">
        <is>
          <t>NORRBOTTENS LÄN</t>
        </is>
      </c>
      <c r="E111" t="inlineStr">
        <is>
          <t>ARVIDSJAUR</t>
        </is>
      </c>
      <c r="F111" t="inlineStr">
        <is>
          <t>Allmännings- och besparingsskogar</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25790-2024</t>
        </is>
      </c>
      <c r="B112" s="1" t="n">
        <v>45467</v>
      </c>
      <c r="C112" s="1" t="n">
        <v>45976</v>
      </c>
      <c r="D112" t="inlineStr">
        <is>
          <t>NORRBOTTENS LÄN</t>
        </is>
      </c>
      <c r="E112" t="inlineStr">
        <is>
          <t>ARVIDSJAUR</t>
        </is>
      </c>
      <c r="F112" t="inlineStr">
        <is>
          <t>Sveaskog</t>
        </is>
      </c>
      <c r="G112" t="n">
        <v>5.6</v>
      </c>
      <c r="H112" t="n">
        <v>0</v>
      </c>
      <c r="I112" t="n">
        <v>0</v>
      </c>
      <c r="J112" t="n">
        <v>0</v>
      </c>
      <c r="K112" t="n">
        <v>0</v>
      </c>
      <c r="L112" t="n">
        <v>0</v>
      </c>
      <c r="M112" t="n">
        <v>0</v>
      </c>
      <c r="N112" t="n">
        <v>0</v>
      </c>
      <c r="O112" t="n">
        <v>0</v>
      </c>
      <c r="P112" t="n">
        <v>0</v>
      </c>
      <c r="Q112" t="n">
        <v>0</v>
      </c>
      <c r="R112" s="2" t="inlineStr"/>
    </row>
    <row r="113" ht="15" customHeight="1">
      <c r="A113" t="inlineStr">
        <is>
          <t>A 42798-2023</t>
        </is>
      </c>
      <c r="B113" s="1" t="n">
        <v>45182</v>
      </c>
      <c r="C113" s="1" t="n">
        <v>45976</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45127-2021</t>
        </is>
      </c>
      <c r="B114" s="1" t="n">
        <v>44439</v>
      </c>
      <c r="C114" s="1" t="n">
        <v>45976</v>
      </c>
      <c r="D114" t="inlineStr">
        <is>
          <t>NORRBOTTENS LÄN</t>
        </is>
      </c>
      <c r="E114" t="inlineStr">
        <is>
          <t>ARVIDSJAUR</t>
        </is>
      </c>
      <c r="G114" t="n">
        <v>4.6</v>
      </c>
      <c r="H114" t="n">
        <v>0</v>
      </c>
      <c r="I114" t="n">
        <v>0</v>
      </c>
      <c r="J114" t="n">
        <v>0</v>
      </c>
      <c r="K114" t="n">
        <v>0</v>
      </c>
      <c r="L114" t="n">
        <v>0</v>
      </c>
      <c r="M114" t="n">
        <v>0</v>
      </c>
      <c r="N114" t="n">
        <v>0</v>
      </c>
      <c r="O114" t="n">
        <v>0</v>
      </c>
      <c r="P114" t="n">
        <v>0</v>
      </c>
      <c r="Q114" t="n">
        <v>0</v>
      </c>
      <c r="R114" s="2" t="inlineStr"/>
    </row>
    <row r="115" ht="15" customHeight="1">
      <c r="A115" t="inlineStr">
        <is>
          <t>A 31666-2023</t>
        </is>
      </c>
      <c r="B115" s="1" t="n">
        <v>45105</v>
      </c>
      <c r="C115" s="1" t="n">
        <v>45976</v>
      </c>
      <c r="D115" t="inlineStr">
        <is>
          <t>NORRBOTTENS LÄN</t>
        </is>
      </c>
      <c r="E115" t="inlineStr">
        <is>
          <t>ARVIDSJAUR</t>
        </is>
      </c>
      <c r="G115" t="n">
        <v>6.5</v>
      </c>
      <c r="H115" t="n">
        <v>0</v>
      </c>
      <c r="I115" t="n">
        <v>0</v>
      </c>
      <c r="J115" t="n">
        <v>0</v>
      </c>
      <c r="K115" t="n">
        <v>0</v>
      </c>
      <c r="L115" t="n">
        <v>0</v>
      </c>
      <c r="M115" t="n">
        <v>0</v>
      </c>
      <c r="N115" t="n">
        <v>0</v>
      </c>
      <c r="O115" t="n">
        <v>0</v>
      </c>
      <c r="P115" t="n">
        <v>0</v>
      </c>
      <c r="Q115" t="n">
        <v>0</v>
      </c>
      <c r="R115" s="2" t="inlineStr"/>
    </row>
    <row r="116" ht="15" customHeight="1">
      <c r="A116" t="inlineStr">
        <is>
          <t>A 10243-2024</t>
        </is>
      </c>
      <c r="B116" s="1" t="n">
        <v>45365</v>
      </c>
      <c r="C116" s="1" t="n">
        <v>45976</v>
      </c>
      <c r="D116" t="inlineStr">
        <is>
          <t>NORRBOTTENS LÄN</t>
        </is>
      </c>
      <c r="E116" t="inlineStr">
        <is>
          <t>ARVIDSJAUR</t>
        </is>
      </c>
      <c r="F116" t="inlineStr">
        <is>
          <t>Sveaskog</t>
        </is>
      </c>
      <c r="G116" t="n">
        <v>7.5</v>
      </c>
      <c r="H116" t="n">
        <v>0</v>
      </c>
      <c r="I116" t="n">
        <v>0</v>
      </c>
      <c r="J116" t="n">
        <v>0</v>
      </c>
      <c r="K116" t="n">
        <v>0</v>
      </c>
      <c r="L116" t="n">
        <v>0</v>
      </c>
      <c r="M116" t="n">
        <v>0</v>
      </c>
      <c r="N116" t="n">
        <v>0</v>
      </c>
      <c r="O116" t="n">
        <v>0</v>
      </c>
      <c r="P116" t="n">
        <v>0</v>
      </c>
      <c r="Q116" t="n">
        <v>0</v>
      </c>
      <c r="R116" s="2" t="inlineStr"/>
    </row>
    <row r="117" ht="15" customHeight="1">
      <c r="A117" t="inlineStr">
        <is>
          <t>A 31050-2024</t>
        </is>
      </c>
      <c r="B117" s="1" t="n">
        <v>45502.33652777778</v>
      </c>
      <c r="C117" s="1" t="n">
        <v>45976</v>
      </c>
      <c r="D117" t="inlineStr">
        <is>
          <t>NORRBOTTENS LÄN</t>
        </is>
      </c>
      <c r="E117" t="inlineStr">
        <is>
          <t>ARVIDSJAUR</t>
        </is>
      </c>
      <c r="G117" t="n">
        <v>0</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45593.45075231481</v>
      </c>
      <c r="C118" s="1" t="n">
        <v>45976</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37180-2025</t>
        </is>
      </c>
      <c r="B119" s="1" t="n">
        <v>45875</v>
      </c>
      <c r="C119" s="1" t="n">
        <v>45976</v>
      </c>
      <c r="D119" t="inlineStr">
        <is>
          <t>NORRBOTTENS LÄN</t>
        </is>
      </c>
      <c r="E119" t="inlineStr">
        <is>
          <t>ARVIDSJAUR</t>
        </is>
      </c>
      <c r="G119" t="n">
        <v>5.4</v>
      </c>
      <c r="H119" t="n">
        <v>0</v>
      </c>
      <c r="I119" t="n">
        <v>0</v>
      </c>
      <c r="J119" t="n">
        <v>0</v>
      </c>
      <c r="K119" t="n">
        <v>0</v>
      </c>
      <c r="L119" t="n">
        <v>0</v>
      </c>
      <c r="M119" t="n">
        <v>0</v>
      </c>
      <c r="N119" t="n">
        <v>0</v>
      </c>
      <c r="O119" t="n">
        <v>0</v>
      </c>
      <c r="P119" t="n">
        <v>0</v>
      </c>
      <c r="Q119" t="n">
        <v>0</v>
      </c>
      <c r="R119" s="2" t="inlineStr"/>
    </row>
    <row r="120" ht="15" customHeight="1">
      <c r="A120" t="inlineStr">
        <is>
          <t>A 37191-2025</t>
        </is>
      </c>
      <c r="B120" s="1" t="n">
        <v>45875.64945601852</v>
      </c>
      <c r="C120" s="1" t="n">
        <v>45976</v>
      </c>
      <c r="D120" t="inlineStr">
        <is>
          <t>NORRBOTTENS LÄN</t>
        </is>
      </c>
      <c r="E120" t="inlineStr">
        <is>
          <t>ARVIDSJAUR</t>
        </is>
      </c>
      <c r="F120" t="inlineStr">
        <is>
          <t>Sveaskog</t>
        </is>
      </c>
      <c r="G120" t="n">
        <v>5.9</v>
      </c>
      <c r="H120" t="n">
        <v>0</v>
      </c>
      <c r="I120" t="n">
        <v>0</v>
      </c>
      <c r="J120" t="n">
        <v>0</v>
      </c>
      <c r="K120" t="n">
        <v>0</v>
      </c>
      <c r="L120" t="n">
        <v>0</v>
      </c>
      <c r="M120" t="n">
        <v>0</v>
      </c>
      <c r="N120" t="n">
        <v>0</v>
      </c>
      <c r="O120" t="n">
        <v>0</v>
      </c>
      <c r="P120" t="n">
        <v>0</v>
      </c>
      <c r="Q120" t="n">
        <v>0</v>
      </c>
      <c r="R120" s="2" t="inlineStr"/>
    </row>
    <row r="121" ht="15" customHeight="1">
      <c r="A121" t="inlineStr">
        <is>
          <t>A 48009-2024</t>
        </is>
      </c>
      <c r="B121" s="1" t="n">
        <v>45589</v>
      </c>
      <c r="C121" s="1" t="n">
        <v>45976</v>
      </c>
      <c r="D121" t="inlineStr">
        <is>
          <t>NORRBOTTENS LÄN</t>
        </is>
      </c>
      <c r="E121" t="inlineStr">
        <is>
          <t>ARVIDSJAUR</t>
        </is>
      </c>
      <c r="G121" t="n">
        <v>6.4</v>
      </c>
      <c r="H121" t="n">
        <v>0</v>
      </c>
      <c r="I121" t="n">
        <v>0</v>
      </c>
      <c r="J121" t="n">
        <v>0</v>
      </c>
      <c r="K121" t="n">
        <v>0</v>
      </c>
      <c r="L121" t="n">
        <v>0</v>
      </c>
      <c r="M121" t="n">
        <v>0</v>
      </c>
      <c r="N121" t="n">
        <v>0</v>
      </c>
      <c r="O121" t="n">
        <v>0</v>
      </c>
      <c r="P121" t="n">
        <v>0</v>
      </c>
      <c r="Q121" t="n">
        <v>0</v>
      </c>
      <c r="R121" s="2" t="inlineStr"/>
    </row>
    <row r="122" ht="15" customHeight="1">
      <c r="A122" t="inlineStr">
        <is>
          <t>A 24854-2024</t>
        </is>
      </c>
      <c r="B122" s="1" t="n">
        <v>45461</v>
      </c>
      <c r="C122" s="1" t="n">
        <v>45976</v>
      </c>
      <c r="D122" t="inlineStr">
        <is>
          <t>NORRBOTTENS LÄN</t>
        </is>
      </c>
      <c r="E122" t="inlineStr">
        <is>
          <t>ARVIDSJAUR</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53683-2024</t>
        </is>
      </c>
      <c r="B123" s="1" t="n">
        <v>45612</v>
      </c>
      <c r="C123" s="1" t="n">
        <v>45976</v>
      </c>
      <c r="D123" t="inlineStr">
        <is>
          <t>NORRBOTTENS LÄN</t>
        </is>
      </c>
      <c r="E123" t="inlineStr">
        <is>
          <t>ARVIDSJAUR</t>
        </is>
      </c>
      <c r="G123" t="n">
        <v>3.7</v>
      </c>
      <c r="H123" t="n">
        <v>0</v>
      </c>
      <c r="I123" t="n">
        <v>0</v>
      </c>
      <c r="J123" t="n">
        <v>0</v>
      </c>
      <c r="K123" t="n">
        <v>0</v>
      </c>
      <c r="L123" t="n">
        <v>0</v>
      </c>
      <c r="M123" t="n">
        <v>0</v>
      </c>
      <c r="N123" t="n">
        <v>0</v>
      </c>
      <c r="O123" t="n">
        <v>0</v>
      </c>
      <c r="P123" t="n">
        <v>0</v>
      </c>
      <c r="Q123" t="n">
        <v>0</v>
      </c>
      <c r="R123" s="2" t="inlineStr"/>
    </row>
    <row r="124" ht="15" customHeight="1">
      <c r="A124" t="inlineStr">
        <is>
          <t>A 10851-2025</t>
        </is>
      </c>
      <c r="B124" s="1" t="n">
        <v>45722</v>
      </c>
      <c r="C124" s="1" t="n">
        <v>45976</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45976</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37454-2025</t>
        </is>
      </c>
      <c r="B126" s="1" t="n">
        <v>45877.56238425926</v>
      </c>
      <c r="C126" s="1" t="n">
        <v>45976</v>
      </c>
      <c r="D126" t="inlineStr">
        <is>
          <t>NORRBOTTENS LÄN</t>
        </is>
      </c>
      <c r="E126" t="inlineStr">
        <is>
          <t>ARVIDSJAUR</t>
        </is>
      </c>
      <c r="F126" t="inlineStr">
        <is>
          <t>Sveaskog</t>
        </is>
      </c>
      <c r="G126" t="n">
        <v>23.4</v>
      </c>
      <c r="H126" t="n">
        <v>0</v>
      </c>
      <c r="I126" t="n">
        <v>0</v>
      </c>
      <c r="J126" t="n">
        <v>0</v>
      </c>
      <c r="K126" t="n">
        <v>0</v>
      </c>
      <c r="L126" t="n">
        <v>0</v>
      </c>
      <c r="M126" t="n">
        <v>0</v>
      </c>
      <c r="N126" t="n">
        <v>0</v>
      </c>
      <c r="O126" t="n">
        <v>0</v>
      </c>
      <c r="P126" t="n">
        <v>0</v>
      </c>
      <c r="Q126" t="n">
        <v>0</v>
      </c>
      <c r="R126" s="2" t="inlineStr"/>
    </row>
    <row r="127" ht="15" customHeight="1">
      <c r="A127" t="inlineStr">
        <is>
          <t>A 37448-2025</t>
        </is>
      </c>
      <c r="B127" s="1" t="n">
        <v>45877</v>
      </c>
      <c r="C127" s="1" t="n">
        <v>45976</v>
      </c>
      <c r="D127" t="inlineStr">
        <is>
          <t>NORRBOTTENS LÄN</t>
        </is>
      </c>
      <c r="E127" t="inlineStr">
        <is>
          <t>ARVIDSJAUR</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39619-2022</t>
        </is>
      </c>
      <c r="B128" s="1" t="n">
        <v>44818</v>
      </c>
      <c r="C128" s="1" t="n">
        <v>45976</v>
      </c>
      <c r="D128" t="inlineStr">
        <is>
          <t>NORRBOTTENS LÄN</t>
        </is>
      </c>
      <c r="E128" t="inlineStr">
        <is>
          <t>ARVIDSJAUR</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10838-2025</t>
        </is>
      </c>
      <c r="B129" s="1" t="n">
        <v>45722</v>
      </c>
      <c r="C129" s="1" t="n">
        <v>45976</v>
      </c>
      <c r="D129" t="inlineStr">
        <is>
          <t>NORRBOTTENS LÄN</t>
        </is>
      </c>
      <c r="E129" t="inlineStr">
        <is>
          <t>ARVIDSJAUR</t>
        </is>
      </c>
      <c r="G129" t="n">
        <v>3.4</v>
      </c>
      <c r="H129" t="n">
        <v>0</v>
      </c>
      <c r="I129" t="n">
        <v>0</v>
      </c>
      <c r="J129" t="n">
        <v>0</v>
      </c>
      <c r="K129" t="n">
        <v>0</v>
      </c>
      <c r="L129" t="n">
        <v>0</v>
      </c>
      <c r="M129" t="n">
        <v>0</v>
      </c>
      <c r="N129" t="n">
        <v>0</v>
      </c>
      <c r="O129" t="n">
        <v>0</v>
      </c>
      <c r="P129" t="n">
        <v>0</v>
      </c>
      <c r="Q129" t="n">
        <v>0</v>
      </c>
      <c r="R129" s="2" t="inlineStr"/>
    </row>
    <row r="130" ht="15" customHeight="1">
      <c r="A130" t="inlineStr">
        <is>
          <t>A 40756-2022</t>
        </is>
      </c>
      <c r="B130" s="1" t="n">
        <v>44824</v>
      </c>
      <c r="C130" s="1" t="n">
        <v>45976</v>
      </c>
      <c r="D130" t="inlineStr">
        <is>
          <t>NORRBOTTENS LÄN</t>
        </is>
      </c>
      <c r="E130" t="inlineStr">
        <is>
          <t>ARVIDSJAUR</t>
        </is>
      </c>
      <c r="F130" t="inlineStr">
        <is>
          <t>Sveaskog</t>
        </is>
      </c>
      <c r="G130" t="n">
        <v>4.2</v>
      </c>
      <c r="H130" t="n">
        <v>0</v>
      </c>
      <c r="I130" t="n">
        <v>0</v>
      </c>
      <c r="J130" t="n">
        <v>0</v>
      </c>
      <c r="K130" t="n">
        <v>0</v>
      </c>
      <c r="L130" t="n">
        <v>0</v>
      </c>
      <c r="M130" t="n">
        <v>0</v>
      </c>
      <c r="N130" t="n">
        <v>0</v>
      </c>
      <c r="O130" t="n">
        <v>0</v>
      </c>
      <c r="P130" t="n">
        <v>0</v>
      </c>
      <c r="Q130" t="n">
        <v>0</v>
      </c>
      <c r="R130" s="2" t="inlineStr"/>
    </row>
    <row r="131" ht="15" customHeight="1">
      <c r="A131" t="inlineStr">
        <is>
          <t>A 2309-2023</t>
        </is>
      </c>
      <c r="B131" s="1" t="n">
        <v>44942</v>
      </c>
      <c r="C131" s="1" t="n">
        <v>45976</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37788-2025</t>
        </is>
      </c>
      <c r="B132" s="1" t="n">
        <v>45881.30692129629</v>
      </c>
      <c r="C132" s="1" t="n">
        <v>45976</v>
      </c>
      <c r="D132" t="inlineStr">
        <is>
          <t>NORRBOTTENS LÄN</t>
        </is>
      </c>
      <c r="E132" t="inlineStr">
        <is>
          <t>ARVIDSJAUR</t>
        </is>
      </c>
      <c r="F132" t="inlineStr">
        <is>
          <t>Sveaskog</t>
        </is>
      </c>
      <c r="G132" t="n">
        <v>13.8</v>
      </c>
      <c r="H132" t="n">
        <v>0</v>
      </c>
      <c r="I132" t="n">
        <v>0</v>
      </c>
      <c r="J132" t="n">
        <v>0</v>
      </c>
      <c r="K132" t="n">
        <v>0</v>
      </c>
      <c r="L132" t="n">
        <v>0</v>
      </c>
      <c r="M132" t="n">
        <v>0</v>
      </c>
      <c r="N132" t="n">
        <v>0</v>
      </c>
      <c r="O132" t="n">
        <v>0</v>
      </c>
      <c r="P132" t="n">
        <v>0</v>
      </c>
      <c r="Q132" t="n">
        <v>0</v>
      </c>
      <c r="R132" s="2" t="inlineStr"/>
    </row>
    <row r="133" ht="15" customHeight="1">
      <c r="A133" t="inlineStr">
        <is>
          <t>A 45960-2023</t>
        </is>
      </c>
      <c r="B133" s="1" t="n">
        <v>45195</v>
      </c>
      <c r="C133" s="1" t="n">
        <v>45976</v>
      </c>
      <c r="D133" t="inlineStr">
        <is>
          <t>NORRBOTTENS LÄN</t>
        </is>
      </c>
      <c r="E133" t="inlineStr">
        <is>
          <t>ARVIDSJAUR</t>
        </is>
      </c>
      <c r="F133" t="inlineStr">
        <is>
          <t>SCA</t>
        </is>
      </c>
      <c r="G133" t="n">
        <v>12.3</v>
      </c>
      <c r="H133" t="n">
        <v>0</v>
      </c>
      <c r="I133" t="n">
        <v>0</v>
      </c>
      <c r="J133" t="n">
        <v>0</v>
      </c>
      <c r="K133" t="n">
        <v>0</v>
      </c>
      <c r="L133" t="n">
        <v>0</v>
      </c>
      <c r="M133" t="n">
        <v>0</v>
      </c>
      <c r="N133" t="n">
        <v>0</v>
      </c>
      <c r="O133" t="n">
        <v>0</v>
      </c>
      <c r="P133" t="n">
        <v>0</v>
      </c>
      <c r="Q133" t="n">
        <v>0</v>
      </c>
      <c r="R133" s="2" t="inlineStr"/>
    </row>
    <row r="134" ht="15" customHeight="1">
      <c r="A134" t="inlineStr">
        <is>
          <t>A 11076-2021</t>
        </is>
      </c>
      <c r="B134" s="1" t="n">
        <v>44259</v>
      </c>
      <c r="C134" s="1" t="n">
        <v>45976</v>
      </c>
      <c r="D134" t="inlineStr">
        <is>
          <t>NORRBOTTENS LÄN</t>
        </is>
      </c>
      <c r="E134" t="inlineStr">
        <is>
          <t>ARVIDSJAUR</t>
        </is>
      </c>
      <c r="G134" t="n">
        <v>5.1</v>
      </c>
      <c r="H134" t="n">
        <v>0</v>
      </c>
      <c r="I134" t="n">
        <v>0</v>
      </c>
      <c r="J134" t="n">
        <v>0</v>
      </c>
      <c r="K134" t="n">
        <v>0</v>
      </c>
      <c r="L134" t="n">
        <v>0</v>
      </c>
      <c r="M134" t="n">
        <v>0</v>
      </c>
      <c r="N134" t="n">
        <v>0</v>
      </c>
      <c r="O134" t="n">
        <v>0</v>
      </c>
      <c r="P134" t="n">
        <v>0</v>
      </c>
      <c r="Q134" t="n">
        <v>0</v>
      </c>
      <c r="R134" s="2" t="inlineStr"/>
    </row>
    <row r="135" ht="15" customHeight="1">
      <c r="A135" t="inlineStr">
        <is>
          <t>A 38027-2025</t>
        </is>
      </c>
      <c r="B135" s="1" t="n">
        <v>45882</v>
      </c>
      <c r="C135" s="1" t="n">
        <v>45976</v>
      </c>
      <c r="D135" t="inlineStr">
        <is>
          <t>NORRBOTTENS LÄN</t>
        </is>
      </c>
      <c r="E135" t="inlineStr">
        <is>
          <t>ARVIDSJAUR</t>
        </is>
      </c>
      <c r="G135" t="n">
        <v>2.5</v>
      </c>
      <c r="H135" t="n">
        <v>0</v>
      </c>
      <c r="I135" t="n">
        <v>0</v>
      </c>
      <c r="J135" t="n">
        <v>0</v>
      </c>
      <c r="K135" t="n">
        <v>0</v>
      </c>
      <c r="L135" t="n">
        <v>0</v>
      </c>
      <c r="M135" t="n">
        <v>0</v>
      </c>
      <c r="N135" t="n">
        <v>0</v>
      </c>
      <c r="O135" t="n">
        <v>0</v>
      </c>
      <c r="P135" t="n">
        <v>0</v>
      </c>
      <c r="Q135" t="n">
        <v>0</v>
      </c>
      <c r="R135" s="2" t="inlineStr"/>
    </row>
    <row r="136" ht="15" customHeight="1">
      <c r="A136" t="inlineStr">
        <is>
          <t>A 8626-2023</t>
        </is>
      </c>
      <c r="B136" s="1" t="n">
        <v>44977</v>
      </c>
      <c r="C136" s="1" t="n">
        <v>45976</v>
      </c>
      <c r="D136" t="inlineStr">
        <is>
          <t>NORRBOTTENS LÄN</t>
        </is>
      </c>
      <c r="E136" t="inlineStr">
        <is>
          <t>ARVIDSJAUR</t>
        </is>
      </c>
      <c r="G136" t="n">
        <v>3.4</v>
      </c>
      <c r="H136" t="n">
        <v>0</v>
      </c>
      <c r="I136" t="n">
        <v>0</v>
      </c>
      <c r="J136" t="n">
        <v>0</v>
      </c>
      <c r="K136" t="n">
        <v>0</v>
      </c>
      <c r="L136" t="n">
        <v>0</v>
      </c>
      <c r="M136" t="n">
        <v>0</v>
      </c>
      <c r="N136" t="n">
        <v>0</v>
      </c>
      <c r="O136" t="n">
        <v>0</v>
      </c>
      <c r="P136" t="n">
        <v>0</v>
      </c>
      <c r="Q136" t="n">
        <v>0</v>
      </c>
      <c r="R136" s="2" t="inlineStr"/>
    </row>
    <row r="137" ht="15" customHeight="1">
      <c r="A137" t="inlineStr">
        <is>
          <t>A 37789-2025</t>
        </is>
      </c>
      <c r="B137" s="1" t="n">
        <v>45881.30875</v>
      </c>
      <c r="C137" s="1" t="n">
        <v>45976</v>
      </c>
      <c r="D137" t="inlineStr">
        <is>
          <t>NORRBOTTENS LÄN</t>
        </is>
      </c>
      <c r="E137" t="inlineStr">
        <is>
          <t>ARVIDSJAUR</t>
        </is>
      </c>
      <c r="F137" t="inlineStr">
        <is>
          <t>Sveaskog</t>
        </is>
      </c>
      <c r="G137" t="n">
        <v>6.9</v>
      </c>
      <c r="H137" t="n">
        <v>0</v>
      </c>
      <c r="I137" t="n">
        <v>0</v>
      </c>
      <c r="J137" t="n">
        <v>0</v>
      </c>
      <c r="K137" t="n">
        <v>0</v>
      </c>
      <c r="L137" t="n">
        <v>0</v>
      </c>
      <c r="M137" t="n">
        <v>0</v>
      </c>
      <c r="N137" t="n">
        <v>0</v>
      </c>
      <c r="O137" t="n">
        <v>0</v>
      </c>
      <c r="P137" t="n">
        <v>0</v>
      </c>
      <c r="Q137" t="n">
        <v>0</v>
      </c>
      <c r="R137" s="2" t="inlineStr"/>
    </row>
    <row r="138" ht="15" customHeight="1">
      <c r="A138" t="inlineStr">
        <is>
          <t>A 56495-2024</t>
        </is>
      </c>
      <c r="B138" s="1" t="n">
        <v>45625</v>
      </c>
      <c r="C138" s="1" t="n">
        <v>45976</v>
      </c>
      <c r="D138" t="inlineStr">
        <is>
          <t>NORRBOTTENS LÄN</t>
        </is>
      </c>
      <c r="E138" t="inlineStr">
        <is>
          <t>ARVIDSJAUR</t>
        </is>
      </c>
      <c r="G138" t="n">
        <v>14.1</v>
      </c>
      <c r="H138" t="n">
        <v>0</v>
      </c>
      <c r="I138" t="n">
        <v>0</v>
      </c>
      <c r="J138" t="n">
        <v>0</v>
      </c>
      <c r="K138" t="n">
        <v>0</v>
      </c>
      <c r="L138" t="n">
        <v>0</v>
      </c>
      <c r="M138" t="n">
        <v>0</v>
      </c>
      <c r="N138" t="n">
        <v>0</v>
      </c>
      <c r="O138" t="n">
        <v>0</v>
      </c>
      <c r="P138" t="n">
        <v>0</v>
      </c>
      <c r="Q138" t="n">
        <v>0</v>
      </c>
      <c r="R138" s="2" t="inlineStr"/>
    </row>
    <row r="139" ht="15" customHeight="1">
      <c r="A139" t="inlineStr">
        <is>
          <t>A 38343-2025</t>
        </is>
      </c>
      <c r="B139" s="1" t="n">
        <v>45883</v>
      </c>
      <c r="C139" s="1" t="n">
        <v>45976</v>
      </c>
      <c r="D139" t="inlineStr">
        <is>
          <t>NORRBOTTENS LÄN</t>
        </is>
      </c>
      <c r="E139" t="inlineStr">
        <is>
          <t>ARVIDSJAUR</t>
        </is>
      </c>
      <c r="G139" t="n">
        <v>2.6</v>
      </c>
      <c r="H139" t="n">
        <v>0</v>
      </c>
      <c r="I139" t="n">
        <v>0</v>
      </c>
      <c r="J139" t="n">
        <v>0</v>
      </c>
      <c r="K139" t="n">
        <v>0</v>
      </c>
      <c r="L139" t="n">
        <v>0</v>
      </c>
      <c r="M139" t="n">
        <v>0</v>
      </c>
      <c r="N139" t="n">
        <v>0</v>
      </c>
      <c r="O139" t="n">
        <v>0</v>
      </c>
      <c r="P139" t="n">
        <v>0</v>
      </c>
      <c r="Q139" t="n">
        <v>0</v>
      </c>
      <c r="R139" s="2" t="inlineStr"/>
    </row>
    <row r="140" ht="15" customHeight="1">
      <c r="A140" t="inlineStr">
        <is>
          <t>A 15475-2023</t>
        </is>
      </c>
      <c r="B140" s="1" t="n">
        <v>45020</v>
      </c>
      <c r="C140" s="1" t="n">
        <v>45976</v>
      </c>
      <c r="D140" t="inlineStr">
        <is>
          <t>NORRBOTTENS LÄN</t>
        </is>
      </c>
      <c r="E140" t="inlineStr">
        <is>
          <t>ARVIDSJAUR</t>
        </is>
      </c>
      <c r="F140" t="inlineStr">
        <is>
          <t>Sveaskog</t>
        </is>
      </c>
      <c r="G140" t="n">
        <v>5.5</v>
      </c>
      <c r="H140" t="n">
        <v>0</v>
      </c>
      <c r="I140" t="n">
        <v>0</v>
      </c>
      <c r="J140" t="n">
        <v>0</v>
      </c>
      <c r="K140" t="n">
        <v>0</v>
      </c>
      <c r="L140" t="n">
        <v>0</v>
      </c>
      <c r="M140" t="n">
        <v>0</v>
      </c>
      <c r="N140" t="n">
        <v>0</v>
      </c>
      <c r="O140" t="n">
        <v>0</v>
      </c>
      <c r="P140" t="n">
        <v>0</v>
      </c>
      <c r="Q140" t="n">
        <v>0</v>
      </c>
      <c r="R140" s="2" t="inlineStr"/>
    </row>
    <row r="141" ht="15" customHeight="1">
      <c r="A141" t="inlineStr">
        <is>
          <t>A 4937-2024</t>
        </is>
      </c>
      <c r="B141" s="1" t="n">
        <v>45329</v>
      </c>
      <c r="C141" s="1" t="n">
        <v>45976</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38348-2025</t>
        </is>
      </c>
      <c r="B142" s="1" t="n">
        <v>45883</v>
      </c>
      <c r="C142" s="1" t="n">
        <v>45976</v>
      </c>
      <c r="D142" t="inlineStr">
        <is>
          <t>NORRBOTTENS LÄN</t>
        </is>
      </c>
      <c r="E142" t="inlineStr">
        <is>
          <t>ARVIDSJAUR</t>
        </is>
      </c>
      <c r="G142" t="n">
        <v>1.4</v>
      </c>
      <c r="H142" t="n">
        <v>0</v>
      </c>
      <c r="I142" t="n">
        <v>0</v>
      </c>
      <c r="J142" t="n">
        <v>0</v>
      </c>
      <c r="K142" t="n">
        <v>0</v>
      </c>
      <c r="L142" t="n">
        <v>0</v>
      </c>
      <c r="M142" t="n">
        <v>0</v>
      </c>
      <c r="N142" t="n">
        <v>0</v>
      </c>
      <c r="O142" t="n">
        <v>0</v>
      </c>
      <c r="P142" t="n">
        <v>0</v>
      </c>
      <c r="Q142" t="n">
        <v>0</v>
      </c>
      <c r="R142" s="2" t="inlineStr"/>
    </row>
    <row r="143" ht="15" customHeight="1">
      <c r="A143" t="inlineStr">
        <is>
          <t>A 2778-2023</t>
        </is>
      </c>
      <c r="B143" s="1" t="n">
        <v>44944</v>
      </c>
      <c r="C143" s="1" t="n">
        <v>45976</v>
      </c>
      <c r="D143" t="inlineStr">
        <is>
          <t>NORRBOTTENS LÄN</t>
        </is>
      </c>
      <c r="E143" t="inlineStr">
        <is>
          <t>ARVIDSJAUR</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45794-2024</t>
        </is>
      </c>
      <c r="B144" s="1" t="n">
        <v>45579.6725</v>
      </c>
      <c r="C144" s="1" t="n">
        <v>45976</v>
      </c>
      <c r="D144" t="inlineStr">
        <is>
          <t>NORRBOTTENS LÄN</t>
        </is>
      </c>
      <c r="E144" t="inlineStr">
        <is>
          <t>ARVIDSJAUR</t>
        </is>
      </c>
      <c r="F144" t="inlineStr">
        <is>
          <t>Sveaskog</t>
        </is>
      </c>
      <c r="G144" t="n">
        <v>37.7</v>
      </c>
      <c r="H144" t="n">
        <v>0</v>
      </c>
      <c r="I144" t="n">
        <v>0</v>
      </c>
      <c r="J144" t="n">
        <v>0</v>
      </c>
      <c r="K144" t="n">
        <v>0</v>
      </c>
      <c r="L144" t="n">
        <v>0</v>
      </c>
      <c r="M144" t="n">
        <v>0</v>
      </c>
      <c r="N144" t="n">
        <v>0</v>
      </c>
      <c r="O144" t="n">
        <v>0</v>
      </c>
      <c r="P144" t="n">
        <v>0</v>
      </c>
      <c r="Q144" t="n">
        <v>0</v>
      </c>
      <c r="R144" s="2" t="inlineStr"/>
    </row>
    <row r="145" ht="15" customHeight="1">
      <c r="A145" t="inlineStr">
        <is>
          <t>A 37790-2025</t>
        </is>
      </c>
      <c r="B145" s="1" t="n">
        <v>45881.31024305556</v>
      </c>
      <c r="C145" s="1" t="n">
        <v>45976</v>
      </c>
      <c r="D145" t="inlineStr">
        <is>
          <t>NORRBOTTENS LÄN</t>
        </is>
      </c>
      <c r="E145" t="inlineStr">
        <is>
          <t>ARVIDSJAUR</t>
        </is>
      </c>
      <c r="F145" t="inlineStr">
        <is>
          <t>Sveaskog</t>
        </is>
      </c>
      <c r="G145" t="n">
        <v>6</v>
      </c>
      <c r="H145" t="n">
        <v>0</v>
      </c>
      <c r="I145" t="n">
        <v>0</v>
      </c>
      <c r="J145" t="n">
        <v>0</v>
      </c>
      <c r="K145" t="n">
        <v>0</v>
      </c>
      <c r="L145" t="n">
        <v>0</v>
      </c>
      <c r="M145" t="n">
        <v>0</v>
      </c>
      <c r="N145" t="n">
        <v>0</v>
      </c>
      <c r="O145" t="n">
        <v>0</v>
      </c>
      <c r="P145" t="n">
        <v>0</v>
      </c>
      <c r="Q145" t="n">
        <v>0</v>
      </c>
      <c r="R145" s="2" t="inlineStr"/>
    </row>
    <row r="146" ht="15" customHeight="1">
      <c r="A146" t="inlineStr">
        <is>
          <t>A 44557-2023</t>
        </is>
      </c>
      <c r="B146" s="1" t="n">
        <v>45189.53853009259</v>
      </c>
      <c r="C146" s="1" t="n">
        <v>45976</v>
      </c>
      <c r="D146" t="inlineStr">
        <is>
          <t>NORRBOTTENS LÄN</t>
        </is>
      </c>
      <c r="E146" t="inlineStr">
        <is>
          <t>ARVIDSJAUR</t>
        </is>
      </c>
      <c r="F146" t="inlineStr">
        <is>
          <t>Sveaskog</t>
        </is>
      </c>
      <c r="G146" t="n">
        <v>3.8</v>
      </c>
      <c r="H146" t="n">
        <v>0</v>
      </c>
      <c r="I146" t="n">
        <v>0</v>
      </c>
      <c r="J146" t="n">
        <v>0</v>
      </c>
      <c r="K146" t="n">
        <v>0</v>
      </c>
      <c r="L146" t="n">
        <v>0</v>
      </c>
      <c r="M146" t="n">
        <v>0</v>
      </c>
      <c r="N146" t="n">
        <v>0</v>
      </c>
      <c r="O146" t="n">
        <v>0</v>
      </c>
      <c r="P146" t="n">
        <v>0</v>
      </c>
      <c r="Q146" t="n">
        <v>0</v>
      </c>
      <c r="R146" s="2" t="inlineStr"/>
    </row>
    <row r="147" ht="15" customHeight="1">
      <c r="A147" t="inlineStr">
        <is>
          <t>A 34998-2023</t>
        </is>
      </c>
      <c r="B147" s="1" t="n">
        <v>45142</v>
      </c>
      <c r="C147" s="1" t="n">
        <v>45976</v>
      </c>
      <c r="D147" t="inlineStr">
        <is>
          <t>NORRBOTTENS LÄN</t>
        </is>
      </c>
      <c r="E147" t="inlineStr">
        <is>
          <t>ARVIDSJAUR</t>
        </is>
      </c>
      <c r="G147" t="n">
        <v>10.3</v>
      </c>
      <c r="H147" t="n">
        <v>0</v>
      </c>
      <c r="I147" t="n">
        <v>0</v>
      </c>
      <c r="J147" t="n">
        <v>0</v>
      </c>
      <c r="K147" t="n">
        <v>0</v>
      </c>
      <c r="L147" t="n">
        <v>0</v>
      </c>
      <c r="M147" t="n">
        <v>0</v>
      </c>
      <c r="N147" t="n">
        <v>0</v>
      </c>
      <c r="O147" t="n">
        <v>0</v>
      </c>
      <c r="P147" t="n">
        <v>0</v>
      </c>
      <c r="Q147" t="n">
        <v>0</v>
      </c>
      <c r="R147" s="2" t="inlineStr"/>
    </row>
    <row r="148" ht="15" customHeight="1">
      <c r="A148" t="inlineStr">
        <is>
          <t>A 23583-2021</t>
        </is>
      </c>
      <c r="B148" s="1" t="n">
        <v>44334</v>
      </c>
      <c r="C148" s="1" t="n">
        <v>45976</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30749-2023</t>
        </is>
      </c>
      <c r="B149" s="1" t="n">
        <v>45103</v>
      </c>
      <c r="C149" s="1" t="n">
        <v>45976</v>
      </c>
      <c r="D149" t="inlineStr">
        <is>
          <t>NORRBOTTENS LÄN</t>
        </is>
      </c>
      <c r="E149" t="inlineStr">
        <is>
          <t>ARVIDSJAUR</t>
        </is>
      </c>
      <c r="G149" t="n">
        <v>5</v>
      </c>
      <c r="H149" t="n">
        <v>0</v>
      </c>
      <c r="I149" t="n">
        <v>0</v>
      </c>
      <c r="J149" t="n">
        <v>0</v>
      </c>
      <c r="K149" t="n">
        <v>0</v>
      </c>
      <c r="L149" t="n">
        <v>0</v>
      </c>
      <c r="M149" t="n">
        <v>0</v>
      </c>
      <c r="N149" t="n">
        <v>0</v>
      </c>
      <c r="O149" t="n">
        <v>0</v>
      </c>
      <c r="P149" t="n">
        <v>0</v>
      </c>
      <c r="Q149" t="n">
        <v>0</v>
      </c>
      <c r="R149" s="2" t="inlineStr"/>
    </row>
    <row r="150" ht="15" customHeight="1">
      <c r="A150" t="inlineStr">
        <is>
          <t>A 50472-2022</t>
        </is>
      </c>
      <c r="B150" s="1" t="n">
        <v>44861</v>
      </c>
      <c r="C150" s="1" t="n">
        <v>45976</v>
      </c>
      <c r="D150" t="inlineStr">
        <is>
          <t>NORRBOTTENS LÄN</t>
        </is>
      </c>
      <c r="E150" t="inlineStr">
        <is>
          <t>ARVIDSJAUR</t>
        </is>
      </c>
      <c r="F150" t="inlineStr">
        <is>
          <t>Allmännings- och besparingsskogar</t>
        </is>
      </c>
      <c r="G150" t="n">
        <v>0.9</v>
      </c>
      <c r="H150" t="n">
        <v>0</v>
      </c>
      <c r="I150" t="n">
        <v>0</v>
      </c>
      <c r="J150" t="n">
        <v>0</v>
      </c>
      <c r="K150" t="n">
        <v>0</v>
      </c>
      <c r="L150" t="n">
        <v>0</v>
      </c>
      <c r="M150" t="n">
        <v>0</v>
      </c>
      <c r="N150" t="n">
        <v>0</v>
      </c>
      <c r="O150" t="n">
        <v>0</v>
      </c>
      <c r="P150" t="n">
        <v>0</v>
      </c>
      <c r="Q150" t="n">
        <v>0</v>
      </c>
      <c r="R150" s="2" t="inlineStr"/>
    </row>
    <row r="151" ht="15" customHeight="1">
      <c r="A151" t="inlineStr">
        <is>
          <t>A 54336-2024</t>
        </is>
      </c>
      <c r="B151" s="1" t="n">
        <v>45617.38408564815</v>
      </c>
      <c r="C151" s="1" t="n">
        <v>45976</v>
      </c>
      <c r="D151" t="inlineStr">
        <is>
          <t>NORRBOTTENS LÄN</t>
        </is>
      </c>
      <c r="E151" t="inlineStr">
        <is>
          <t>ARVIDSJAUR</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47919-2024</t>
        </is>
      </c>
      <c r="B152" s="1" t="n">
        <v>45589</v>
      </c>
      <c r="C152" s="1" t="n">
        <v>45976</v>
      </c>
      <c r="D152" t="inlineStr">
        <is>
          <t>NORRBOTTENS LÄN</t>
        </is>
      </c>
      <c r="E152" t="inlineStr">
        <is>
          <t>ARVIDSJAUR</t>
        </is>
      </c>
      <c r="F152" t="inlineStr">
        <is>
          <t>Sveaskog</t>
        </is>
      </c>
      <c r="G152" t="n">
        <v>7.8</v>
      </c>
      <c r="H152" t="n">
        <v>0</v>
      </c>
      <c r="I152" t="n">
        <v>0</v>
      </c>
      <c r="J152" t="n">
        <v>0</v>
      </c>
      <c r="K152" t="n">
        <v>0</v>
      </c>
      <c r="L152" t="n">
        <v>0</v>
      </c>
      <c r="M152" t="n">
        <v>0</v>
      </c>
      <c r="N152" t="n">
        <v>0</v>
      </c>
      <c r="O152" t="n">
        <v>0</v>
      </c>
      <c r="P152" t="n">
        <v>0</v>
      </c>
      <c r="Q152" t="n">
        <v>0</v>
      </c>
      <c r="R152" s="2" t="inlineStr"/>
    </row>
    <row r="153" ht="15" customHeight="1">
      <c r="A153" t="inlineStr">
        <is>
          <t>A 25121-2024</t>
        </is>
      </c>
      <c r="B153" s="1" t="n">
        <v>45462</v>
      </c>
      <c r="C153" s="1" t="n">
        <v>45976</v>
      </c>
      <c r="D153" t="inlineStr">
        <is>
          <t>NORRBOTTENS LÄN</t>
        </is>
      </c>
      <c r="E153" t="inlineStr">
        <is>
          <t>ARVIDSJAUR</t>
        </is>
      </c>
      <c r="F153" t="inlineStr">
        <is>
          <t>Sveaskog</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36483-2022</t>
        </is>
      </c>
      <c r="B154" s="1" t="n">
        <v>44804</v>
      </c>
      <c r="C154" s="1" t="n">
        <v>45976</v>
      </c>
      <c r="D154" t="inlineStr">
        <is>
          <t>NORRBOTTENS LÄN</t>
        </is>
      </c>
      <c r="E154" t="inlineStr">
        <is>
          <t>ARVIDSJAUR</t>
        </is>
      </c>
      <c r="G154" t="n">
        <v>2.9</v>
      </c>
      <c r="H154" t="n">
        <v>0</v>
      </c>
      <c r="I154" t="n">
        <v>0</v>
      </c>
      <c r="J154" t="n">
        <v>0</v>
      </c>
      <c r="K154" t="n">
        <v>0</v>
      </c>
      <c r="L154" t="n">
        <v>0</v>
      </c>
      <c r="M154" t="n">
        <v>0</v>
      </c>
      <c r="N154" t="n">
        <v>0</v>
      </c>
      <c r="O154" t="n">
        <v>0</v>
      </c>
      <c r="P154" t="n">
        <v>0</v>
      </c>
      <c r="Q154" t="n">
        <v>0</v>
      </c>
      <c r="R154" s="2" t="inlineStr"/>
    </row>
    <row r="155" ht="15" customHeight="1">
      <c r="A155" t="inlineStr">
        <is>
          <t>A 38919-2025</t>
        </is>
      </c>
      <c r="B155" s="1" t="n">
        <v>45884</v>
      </c>
      <c r="C155" s="1" t="n">
        <v>45976</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54211-2024</t>
        </is>
      </c>
      <c r="B156" s="1" t="n">
        <v>45616</v>
      </c>
      <c r="C156" s="1" t="n">
        <v>45976</v>
      </c>
      <c r="D156" t="inlineStr">
        <is>
          <t>NORRBOTTENS LÄN</t>
        </is>
      </c>
      <c r="E156" t="inlineStr">
        <is>
          <t>ARVIDSJAUR</t>
        </is>
      </c>
      <c r="G156" t="n">
        <v>15</v>
      </c>
      <c r="H156" t="n">
        <v>0</v>
      </c>
      <c r="I156" t="n">
        <v>0</v>
      </c>
      <c r="J156" t="n">
        <v>0</v>
      </c>
      <c r="K156" t="n">
        <v>0</v>
      </c>
      <c r="L156" t="n">
        <v>0</v>
      </c>
      <c r="M156" t="n">
        <v>0</v>
      </c>
      <c r="N156" t="n">
        <v>0</v>
      </c>
      <c r="O156" t="n">
        <v>0</v>
      </c>
      <c r="P156" t="n">
        <v>0</v>
      </c>
      <c r="Q156" t="n">
        <v>0</v>
      </c>
      <c r="R156" s="2" t="inlineStr"/>
    </row>
    <row r="157" ht="15" customHeight="1">
      <c r="A157" t="inlineStr">
        <is>
          <t>A 54524-2023</t>
        </is>
      </c>
      <c r="B157" s="1" t="n">
        <v>45226</v>
      </c>
      <c r="C157" s="1" t="n">
        <v>45976</v>
      </c>
      <c r="D157" t="inlineStr">
        <is>
          <t>NORRBOTTENS LÄN</t>
        </is>
      </c>
      <c r="E157" t="inlineStr">
        <is>
          <t>ARVIDSJAUR</t>
        </is>
      </c>
      <c r="G157" t="n">
        <v>1.4</v>
      </c>
      <c r="H157" t="n">
        <v>0</v>
      </c>
      <c r="I157" t="n">
        <v>0</v>
      </c>
      <c r="J157" t="n">
        <v>0</v>
      </c>
      <c r="K157" t="n">
        <v>0</v>
      </c>
      <c r="L157" t="n">
        <v>0</v>
      </c>
      <c r="M157" t="n">
        <v>0</v>
      </c>
      <c r="N157" t="n">
        <v>0</v>
      </c>
      <c r="O157" t="n">
        <v>0</v>
      </c>
      <c r="P157" t="n">
        <v>0</v>
      </c>
      <c r="Q157" t="n">
        <v>0</v>
      </c>
      <c r="R157" s="2" t="inlineStr"/>
    </row>
    <row r="158" ht="15" customHeight="1">
      <c r="A158" t="inlineStr">
        <is>
          <t>A 54529-2023</t>
        </is>
      </c>
      <c r="B158" s="1" t="n">
        <v>45226</v>
      </c>
      <c r="C158" s="1" t="n">
        <v>45976</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42694-2021</t>
        </is>
      </c>
      <c r="B159" s="1" t="n">
        <v>44428</v>
      </c>
      <c r="C159" s="1" t="n">
        <v>45976</v>
      </c>
      <c r="D159" t="inlineStr">
        <is>
          <t>NORRBOTTENS LÄN</t>
        </is>
      </c>
      <c r="E159" t="inlineStr">
        <is>
          <t>ARVIDSJAUR</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10126-2024</t>
        </is>
      </c>
      <c r="B160" s="1" t="n">
        <v>45364</v>
      </c>
      <c r="C160" s="1" t="n">
        <v>45976</v>
      </c>
      <c r="D160" t="inlineStr">
        <is>
          <t>NORRBOTTENS LÄN</t>
        </is>
      </c>
      <c r="E160" t="inlineStr">
        <is>
          <t>ARVIDSJAUR</t>
        </is>
      </c>
      <c r="F160" t="inlineStr">
        <is>
          <t>Sveaskog</t>
        </is>
      </c>
      <c r="G160" t="n">
        <v>19.8</v>
      </c>
      <c r="H160" t="n">
        <v>0</v>
      </c>
      <c r="I160" t="n">
        <v>0</v>
      </c>
      <c r="J160" t="n">
        <v>0</v>
      </c>
      <c r="K160" t="n">
        <v>0</v>
      </c>
      <c r="L160" t="n">
        <v>0</v>
      </c>
      <c r="M160" t="n">
        <v>0</v>
      </c>
      <c r="N160" t="n">
        <v>0</v>
      </c>
      <c r="O160" t="n">
        <v>0</v>
      </c>
      <c r="P160" t="n">
        <v>0</v>
      </c>
      <c r="Q160" t="n">
        <v>0</v>
      </c>
      <c r="R160" s="2" t="inlineStr"/>
    </row>
    <row r="161" ht="15" customHeight="1">
      <c r="A161" t="inlineStr">
        <is>
          <t>A 12794-2023</t>
        </is>
      </c>
      <c r="B161" s="1" t="n">
        <v>45001</v>
      </c>
      <c r="C161" s="1" t="n">
        <v>45976</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55164-2024</t>
        </is>
      </c>
      <c r="B162" s="1" t="n">
        <v>45621</v>
      </c>
      <c r="C162" s="1" t="n">
        <v>45976</v>
      </c>
      <c r="D162" t="inlineStr">
        <is>
          <t>NORRBOTTENS LÄN</t>
        </is>
      </c>
      <c r="E162" t="inlineStr">
        <is>
          <t>ARVIDSJAUR</t>
        </is>
      </c>
      <c r="G162" t="n">
        <v>21.1</v>
      </c>
      <c r="H162" t="n">
        <v>0</v>
      </c>
      <c r="I162" t="n">
        <v>0</v>
      </c>
      <c r="J162" t="n">
        <v>0</v>
      </c>
      <c r="K162" t="n">
        <v>0</v>
      </c>
      <c r="L162" t="n">
        <v>0</v>
      </c>
      <c r="M162" t="n">
        <v>0</v>
      </c>
      <c r="N162" t="n">
        <v>0</v>
      </c>
      <c r="O162" t="n">
        <v>0</v>
      </c>
      <c r="P162" t="n">
        <v>0</v>
      </c>
      <c r="Q162" t="n">
        <v>0</v>
      </c>
      <c r="R162" s="2" t="inlineStr"/>
    </row>
    <row r="163" ht="15" customHeight="1">
      <c r="A163" t="inlineStr">
        <is>
          <t>A 11537-2025</t>
        </is>
      </c>
      <c r="B163" s="1" t="n">
        <v>45726</v>
      </c>
      <c r="C163" s="1" t="n">
        <v>45976</v>
      </c>
      <c r="D163" t="inlineStr">
        <is>
          <t>NORRBOTTENS LÄN</t>
        </is>
      </c>
      <c r="E163" t="inlineStr">
        <is>
          <t>ARVIDSJAUR</t>
        </is>
      </c>
      <c r="F163" t="inlineStr">
        <is>
          <t>Allmännings- och besparingsskogar</t>
        </is>
      </c>
      <c r="G163" t="n">
        <v>9.1</v>
      </c>
      <c r="H163" t="n">
        <v>0</v>
      </c>
      <c r="I163" t="n">
        <v>0</v>
      </c>
      <c r="J163" t="n">
        <v>0</v>
      </c>
      <c r="K163" t="n">
        <v>0</v>
      </c>
      <c r="L163" t="n">
        <v>0</v>
      </c>
      <c r="M163" t="n">
        <v>0</v>
      </c>
      <c r="N163" t="n">
        <v>0</v>
      </c>
      <c r="O163" t="n">
        <v>0</v>
      </c>
      <c r="P163" t="n">
        <v>0</v>
      </c>
      <c r="Q163" t="n">
        <v>0</v>
      </c>
      <c r="R163" s="2" t="inlineStr"/>
    </row>
    <row r="164" ht="15" customHeight="1">
      <c r="A164" t="inlineStr">
        <is>
          <t>A 60888-2021</t>
        </is>
      </c>
      <c r="B164" s="1" t="n">
        <v>44497</v>
      </c>
      <c r="C164" s="1" t="n">
        <v>45976</v>
      </c>
      <c r="D164" t="inlineStr">
        <is>
          <t>NORRBOTTENS LÄN</t>
        </is>
      </c>
      <c r="E164" t="inlineStr">
        <is>
          <t>ARVIDSJAUR</t>
        </is>
      </c>
      <c r="F164" t="inlineStr">
        <is>
          <t>Sveaskog</t>
        </is>
      </c>
      <c r="G164" t="n">
        <v>12.1</v>
      </c>
      <c r="H164" t="n">
        <v>0</v>
      </c>
      <c r="I164" t="n">
        <v>0</v>
      </c>
      <c r="J164" t="n">
        <v>0</v>
      </c>
      <c r="K164" t="n">
        <v>0</v>
      </c>
      <c r="L164" t="n">
        <v>0</v>
      </c>
      <c r="M164" t="n">
        <v>0</v>
      </c>
      <c r="N164" t="n">
        <v>0</v>
      </c>
      <c r="O164" t="n">
        <v>0</v>
      </c>
      <c r="P164" t="n">
        <v>0</v>
      </c>
      <c r="Q164" t="n">
        <v>0</v>
      </c>
      <c r="R164" s="2" t="inlineStr"/>
    </row>
    <row r="165" ht="15" customHeight="1">
      <c r="A165" t="inlineStr">
        <is>
          <t>A 7327-2025</t>
        </is>
      </c>
      <c r="B165" s="1" t="n">
        <v>45702</v>
      </c>
      <c r="C165" s="1" t="n">
        <v>45976</v>
      </c>
      <c r="D165" t="inlineStr">
        <is>
          <t>NORRBOTTENS LÄN</t>
        </is>
      </c>
      <c r="E165" t="inlineStr">
        <is>
          <t>ARVIDSJAUR</t>
        </is>
      </c>
      <c r="G165" t="n">
        <v>1.6</v>
      </c>
      <c r="H165" t="n">
        <v>0</v>
      </c>
      <c r="I165" t="n">
        <v>0</v>
      </c>
      <c r="J165" t="n">
        <v>0</v>
      </c>
      <c r="K165" t="n">
        <v>0</v>
      </c>
      <c r="L165" t="n">
        <v>0</v>
      </c>
      <c r="M165" t="n">
        <v>0</v>
      </c>
      <c r="N165" t="n">
        <v>0</v>
      </c>
      <c r="O165" t="n">
        <v>0</v>
      </c>
      <c r="P165" t="n">
        <v>0</v>
      </c>
      <c r="Q165" t="n">
        <v>0</v>
      </c>
      <c r="R165" s="2" t="inlineStr"/>
    </row>
    <row r="166" ht="15" customHeight="1">
      <c r="A166" t="inlineStr">
        <is>
          <t>A 20393-2025</t>
        </is>
      </c>
      <c r="B166" s="1" t="n">
        <v>45775.44886574074</v>
      </c>
      <c r="C166" s="1" t="n">
        <v>45976</v>
      </c>
      <c r="D166" t="inlineStr">
        <is>
          <t>NORRBOTTENS LÄN</t>
        </is>
      </c>
      <c r="E166" t="inlineStr">
        <is>
          <t>ARVIDSJAUR</t>
        </is>
      </c>
      <c r="G166" t="n">
        <v>7.6</v>
      </c>
      <c r="H166" t="n">
        <v>0</v>
      </c>
      <c r="I166" t="n">
        <v>0</v>
      </c>
      <c r="J166" t="n">
        <v>0</v>
      </c>
      <c r="K166" t="n">
        <v>0</v>
      </c>
      <c r="L166" t="n">
        <v>0</v>
      </c>
      <c r="M166" t="n">
        <v>0</v>
      </c>
      <c r="N166" t="n">
        <v>0</v>
      </c>
      <c r="O166" t="n">
        <v>0</v>
      </c>
      <c r="P166" t="n">
        <v>0</v>
      </c>
      <c r="Q166" t="n">
        <v>0</v>
      </c>
      <c r="R166" s="2" t="inlineStr"/>
    </row>
    <row r="167" ht="15" customHeight="1">
      <c r="A167" t="inlineStr">
        <is>
          <t>A 11538-2025</t>
        </is>
      </c>
      <c r="B167" s="1" t="n">
        <v>45726</v>
      </c>
      <c r="C167" s="1" t="n">
        <v>45976</v>
      </c>
      <c r="D167" t="inlineStr">
        <is>
          <t>NORRBOTTENS LÄN</t>
        </is>
      </c>
      <c r="E167" t="inlineStr">
        <is>
          <t>ARVIDSJAUR</t>
        </is>
      </c>
      <c r="F167" t="inlineStr">
        <is>
          <t>Allmännings- och besparingsskogar</t>
        </is>
      </c>
      <c r="G167" t="n">
        <v>15.3</v>
      </c>
      <c r="H167" t="n">
        <v>0</v>
      </c>
      <c r="I167" t="n">
        <v>0</v>
      </c>
      <c r="J167" t="n">
        <v>0</v>
      </c>
      <c r="K167" t="n">
        <v>0</v>
      </c>
      <c r="L167" t="n">
        <v>0</v>
      </c>
      <c r="M167" t="n">
        <v>0</v>
      </c>
      <c r="N167" t="n">
        <v>0</v>
      </c>
      <c r="O167" t="n">
        <v>0</v>
      </c>
      <c r="P167" t="n">
        <v>0</v>
      </c>
      <c r="Q167" t="n">
        <v>0</v>
      </c>
      <c r="R167" s="2" t="inlineStr"/>
    </row>
    <row r="168" ht="15" customHeight="1">
      <c r="A168" t="inlineStr">
        <is>
          <t>A 54521-2023</t>
        </is>
      </c>
      <c r="B168" s="1" t="n">
        <v>45226</v>
      </c>
      <c r="C168" s="1" t="n">
        <v>45976</v>
      </c>
      <c r="D168" t="inlineStr">
        <is>
          <t>NORRBOTTENS LÄN</t>
        </is>
      </c>
      <c r="E168" t="inlineStr">
        <is>
          <t>ARVIDSJAUR</t>
        </is>
      </c>
      <c r="G168" t="n">
        <v>2.5</v>
      </c>
      <c r="H168" t="n">
        <v>0</v>
      </c>
      <c r="I168" t="n">
        <v>0</v>
      </c>
      <c r="J168" t="n">
        <v>0</v>
      </c>
      <c r="K168" t="n">
        <v>0</v>
      </c>
      <c r="L168" t="n">
        <v>0</v>
      </c>
      <c r="M168" t="n">
        <v>0</v>
      </c>
      <c r="N168" t="n">
        <v>0</v>
      </c>
      <c r="O168" t="n">
        <v>0</v>
      </c>
      <c r="P168" t="n">
        <v>0</v>
      </c>
      <c r="Q168" t="n">
        <v>0</v>
      </c>
      <c r="R168" s="2" t="inlineStr"/>
    </row>
    <row r="169" ht="15" customHeight="1">
      <c r="A169" t="inlineStr">
        <is>
          <t>A 3206-2024</t>
        </is>
      </c>
      <c r="B169" s="1" t="n">
        <v>45316</v>
      </c>
      <c r="C169" s="1" t="n">
        <v>45976</v>
      </c>
      <c r="D169" t="inlineStr">
        <is>
          <t>NORRBOTTENS LÄN</t>
        </is>
      </c>
      <c r="E169" t="inlineStr">
        <is>
          <t>ARVIDSJAUR</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48358-2024</t>
        </is>
      </c>
      <c r="B170" s="1" t="n">
        <v>45590</v>
      </c>
      <c r="C170" s="1" t="n">
        <v>45976</v>
      </c>
      <c r="D170" t="inlineStr">
        <is>
          <t>NORRBOTTENS LÄN</t>
        </is>
      </c>
      <c r="E170" t="inlineStr">
        <is>
          <t>ARVIDSJAUR</t>
        </is>
      </c>
      <c r="F170" t="inlineStr">
        <is>
          <t>Sveaskog</t>
        </is>
      </c>
      <c r="G170" t="n">
        <v>20.3</v>
      </c>
      <c r="H170" t="n">
        <v>0</v>
      </c>
      <c r="I170" t="n">
        <v>0</v>
      </c>
      <c r="J170" t="n">
        <v>0</v>
      </c>
      <c r="K170" t="n">
        <v>0</v>
      </c>
      <c r="L170" t="n">
        <v>0</v>
      </c>
      <c r="M170" t="n">
        <v>0</v>
      </c>
      <c r="N170" t="n">
        <v>0</v>
      </c>
      <c r="O170" t="n">
        <v>0</v>
      </c>
      <c r="P170" t="n">
        <v>0</v>
      </c>
      <c r="Q170" t="n">
        <v>0</v>
      </c>
      <c r="R170" s="2" t="inlineStr"/>
    </row>
    <row r="171" ht="15" customHeight="1">
      <c r="A171" t="inlineStr">
        <is>
          <t>A 61625-2024</t>
        </is>
      </c>
      <c r="B171" s="1" t="n">
        <v>45646</v>
      </c>
      <c r="C171" s="1" t="n">
        <v>45976</v>
      </c>
      <c r="D171" t="inlineStr">
        <is>
          <t>NORRBOTTENS LÄN</t>
        </is>
      </c>
      <c r="E171" t="inlineStr">
        <is>
          <t>ARVIDSJAUR</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22696-2024</t>
        </is>
      </c>
      <c r="B172" s="1" t="n">
        <v>45448</v>
      </c>
      <c r="C172" s="1" t="n">
        <v>45976</v>
      </c>
      <c r="D172" t="inlineStr">
        <is>
          <t>NORRBOTTENS LÄN</t>
        </is>
      </c>
      <c r="E172" t="inlineStr">
        <is>
          <t>ARVIDSJAUR</t>
        </is>
      </c>
      <c r="F172" t="inlineStr">
        <is>
          <t>Sveaskog</t>
        </is>
      </c>
      <c r="G172" t="n">
        <v>23.1</v>
      </c>
      <c r="H172" t="n">
        <v>0</v>
      </c>
      <c r="I172" t="n">
        <v>0</v>
      </c>
      <c r="J172" t="n">
        <v>0</v>
      </c>
      <c r="K172" t="n">
        <v>0</v>
      </c>
      <c r="L172" t="n">
        <v>0</v>
      </c>
      <c r="M172" t="n">
        <v>0</v>
      </c>
      <c r="N172" t="n">
        <v>0</v>
      </c>
      <c r="O172" t="n">
        <v>0</v>
      </c>
      <c r="P172" t="n">
        <v>0</v>
      </c>
      <c r="Q172" t="n">
        <v>0</v>
      </c>
      <c r="R172" s="2" t="inlineStr"/>
    </row>
    <row r="173" ht="15" customHeight="1">
      <c r="A173" t="inlineStr">
        <is>
          <t>A 48892-2024</t>
        </is>
      </c>
      <c r="B173" s="1" t="n">
        <v>45594</v>
      </c>
      <c r="C173" s="1" t="n">
        <v>45976</v>
      </c>
      <c r="D173" t="inlineStr">
        <is>
          <t>NORRBOTTENS LÄN</t>
        </is>
      </c>
      <c r="E173" t="inlineStr">
        <is>
          <t>ARVIDSJAUR</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58025-2023</t>
        </is>
      </c>
      <c r="B174" s="1" t="n">
        <v>45244</v>
      </c>
      <c r="C174" s="1" t="n">
        <v>45976</v>
      </c>
      <c r="D174" t="inlineStr">
        <is>
          <t>NORRBOTTENS LÄN</t>
        </is>
      </c>
      <c r="E174" t="inlineStr">
        <is>
          <t>ARVIDSJAUR</t>
        </is>
      </c>
      <c r="G174" t="n">
        <v>4.2</v>
      </c>
      <c r="H174" t="n">
        <v>0</v>
      </c>
      <c r="I174" t="n">
        <v>0</v>
      </c>
      <c r="J174" t="n">
        <v>0</v>
      </c>
      <c r="K174" t="n">
        <v>0</v>
      </c>
      <c r="L174" t="n">
        <v>0</v>
      </c>
      <c r="M174" t="n">
        <v>0</v>
      </c>
      <c r="N174" t="n">
        <v>0</v>
      </c>
      <c r="O174" t="n">
        <v>0</v>
      </c>
      <c r="P174" t="n">
        <v>0</v>
      </c>
      <c r="Q174" t="n">
        <v>0</v>
      </c>
      <c r="R174" s="2" t="inlineStr"/>
    </row>
    <row r="175" ht="15" customHeight="1">
      <c r="A175" t="inlineStr">
        <is>
          <t>A 58941-2022</t>
        </is>
      </c>
      <c r="B175" s="1" t="n">
        <v>44903</v>
      </c>
      <c r="C175" s="1" t="n">
        <v>45976</v>
      </c>
      <c r="D175" t="inlineStr">
        <is>
          <t>NORRBOTTENS LÄN</t>
        </is>
      </c>
      <c r="E175" t="inlineStr">
        <is>
          <t>ARVIDSJAUR</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42695-2023</t>
        </is>
      </c>
      <c r="B176" s="1" t="n">
        <v>45176</v>
      </c>
      <c r="C176" s="1" t="n">
        <v>45976</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39402-2025</t>
        </is>
      </c>
      <c r="B177" s="1" t="n">
        <v>45889.6356712963</v>
      </c>
      <c r="C177" s="1" t="n">
        <v>45976</v>
      </c>
      <c r="D177" t="inlineStr">
        <is>
          <t>NORRBOTTENS LÄN</t>
        </is>
      </c>
      <c r="E177" t="inlineStr">
        <is>
          <t>ARVIDSJAUR</t>
        </is>
      </c>
      <c r="F177" t="inlineStr">
        <is>
          <t>Sveaskog</t>
        </is>
      </c>
      <c r="G177" t="n">
        <v>5.1</v>
      </c>
      <c r="H177" t="n">
        <v>0</v>
      </c>
      <c r="I177" t="n">
        <v>0</v>
      </c>
      <c r="J177" t="n">
        <v>0</v>
      </c>
      <c r="K177" t="n">
        <v>0</v>
      </c>
      <c r="L177" t="n">
        <v>0</v>
      </c>
      <c r="M177" t="n">
        <v>0</v>
      </c>
      <c r="N177" t="n">
        <v>0</v>
      </c>
      <c r="O177" t="n">
        <v>0</v>
      </c>
      <c r="P177" t="n">
        <v>0</v>
      </c>
      <c r="Q177" t="n">
        <v>0</v>
      </c>
      <c r="R177" s="2" t="inlineStr"/>
    </row>
    <row r="178" ht="15" customHeight="1">
      <c r="A178" t="inlineStr">
        <is>
          <t>A 59325-2022</t>
        </is>
      </c>
      <c r="B178" s="1" t="n">
        <v>44904</v>
      </c>
      <c r="C178" s="1" t="n">
        <v>45976</v>
      </c>
      <c r="D178" t="inlineStr">
        <is>
          <t>NORRBOTTENS LÄN</t>
        </is>
      </c>
      <c r="E178" t="inlineStr">
        <is>
          <t>ARVIDSJAUR</t>
        </is>
      </c>
      <c r="F178" t="inlineStr">
        <is>
          <t>Sveaskog</t>
        </is>
      </c>
      <c r="G178" t="n">
        <v>6.4</v>
      </c>
      <c r="H178" t="n">
        <v>0</v>
      </c>
      <c r="I178" t="n">
        <v>0</v>
      </c>
      <c r="J178" t="n">
        <v>0</v>
      </c>
      <c r="K178" t="n">
        <v>0</v>
      </c>
      <c r="L178" t="n">
        <v>0</v>
      </c>
      <c r="M178" t="n">
        <v>0</v>
      </c>
      <c r="N178" t="n">
        <v>0</v>
      </c>
      <c r="O178" t="n">
        <v>0</v>
      </c>
      <c r="P178" t="n">
        <v>0</v>
      </c>
      <c r="Q178" t="n">
        <v>0</v>
      </c>
      <c r="R178" s="2" t="inlineStr"/>
    </row>
    <row r="179" ht="15" customHeight="1">
      <c r="A179" t="inlineStr">
        <is>
          <t>A 39300-2025</t>
        </is>
      </c>
      <c r="B179" s="1" t="n">
        <v>45888</v>
      </c>
      <c r="C179" s="1" t="n">
        <v>45976</v>
      </c>
      <c r="D179" t="inlineStr">
        <is>
          <t>NORRBOTTENS LÄN</t>
        </is>
      </c>
      <c r="E179" t="inlineStr">
        <is>
          <t>ARVIDSJAUR</t>
        </is>
      </c>
      <c r="G179" t="n">
        <v>1.6</v>
      </c>
      <c r="H179" t="n">
        <v>0</v>
      </c>
      <c r="I179" t="n">
        <v>0</v>
      </c>
      <c r="J179" t="n">
        <v>0</v>
      </c>
      <c r="K179" t="n">
        <v>0</v>
      </c>
      <c r="L179" t="n">
        <v>0</v>
      </c>
      <c r="M179" t="n">
        <v>0</v>
      </c>
      <c r="N179" t="n">
        <v>0</v>
      </c>
      <c r="O179" t="n">
        <v>0</v>
      </c>
      <c r="P179" t="n">
        <v>0</v>
      </c>
      <c r="Q179" t="n">
        <v>0</v>
      </c>
      <c r="R179" s="2" t="inlineStr"/>
    </row>
    <row r="180" ht="15" customHeight="1">
      <c r="A180" t="inlineStr">
        <is>
          <t>A 11030-2025</t>
        </is>
      </c>
      <c r="B180" s="1" t="n">
        <v>45723.47167824074</v>
      </c>
      <c r="C180" s="1" t="n">
        <v>45976</v>
      </c>
      <c r="D180" t="inlineStr">
        <is>
          <t>NORRBOTTENS LÄN</t>
        </is>
      </c>
      <c r="E180" t="inlineStr">
        <is>
          <t>ARVIDSJAUR</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39397-2025</t>
        </is>
      </c>
      <c r="B181" s="1" t="n">
        <v>45889.63354166667</v>
      </c>
      <c r="C181" s="1" t="n">
        <v>45976</v>
      </c>
      <c r="D181" t="inlineStr">
        <is>
          <t>NORRBOTTENS LÄN</t>
        </is>
      </c>
      <c r="E181" t="inlineStr">
        <is>
          <t>ARVIDSJAUR</t>
        </is>
      </c>
      <c r="F181" t="inlineStr">
        <is>
          <t>Sveaskog</t>
        </is>
      </c>
      <c r="G181" t="n">
        <v>9.9</v>
      </c>
      <c r="H181" t="n">
        <v>0</v>
      </c>
      <c r="I181" t="n">
        <v>0</v>
      </c>
      <c r="J181" t="n">
        <v>0</v>
      </c>
      <c r="K181" t="n">
        <v>0</v>
      </c>
      <c r="L181" t="n">
        <v>0</v>
      </c>
      <c r="M181" t="n">
        <v>0</v>
      </c>
      <c r="N181" t="n">
        <v>0</v>
      </c>
      <c r="O181" t="n">
        <v>0</v>
      </c>
      <c r="P181" t="n">
        <v>0</v>
      </c>
      <c r="Q181" t="n">
        <v>0</v>
      </c>
      <c r="R181" s="2" t="inlineStr"/>
    </row>
    <row r="182" ht="15" customHeight="1">
      <c r="A182" t="inlineStr">
        <is>
          <t>A 39002-2025</t>
        </is>
      </c>
      <c r="B182" s="1" t="n">
        <v>45888</v>
      </c>
      <c r="C182" s="1" t="n">
        <v>45976</v>
      </c>
      <c r="D182" t="inlineStr">
        <is>
          <t>NORRBOTTENS LÄN</t>
        </is>
      </c>
      <c r="E182" t="inlineStr">
        <is>
          <t>ARVIDSJAUR</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39006-2025</t>
        </is>
      </c>
      <c r="B183" s="1" t="n">
        <v>45888.34505787037</v>
      </c>
      <c r="C183" s="1" t="n">
        <v>45976</v>
      </c>
      <c r="D183" t="inlineStr">
        <is>
          <t>NORRBOTTENS LÄN</t>
        </is>
      </c>
      <c r="E183" t="inlineStr">
        <is>
          <t>ARVIDSJAUR</t>
        </is>
      </c>
      <c r="F183" t="inlineStr">
        <is>
          <t>SCA</t>
        </is>
      </c>
      <c r="G183" t="n">
        <v>1.2</v>
      </c>
      <c r="H183" t="n">
        <v>0</v>
      </c>
      <c r="I183" t="n">
        <v>0</v>
      </c>
      <c r="J183" t="n">
        <v>0</v>
      </c>
      <c r="K183" t="n">
        <v>0</v>
      </c>
      <c r="L183" t="n">
        <v>0</v>
      </c>
      <c r="M183" t="n">
        <v>0</v>
      </c>
      <c r="N183" t="n">
        <v>0</v>
      </c>
      <c r="O183" t="n">
        <v>0</v>
      </c>
      <c r="P183" t="n">
        <v>0</v>
      </c>
      <c r="Q183" t="n">
        <v>0</v>
      </c>
      <c r="R183" s="2" t="inlineStr"/>
    </row>
    <row r="184" ht="15" customHeight="1">
      <c r="A184" t="inlineStr">
        <is>
          <t>A 19232-2025</t>
        </is>
      </c>
      <c r="B184" s="1" t="n">
        <v>45769</v>
      </c>
      <c r="C184" s="1" t="n">
        <v>45976</v>
      </c>
      <c r="D184" t="inlineStr">
        <is>
          <t>NORRBOTTENS LÄN</t>
        </is>
      </c>
      <c r="E184" t="inlineStr">
        <is>
          <t>ARVIDSJAUR</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52407-2021</t>
        </is>
      </c>
      <c r="B185" s="1" t="n">
        <v>44463</v>
      </c>
      <c r="C185" s="1" t="n">
        <v>45976</v>
      </c>
      <c r="D185" t="inlineStr">
        <is>
          <t>NORRBOTTENS LÄN</t>
        </is>
      </c>
      <c r="E185" t="inlineStr">
        <is>
          <t>ARVIDSJAUR</t>
        </is>
      </c>
      <c r="G185" t="n">
        <v>10.3</v>
      </c>
      <c r="H185" t="n">
        <v>0</v>
      </c>
      <c r="I185" t="n">
        <v>0</v>
      </c>
      <c r="J185" t="n">
        <v>0</v>
      </c>
      <c r="K185" t="n">
        <v>0</v>
      </c>
      <c r="L185" t="n">
        <v>0</v>
      </c>
      <c r="M185" t="n">
        <v>0</v>
      </c>
      <c r="N185" t="n">
        <v>0</v>
      </c>
      <c r="O185" t="n">
        <v>0</v>
      </c>
      <c r="P185" t="n">
        <v>0</v>
      </c>
      <c r="Q185" t="n">
        <v>0</v>
      </c>
      <c r="R185" s="2" t="inlineStr"/>
    </row>
    <row r="186" ht="15" customHeight="1">
      <c r="A186" t="inlineStr">
        <is>
          <t>A 39299-2025</t>
        </is>
      </c>
      <c r="B186" s="1" t="n">
        <v>45888</v>
      </c>
      <c r="C186" s="1" t="n">
        <v>45976</v>
      </c>
      <c r="D186" t="inlineStr">
        <is>
          <t>NORRBOTTENS LÄN</t>
        </is>
      </c>
      <c r="E186" t="inlineStr">
        <is>
          <t>ARVIDSJAUR</t>
        </is>
      </c>
      <c r="G186" t="n">
        <v>3.8</v>
      </c>
      <c r="H186" t="n">
        <v>0</v>
      </c>
      <c r="I186" t="n">
        <v>0</v>
      </c>
      <c r="J186" t="n">
        <v>0</v>
      </c>
      <c r="K186" t="n">
        <v>0</v>
      </c>
      <c r="L186" t="n">
        <v>0</v>
      </c>
      <c r="M186" t="n">
        <v>0</v>
      </c>
      <c r="N186" t="n">
        <v>0</v>
      </c>
      <c r="O186" t="n">
        <v>0</v>
      </c>
      <c r="P186" t="n">
        <v>0</v>
      </c>
      <c r="Q186" t="n">
        <v>0</v>
      </c>
      <c r="R186" s="2" t="inlineStr"/>
    </row>
    <row r="187" ht="15" customHeight="1">
      <c r="A187" t="inlineStr">
        <is>
          <t>A 14345-2025</t>
        </is>
      </c>
      <c r="B187" s="1" t="n">
        <v>45741.34417824074</v>
      </c>
      <c r="C187" s="1" t="n">
        <v>45976</v>
      </c>
      <c r="D187" t="inlineStr">
        <is>
          <t>NORRBOTTENS LÄN</t>
        </is>
      </c>
      <c r="E187" t="inlineStr">
        <is>
          <t>ARVIDSJAUR</t>
        </is>
      </c>
      <c r="F187" t="inlineStr">
        <is>
          <t>SCA</t>
        </is>
      </c>
      <c r="G187" t="n">
        <v>6.7</v>
      </c>
      <c r="H187" t="n">
        <v>0</v>
      </c>
      <c r="I187" t="n">
        <v>0</v>
      </c>
      <c r="J187" t="n">
        <v>0</v>
      </c>
      <c r="K187" t="n">
        <v>0</v>
      </c>
      <c r="L187" t="n">
        <v>0</v>
      </c>
      <c r="M187" t="n">
        <v>0</v>
      </c>
      <c r="N187" t="n">
        <v>0</v>
      </c>
      <c r="O187" t="n">
        <v>0</v>
      </c>
      <c r="P187" t="n">
        <v>0</v>
      </c>
      <c r="Q187" t="n">
        <v>0</v>
      </c>
      <c r="R187" s="2" t="inlineStr"/>
    </row>
    <row r="188" ht="15" customHeight="1">
      <c r="A188" t="inlineStr">
        <is>
          <t>A 39584-2025</t>
        </is>
      </c>
      <c r="B188" s="1" t="n">
        <v>45890</v>
      </c>
      <c r="C188" s="1" t="n">
        <v>45976</v>
      </c>
      <c r="D188" t="inlineStr">
        <is>
          <t>NORRBOTTENS LÄN</t>
        </is>
      </c>
      <c r="E188" t="inlineStr">
        <is>
          <t>ARVIDSJAUR</t>
        </is>
      </c>
      <c r="G188" t="n">
        <v>1.1</v>
      </c>
      <c r="H188" t="n">
        <v>0</v>
      </c>
      <c r="I188" t="n">
        <v>0</v>
      </c>
      <c r="J188" t="n">
        <v>0</v>
      </c>
      <c r="K188" t="n">
        <v>0</v>
      </c>
      <c r="L188" t="n">
        <v>0</v>
      </c>
      <c r="M188" t="n">
        <v>0</v>
      </c>
      <c r="N188" t="n">
        <v>0</v>
      </c>
      <c r="O188" t="n">
        <v>0</v>
      </c>
      <c r="P188" t="n">
        <v>0</v>
      </c>
      <c r="Q188" t="n">
        <v>0</v>
      </c>
      <c r="R188" s="2" t="inlineStr"/>
    </row>
    <row r="189" ht="15" customHeight="1">
      <c r="A189" t="inlineStr">
        <is>
          <t>A 39760-2022</t>
        </is>
      </c>
      <c r="B189" s="1" t="n">
        <v>44819</v>
      </c>
      <c r="C189" s="1" t="n">
        <v>45976</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22997-2024</t>
        </is>
      </c>
      <c r="B190" s="1" t="n">
        <v>45450</v>
      </c>
      <c r="C190" s="1" t="n">
        <v>45976</v>
      </c>
      <c r="D190" t="inlineStr">
        <is>
          <t>NORRBOTTENS LÄN</t>
        </is>
      </c>
      <c r="E190" t="inlineStr">
        <is>
          <t>ARVIDSJAUR</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60466-2022</t>
        </is>
      </c>
      <c r="B191" s="1" t="n">
        <v>44911</v>
      </c>
      <c r="C191" s="1" t="n">
        <v>45976</v>
      </c>
      <c r="D191" t="inlineStr">
        <is>
          <t>NORRBOTTENS LÄN</t>
        </is>
      </c>
      <c r="E191" t="inlineStr">
        <is>
          <t>ARVIDSJAUR</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28803-2024</t>
        </is>
      </c>
      <c r="B192" s="1" t="n">
        <v>45478</v>
      </c>
      <c r="C192" s="1" t="n">
        <v>45976</v>
      </c>
      <c r="D192" t="inlineStr">
        <is>
          <t>NORRBOTTENS LÄN</t>
        </is>
      </c>
      <c r="E192" t="inlineStr">
        <is>
          <t>ARVIDSJAUR</t>
        </is>
      </c>
      <c r="F192" t="inlineStr">
        <is>
          <t>Övriga Aktiebolag</t>
        </is>
      </c>
      <c r="G192" t="n">
        <v>16.5</v>
      </c>
      <c r="H192" t="n">
        <v>0</v>
      </c>
      <c r="I192" t="n">
        <v>0</v>
      </c>
      <c r="J192" t="n">
        <v>0</v>
      </c>
      <c r="K192" t="n">
        <v>0</v>
      </c>
      <c r="L192" t="n">
        <v>0</v>
      </c>
      <c r="M192" t="n">
        <v>0</v>
      </c>
      <c r="N192" t="n">
        <v>0</v>
      </c>
      <c r="O192" t="n">
        <v>0</v>
      </c>
      <c r="P192" t="n">
        <v>0</v>
      </c>
      <c r="Q192" t="n">
        <v>0</v>
      </c>
      <c r="R192" s="2" t="inlineStr"/>
    </row>
    <row r="193" ht="15" customHeight="1">
      <c r="A193" t="inlineStr">
        <is>
          <t>A 28313-2023</t>
        </is>
      </c>
      <c r="B193" s="1" t="n">
        <v>45099</v>
      </c>
      <c r="C193" s="1" t="n">
        <v>45976</v>
      </c>
      <c r="D193" t="inlineStr">
        <is>
          <t>NORRBOTTENS LÄN</t>
        </is>
      </c>
      <c r="E193" t="inlineStr">
        <is>
          <t>ARVIDSJAUR</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11582-2025</t>
        </is>
      </c>
      <c r="B194" s="1" t="n">
        <v>45726</v>
      </c>
      <c r="C194" s="1" t="n">
        <v>45976</v>
      </c>
      <c r="D194" t="inlineStr">
        <is>
          <t>NORRBOTTENS LÄN</t>
        </is>
      </c>
      <c r="E194" t="inlineStr">
        <is>
          <t>ARVIDSJAUR</t>
        </is>
      </c>
      <c r="F194" t="inlineStr">
        <is>
          <t>Allmännings- och besparingsskogar</t>
        </is>
      </c>
      <c r="G194" t="n">
        <v>7.1</v>
      </c>
      <c r="H194" t="n">
        <v>0</v>
      </c>
      <c r="I194" t="n">
        <v>0</v>
      </c>
      <c r="J194" t="n">
        <v>0</v>
      </c>
      <c r="K194" t="n">
        <v>0</v>
      </c>
      <c r="L194" t="n">
        <v>0</v>
      </c>
      <c r="M194" t="n">
        <v>0</v>
      </c>
      <c r="N194" t="n">
        <v>0</v>
      </c>
      <c r="O194" t="n">
        <v>0</v>
      </c>
      <c r="P194" t="n">
        <v>0</v>
      </c>
      <c r="Q194" t="n">
        <v>0</v>
      </c>
      <c r="R194" s="2" t="inlineStr"/>
    </row>
    <row r="195" ht="15" customHeight="1">
      <c r="A195" t="inlineStr">
        <is>
          <t>A 45034-2023</t>
        </is>
      </c>
      <c r="B195" s="1" t="n">
        <v>45191.28909722222</v>
      </c>
      <c r="C195" s="1" t="n">
        <v>45976</v>
      </c>
      <c r="D195" t="inlineStr">
        <is>
          <t>NORRBOTTENS LÄN</t>
        </is>
      </c>
      <c r="E195" t="inlineStr">
        <is>
          <t>ARVIDSJAUR</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2116-2024</t>
        </is>
      </c>
      <c r="B196" s="1" t="n">
        <v>45309</v>
      </c>
      <c r="C196" s="1" t="n">
        <v>45976</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19237-2025</t>
        </is>
      </c>
      <c r="B197" s="1" t="n">
        <v>45769</v>
      </c>
      <c r="C197" s="1" t="n">
        <v>45976</v>
      </c>
      <c r="D197" t="inlineStr">
        <is>
          <t>NORRBOTTENS LÄN</t>
        </is>
      </c>
      <c r="E197" t="inlineStr">
        <is>
          <t>ARVIDSJAUR</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11492-2025</t>
        </is>
      </c>
      <c r="B198" s="1" t="n">
        <v>45726</v>
      </c>
      <c r="C198" s="1" t="n">
        <v>45976</v>
      </c>
      <c r="D198" t="inlineStr">
        <is>
          <t>NORRBOTTENS LÄN</t>
        </is>
      </c>
      <c r="E198" t="inlineStr">
        <is>
          <t>ARVIDSJAUR</t>
        </is>
      </c>
      <c r="F198" t="inlineStr">
        <is>
          <t>Allmännings- och besparingsskogar</t>
        </is>
      </c>
      <c r="G198" t="n">
        <v>14.2</v>
      </c>
      <c r="H198" t="n">
        <v>0</v>
      </c>
      <c r="I198" t="n">
        <v>0</v>
      </c>
      <c r="J198" t="n">
        <v>0</v>
      </c>
      <c r="K198" t="n">
        <v>0</v>
      </c>
      <c r="L198" t="n">
        <v>0</v>
      </c>
      <c r="M198" t="n">
        <v>0</v>
      </c>
      <c r="N198" t="n">
        <v>0</v>
      </c>
      <c r="O198" t="n">
        <v>0</v>
      </c>
      <c r="P198" t="n">
        <v>0</v>
      </c>
      <c r="Q198" t="n">
        <v>0</v>
      </c>
      <c r="R198" s="2" t="inlineStr"/>
    </row>
    <row r="199" ht="15" customHeight="1">
      <c r="A199" t="inlineStr">
        <is>
          <t>A 11494-2025</t>
        </is>
      </c>
      <c r="B199" s="1" t="n">
        <v>45726</v>
      </c>
      <c r="C199" s="1" t="n">
        <v>45976</v>
      </c>
      <c r="D199" t="inlineStr">
        <is>
          <t>NORRBOTTENS LÄN</t>
        </is>
      </c>
      <c r="E199" t="inlineStr">
        <is>
          <t>ARVIDSJAUR</t>
        </is>
      </c>
      <c r="F199" t="inlineStr">
        <is>
          <t>Allmännings- och besparingsskogar</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42870-2024</t>
        </is>
      </c>
      <c r="B200" s="1" t="n">
        <v>45566.66489583333</v>
      </c>
      <c r="C200" s="1" t="n">
        <v>45976</v>
      </c>
      <c r="D200" t="inlineStr">
        <is>
          <t>NORRBOTTENS LÄN</t>
        </is>
      </c>
      <c r="E200" t="inlineStr">
        <is>
          <t>ARVIDSJAUR</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48373-2024</t>
        </is>
      </c>
      <c r="B201" s="1" t="n">
        <v>45590</v>
      </c>
      <c r="C201" s="1" t="n">
        <v>45976</v>
      </c>
      <c r="D201" t="inlineStr">
        <is>
          <t>NORRBOTTENS LÄN</t>
        </is>
      </c>
      <c r="E201" t="inlineStr">
        <is>
          <t>ARVIDSJAUR</t>
        </is>
      </c>
      <c r="F201" t="inlineStr">
        <is>
          <t>Sveaskog</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22328-2021</t>
        </is>
      </c>
      <c r="B202" s="1" t="n">
        <v>44321</v>
      </c>
      <c r="C202" s="1" t="n">
        <v>45976</v>
      </c>
      <c r="D202" t="inlineStr">
        <is>
          <t>NORRBOTTENS LÄN</t>
        </is>
      </c>
      <c r="E202" t="inlineStr">
        <is>
          <t>ARVIDSJAUR</t>
        </is>
      </c>
      <c r="G202" t="n">
        <v>0.6</v>
      </c>
      <c r="H202" t="n">
        <v>0</v>
      </c>
      <c r="I202" t="n">
        <v>0</v>
      </c>
      <c r="J202" t="n">
        <v>0</v>
      </c>
      <c r="K202" t="n">
        <v>0</v>
      </c>
      <c r="L202" t="n">
        <v>0</v>
      </c>
      <c r="M202" t="n">
        <v>0</v>
      </c>
      <c r="N202" t="n">
        <v>0</v>
      </c>
      <c r="O202" t="n">
        <v>0</v>
      </c>
      <c r="P202" t="n">
        <v>0</v>
      </c>
      <c r="Q202" t="n">
        <v>0</v>
      </c>
      <c r="R202" s="2" t="inlineStr"/>
    </row>
    <row r="203" ht="15" customHeight="1">
      <c r="A203" t="inlineStr">
        <is>
          <t>A 48291-2023</t>
        </is>
      </c>
      <c r="B203" s="1" t="n">
        <v>45201</v>
      </c>
      <c r="C203" s="1" t="n">
        <v>45976</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48858-2025</t>
        </is>
      </c>
      <c r="B204" s="1" t="n">
        <v>45937.43831018519</v>
      </c>
      <c r="C204" s="1" t="n">
        <v>45976</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24810-2023</t>
        </is>
      </c>
      <c r="B205" s="1" t="n">
        <v>45084</v>
      </c>
      <c r="C205" s="1" t="n">
        <v>45976</v>
      </c>
      <c r="D205" t="inlineStr">
        <is>
          <t>NORRBOTTENS LÄN</t>
        </is>
      </c>
      <c r="E205" t="inlineStr">
        <is>
          <t>ARVIDSJAUR</t>
        </is>
      </c>
      <c r="G205" t="n">
        <v>5.2</v>
      </c>
      <c r="H205" t="n">
        <v>0</v>
      </c>
      <c r="I205" t="n">
        <v>0</v>
      </c>
      <c r="J205" t="n">
        <v>0</v>
      </c>
      <c r="K205" t="n">
        <v>0</v>
      </c>
      <c r="L205" t="n">
        <v>0</v>
      </c>
      <c r="M205" t="n">
        <v>0</v>
      </c>
      <c r="N205" t="n">
        <v>0</v>
      </c>
      <c r="O205" t="n">
        <v>0</v>
      </c>
      <c r="P205" t="n">
        <v>0</v>
      </c>
      <c r="Q205" t="n">
        <v>0</v>
      </c>
      <c r="R205" s="2" t="inlineStr"/>
    </row>
    <row r="206" ht="15" customHeight="1">
      <c r="A206" t="inlineStr">
        <is>
          <t>A 52645-2023</t>
        </is>
      </c>
      <c r="B206" s="1" t="n">
        <v>45225</v>
      </c>
      <c r="C206" s="1" t="n">
        <v>45976</v>
      </c>
      <c r="D206" t="inlineStr">
        <is>
          <t>NORRBOTTENS LÄN</t>
        </is>
      </c>
      <c r="E206" t="inlineStr">
        <is>
          <t>ARVIDSJAUR</t>
        </is>
      </c>
      <c r="G206" t="n">
        <v>2.7</v>
      </c>
      <c r="H206" t="n">
        <v>0</v>
      </c>
      <c r="I206" t="n">
        <v>0</v>
      </c>
      <c r="J206" t="n">
        <v>0</v>
      </c>
      <c r="K206" t="n">
        <v>0</v>
      </c>
      <c r="L206" t="n">
        <v>0</v>
      </c>
      <c r="M206" t="n">
        <v>0</v>
      </c>
      <c r="N206" t="n">
        <v>0</v>
      </c>
      <c r="O206" t="n">
        <v>0</v>
      </c>
      <c r="P206" t="n">
        <v>0</v>
      </c>
      <c r="Q206" t="n">
        <v>0</v>
      </c>
      <c r="R206" s="2" t="inlineStr"/>
    </row>
    <row r="207" ht="15" customHeight="1">
      <c r="A207" t="inlineStr">
        <is>
          <t>A 18780-2024</t>
        </is>
      </c>
      <c r="B207" s="1" t="n">
        <v>45426</v>
      </c>
      <c r="C207" s="1" t="n">
        <v>45976</v>
      </c>
      <c r="D207" t="inlineStr">
        <is>
          <t>NORRBOTTENS LÄN</t>
        </is>
      </c>
      <c r="E207" t="inlineStr">
        <is>
          <t>ARVIDSJAUR</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30327-2025</t>
        </is>
      </c>
      <c r="B208" s="1" t="n">
        <v>45827</v>
      </c>
      <c r="C208" s="1" t="n">
        <v>45976</v>
      </c>
      <c r="D208" t="inlineStr">
        <is>
          <t>NORRBOTTENS LÄN</t>
        </is>
      </c>
      <c r="E208" t="inlineStr">
        <is>
          <t>ARVIDSJAUR</t>
        </is>
      </c>
      <c r="G208" t="n">
        <v>4.7</v>
      </c>
      <c r="H208" t="n">
        <v>0</v>
      </c>
      <c r="I208" t="n">
        <v>0</v>
      </c>
      <c r="J208" t="n">
        <v>0</v>
      </c>
      <c r="K208" t="n">
        <v>0</v>
      </c>
      <c r="L208" t="n">
        <v>0</v>
      </c>
      <c r="M208" t="n">
        <v>0</v>
      </c>
      <c r="N208" t="n">
        <v>0</v>
      </c>
      <c r="O208" t="n">
        <v>0</v>
      </c>
      <c r="P208" t="n">
        <v>0</v>
      </c>
      <c r="Q208" t="n">
        <v>0</v>
      </c>
      <c r="R208" s="2" t="inlineStr"/>
    </row>
    <row r="209" ht="15" customHeight="1">
      <c r="A209" t="inlineStr">
        <is>
          <t>A 40836-2025</t>
        </is>
      </c>
      <c r="B209" s="1" t="n">
        <v>45896</v>
      </c>
      <c r="C209" s="1" t="n">
        <v>45976</v>
      </c>
      <c r="D209" t="inlineStr">
        <is>
          <t>NORRBOTTENS LÄN</t>
        </is>
      </c>
      <c r="E209" t="inlineStr">
        <is>
          <t>ARVIDSJAUR</t>
        </is>
      </c>
      <c r="G209" t="n">
        <v>26.9</v>
      </c>
      <c r="H209" t="n">
        <v>0</v>
      </c>
      <c r="I209" t="n">
        <v>0</v>
      </c>
      <c r="J209" t="n">
        <v>0</v>
      </c>
      <c r="K209" t="n">
        <v>0</v>
      </c>
      <c r="L209" t="n">
        <v>0</v>
      </c>
      <c r="M209" t="n">
        <v>0</v>
      </c>
      <c r="N209" t="n">
        <v>0</v>
      </c>
      <c r="O209" t="n">
        <v>0</v>
      </c>
      <c r="P209" t="n">
        <v>0</v>
      </c>
      <c r="Q209" t="n">
        <v>0</v>
      </c>
      <c r="R209" s="2" t="inlineStr"/>
    </row>
    <row r="210" ht="15" customHeight="1">
      <c r="A210" t="inlineStr">
        <is>
          <t>A 38472-2024</t>
        </is>
      </c>
      <c r="B210" s="1" t="n">
        <v>45546</v>
      </c>
      <c r="C210" s="1" t="n">
        <v>45976</v>
      </c>
      <c r="D210" t="inlineStr">
        <is>
          <t>NORRBOTTENS LÄN</t>
        </is>
      </c>
      <c r="E210" t="inlineStr">
        <is>
          <t>ARVIDSJAUR</t>
        </is>
      </c>
      <c r="G210" t="n">
        <v>3.6</v>
      </c>
      <c r="H210" t="n">
        <v>0</v>
      </c>
      <c r="I210" t="n">
        <v>0</v>
      </c>
      <c r="J210" t="n">
        <v>0</v>
      </c>
      <c r="K210" t="n">
        <v>0</v>
      </c>
      <c r="L210" t="n">
        <v>0</v>
      </c>
      <c r="M210" t="n">
        <v>0</v>
      </c>
      <c r="N210" t="n">
        <v>0</v>
      </c>
      <c r="O210" t="n">
        <v>0</v>
      </c>
      <c r="P210" t="n">
        <v>0</v>
      </c>
      <c r="Q210" t="n">
        <v>0</v>
      </c>
      <c r="R210" s="2" t="inlineStr"/>
    </row>
    <row r="211" ht="15" customHeight="1">
      <c r="A211" t="inlineStr">
        <is>
          <t>A 40936-2025</t>
        </is>
      </c>
      <c r="B211" s="1" t="n">
        <v>45897.65011574074</v>
      </c>
      <c r="C211" s="1" t="n">
        <v>45976</v>
      </c>
      <c r="D211" t="inlineStr">
        <is>
          <t>NORRBOTTENS LÄN</t>
        </is>
      </c>
      <c r="E211" t="inlineStr">
        <is>
          <t>ARVIDSJAUR</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10832-2025</t>
        </is>
      </c>
      <c r="B212" s="1" t="n">
        <v>45722</v>
      </c>
      <c r="C212" s="1" t="n">
        <v>45976</v>
      </c>
      <c r="D212" t="inlineStr">
        <is>
          <t>NORRBOTTENS LÄN</t>
        </is>
      </c>
      <c r="E212" t="inlineStr">
        <is>
          <t>ARVIDSJAUR</t>
        </is>
      </c>
      <c r="G212" t="n">
        <v>1</v>
      </c>
      <c r="H212" t="n">
        <v>0</v>
      </c>
      <c r="I212" t="n">
        <v>0</v>
      </c>
      <c r="J212" t="n">
        <v>0</v>
      </c>
      <c r="K212" t="n">
        <v>0</v>
      </c>
      <c r="L212" t="n">
        <v>0</v>
      </c>
      <c r="M212" t="n">
        <v>0</v>
      </c>
      <c r="N212" t="n">
        <v>0</v>
      </c>
      <c r="O212" t="n">
        <v>0</v>
      </c>
      <c r="P212" t="n">
        <v>0</v>
      </c>
      <c r="Q212" t="n">
        <v>0</v>
      </c>
      <c r="R212" s="2" t="inlineStr"/>
    </row>
    <row r="213" ht="15" customHeight="1">
      <c r="A213" t="inlineStr">
        <is>
          <t>A 10852-2025</t>
        </is>
      </c>
      <c r="B213" s="1" t="n">
        <v>45722</v>
      </c>
      <c r="C213" s="1" t="n">
        <v>45976</v>
      </c>
      <c r="D213" t="inlineStr">
        <is>
          <t>NORRBOTTENS LÄN</t>
        </is>
      </c>
      <c r="E213" t="inlineStr">
        <is>
          <t>ARVIDSJAUR</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38271-2024</t>
        </is>
      </c>
      <c r="B214" s="1" t="n">
        <v>45545</v>
      </c>
      <c r="C214" s="1" t="n">
        <v>45976</v>
      </c>
      <c r="D214" t="inlineStr">
        <is>
          <t>NORRBOTTENS LÄN</t>
        </is>
      </c>
      <c r="E214" t="inlineStr">
        <is>
          <t>ARVIDSJAUR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9996-2023</t>
        </is>
      </c>
      <c r="B215" s="1" t="n">
        <v>44979</v>
      </c>
      <c r="C215" s="1" t="n">
        <v>45976</v>
      </c>
      <c r="D215" t="inlineStr">
        <is>
          <t>NORRBOTTENS LÄN</t>
        </is>
      </c>
      <c r="E215" t="inlineStr">
        <is>
          <t>ARVIDSJAUR</t>
        </is>
      </c>
      <c r="G215" t="n">
        <v>6.6</v>
      </c>
      <c r="H215" t="n">
        <v>0</v>
      </c>
      <c r="I215" t="n">
        <v>0</v>
      </c>
      <c r="J215" t="n">
        <v>0</v>
      </c>
      <c r="K215" t="n">
        <v>0</v>
      </c>
      <c r="L215" t="n">
        <v>0</v>
      </c>
      <c r="M215" t="n">
        <v>0</v>
      </c>
      <c r="N215" t="n">
        <v>0</v>
      </c>
      <c r="O215" t="n">
        <v>0</v>
      </c>
      <c r="P215" t="n">
        <v>0</v>
      </c>
      <c r="Q215" t="n">
        <v>0</v>
      </c>
      <c r="R215" s="2" t="inlineStr"/>
    </row>
    <row r="216" ht="15" customHeight="1">
      <c r="A216" t="inlineStr">
        <is>
          <t>A 3343-2024</t>
        </is>
      </c>
      <c r="B216" s="1" t="n">
        <v>45317</v>
      </c>
      <c r="C216" s="1" t="n">
        <v>45976</v>
      </c>
      <c r="D216" t="inlineStr">
        <is>
          <t>NORRBOTTENS LÄN</t>
        </is>
      </c>
      <c r="E216" t="inlineStr">
        <is>
          <t>ARVIDSJAUR</t>
        </is>
      </c>
      <c r="G216" t="n">
        <v>10.9</v>
      </c>
      <c r="H216" t="n">
        <v>0</v>
      </c>
      <c r="I216" t="n">
        <v>0</v>
      </c>
      <c r="J216" t="n">
        <v>0</v>
      </c>
      <c r="K216" t="n">
        <v>0</v>
      </c>
      <c r="L216" t="n">
        <v>0</v>
      </c>
      <c r="M216" t="n">
        <v>0</v>
      </c>
      <c r="N216" t="n">
        <v>0</v>
      </c>
      <c r="O216" t="n">
        <v>0</v>
      </c>
      <c r="P216" t="n">
        <v>0</v>
      </c>
      <c r="Q216" t="n">
        <v>0</v>
      </c>
      <c r="R216" s="2" t="inlineStr"/>
    </row>
    <row r="217" ht="15" customHeight="1">
      <c r="A217" t="inlineStr">
        <is>
          <t>A 30756-2023</t>
        </is>
      </c>
      <c r="B217" s="1" t="n">
        <v>45103</v>
      </c>
      <c r="C217" s="1" t="n">
        <v>45976</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41599-2024</t>
        </is>
      </c>
      <c r="B218" s="1" t="n">
        <v>45560</v>
      </c>
      <c r="C218" s="1" t="n">
        <v>45976</v>
      </c>
      <c r="D218" t="inlineStr">
        <is>
          <t>NORRBOTTENS LÄN</t>
        </is>
      </c>
      <c r="E218" t="inlineStr">
        <is>
          <t>ARVIDSJAUR</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39775-2022</t>
        </is>
      </c>
      <c r="B219" s="1" t="n">
        <v>44819</v>
      </c>
      <c r="C219" s="1" t="n">
        <v>45976</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50527-2024</t>
        </is>
      </c>
      <c r="B220" s="1" t="n">
        <v>45601.56194444445</v>
      </c>
      <c r="C220" s="1" t="n">
        <v>45976</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41210-2025</t>
        </is>
      </c>
      <c r="B221" s="1" t="n">
        <v>45898</v>
      </c>
      <c r="C221" s="1" t="n">
        <v>45976</v>
      </c>
      <c r="D221" t="inlineStr">
        <is>
          <t>NORRBOTTENS LÄN</t>
        </is>
      </c>
      <c r="E221" t="inlineStr">
        <is>
          <t>ARVIDSJAUR</t>
        </is>
      </c>
      <c r="G221" t="n">
        <v>12.1</v>
      </c>
      <c r="H221" t="n">
        <v>0</v>
      </c>
      <c r="I221" t="n">
        <v>0</v>
      </c>
      <c r="J221" t="n">
        <v>0</v>
      </c>
      <c r="K221" t="n">
        <v>0</v>
      </c>
      <c r="L221" t="n">
        <v>0</v>
      </c>
      <c r="M221" t="n">
        <v>0</v>
      </c>
      <c r="N221" t="n">
        <v>0</v>
      </c>
      <c r="O221" t="n">
        <v>0</v>
      </c>
      <c r="P221" t="n">
        <v>0</v>
      </c>
      <c r="Q221" t="n">
        <v>0</v>
      </c>
      <c r="R221" s="2" t="inlineStr"/>
    </row>
    <row r="222" ht="15" customHeight="1">
      <c r="A222" t="inlineStr">
        <is>
          <t>A 48316-2025</t>
        </is>
      </c>
      <c r="B222" s="1" t="n">
        <v>45933</v>
      </c>
      <c r="C222" s="1" t="n">
        <v>45976</v>
      </c>
      <c r="D222" t="inlineStr">
        <is>
          <t>NORRBOTTENS LÄN</t>
        </is>
      </c>
      <c r="E222" t="inlineStr">
        <is>
          <t>ARVIDSJAUR</t>
        </is>
      </c>
      <c r="G222" t="n">
        <v>1.2</v>
      </c>
      <c r="H222" t="n">
        <v>0</v>
      </c>
      <c r="I222" t="n">
        <v>0</v>
      </c>
      <c r="J222" t="n">
        <v>0</v>
      </c>
      <c r="K222" t="n">
        <v>0</v>
      </c>
      <c r="L222" t="n">
        <v>0</v>
      </c>
      <c r="M222" t="n">
        <v>0</v>
      </c>
      <c r="N222" t="n">
        <v>0</v>
      </c>
      <c r="O222" t="n">
        <v>0</v>
      </c>
      <c r="P222" t="n">
        <v>0</v>
      </c>
      <c r="Q222" t="n">
        <v>0</v>
      </c>
      <c r="R222" s="2" t="inlineStr"/>
    </row>
    <row r="223" ht="15" customHeight="1">
      <c r="A223" t="inlineStr">
        <is>
          <t>A 1355-2024</t>
        </is>
      </c>
      <c r="B223" s="1" t="n">
        <v>45303</v>
      </c>
      <c r="C223" s="1" t="n">
        <v>45976</v>
      </c>
      <c r="D223" t="inlineStr">
        <is>
          <t>NORRBOTTENS LÄN</t>
        </is>
      </c>
      <c r="E223" t="inlineStr">
        <is>
          <t>ARVIDSJAUR</t>
        </is>
      </c>
      <c r="G223" t="n">
        <v>1</v>
      </c>
      <c r="H223" t="n">
        <v>0</v>
      </c>
      <c r="I223" t="n">
        <v>0</v>
      </c>
      <c r="J223" t="n">
        <v>0</v>
      </c>
      <c r="K223" t="n">
        <v>0</v>
      </c>
      <c r="L223" t="n">
        <v>0</v>
      </c>
      <c r="M223" t="n">
        <v>0</v>
      </c>
      <c r="N223" t="n">
        <v>0</v>
      </c>
      <c r="O223" t="n">
        <v>0</v>
      </c>
      <c r="P223" t="n">
        <v>0</v>
      </c>
      <c r="Q223" t="n">
        <v>0</v>
      </c>
      <c r="R223" s="2" t="inlineStr"/>
    </row>
    <row r="224" ht="15" customHeight="1">
      <c r="A224" t="inlineStr">
        <is>
          <t>A 48856-2025</t>
        </is>
      </c>
      <c r="B224" s="1" t="n">
        <v>45937.43583333334</v>
      </c>
      <c r="C224" s="1" t="n">
        <v>45976</v>
      </c>
      <c r="D224" t="inlineStr">
        <is>
          <t>NORRBOTTENS LÄN</t>
        </is>
      </c>
      <c r="E224" t="inlineStr">
        <is>
          <t>ARVIDSJAUR</t>
        </is>
      </c>
      <c r="G224" t="n">
        <v>8.6</v>
      </c>
      <c r="H224" t="n">
        <v>0</v>
      </c>
      <c r="I224" t="n">
        <v>0</v>
      </c>
      <c r="J224" t="n">
        <v>0</v>
      </c>
      <c r="K224" t="n">
        <v>0</v>
      </c>
      <c r="L224" t="n">
        <v>0</v>
      </c>
      <c r="M224" t="n">
        <v>0</v>
      </c>
      <c r="N224" t="n">
        <v>0</v>
      </c>
      <c r="O224" t="n">
        <v>0</v>
      </c>
      <c r="P224" t="n">
        <v>0</v>
      </c>
      <c r="Q224" t="n">
        <v>0</v>
      </c>
      <c r="R224" s="2" t="inlineStr"/>
    </row>
    <row r="225" ht="15" customHeight="1">
      <c r="A225" t="inlineStr">
        <is>
          <t>A 25599-2024</t>
        </is>
      </c>
      <c r="B225" s="1" t="n">
        <v>45463.62568287037</v>
      </c>
      <c r="C225" s="1" t="n">
        <v>45976</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11998-2025</t>
        </is>
      </c>
      <c r="B226" s="1" t="n">
        <v>45728</v>
      </c>
      <c r="C226" s="1" t="n">
        <v>45976</v>
      </c>
      <c r="D226" t="inlineStr">
        <is>
          <t>NORRBOTTENS LÄN</t>
        </is>
      </c>
      <c r="E226" t="inlineStr">
        <is>
          <t>ARVIDSJAUR</t>
        </is>
      </c>
      <c r="F226" t="inlineStr">
        <is>
          <t>Allmännings- och besparingsskogar</t>
        </is>
      </c>
      <c r="G226" t="n">
        <v>1.6</v>
      </c>
      <c r="H226" t="n">
        <v>0</v>
      </c>
      <c r="I226" t="n">
        <v>0</v>
      </c>
      <c r="J226" t="n">
        <v>0</v>
      </c>
      <c r="K226" t="n">
        <v>0</v>
      </c>
      <c r="L226" t="n">
        <v>0</v>
      </c>
      <c r="M226" t="n">
        <v>0</v>
      </c>
      <c r="N226" t="n">
        <v>0</v>
      </c>
      <c r="O226" t="n">
        <v>0</v>
      </c>
      <c r="P226" t="n">
        <v>0</v>
      </c>
      <c r="Q226" t="n">
        <v>0</v>
      </c>
      <c r="R226" s="2" t="inlineStr"/>
    </row>
    <row r="227" ht="15" customHeight="1">
      <c r="A227" t="inlineStr">
        <is>
          <t>A 27742-2024</t>
        </is>
      </c>
      <c r="B227" s="1" t="n">
        <v>45475.46423611111</v>
      </c>
      <c r="C227" s="1" t="n">
        <v>45976</v>
      </c>
      <c r="D227" t="inlineStr">
        <is>
          <t>NORRBOTTENS LÄN</t>
        </is>
      </c>
      <c r="E227" t="inlineStr">
        <is>
          <t>ARVIDSJAUR</t>
        </is>
      </c>
      <c r="G227" t="n">
        <v>16.8</v>
      </c>
      <c r="H227" t="n">
        <v>0</v>
      </c>
      <c r="I227" t="n">
        <v>0</v>
      </c>
      <c r="J227" t="n">
        <v>0</v>
      </c>
      <c r="K227" t="n">
        <v>0</v>
      </c>
      <c r="L227" t="n">
        <v>0</v>
      </c>
      <c r="M227" t="n">
        <v>0</v>
      </c>
      <c r="N227" t="n">
        <v>0</v>
      </c>
      <c r="O227" t="n">
        <v>0</v>
      </c>
      <c r="P227" t="n">
        <v>0</v>
      </c>
      <c r="Q227" t="n">
        <v>0</v>
      </c>
      <c r="R227" s="2" t="inlineStr"/>
    </row>
    <row r="228" ht="15" customHeight="1">
      <c r="A228" t="inlineStr">
        <is>
          <t>A 21270-2021</t>
        </is>
      </c>
      <c r="B228" s="1" t="n">
        <v>44320</v>
      </c>
      <c r="C228" s="1" t="n">
        <v>45976</v>
      </c>
      <c r="D228" t="inlineStr">
        <is>
          <t>NORRBOTTENS LÄN</t>
        </is>
      </c>
      <c r="E228" t="inlineStr">
        <is>
          <t>ARVIDSJAUR</t>
        </is>
      </c>
      <c r="G228" t="n">
        <v>0.9</v>
      </c>
      <c r="H228" t="n">
        <v>0</v>
      </c>
      <c r="I228" t="n">
        <v>0</v>
      </c>
      <c r="J228" t="n">
        <v>0</v>
      </c>
      <c r="K228" t="n">
        <v>0</v>
      </c>
      <c r="L228" t="n">
        <v>0</v>
      </c>
      <c r="M228" t="n">
        <v>0</v>
      </c>
      <c r="N228" t="n">
        <v>0</v>
      </c>
      <c r="O228" t="n">
        <v>0</v>
      </c>
      <c r="P228" t="n">
        <v>0</v>
      </c>
      <c r="Q228" t="n">
        <v>0</v>
      </c>
      <c r="R228" s="2" t="inlineStr"/>
    </row>
    <row r="229" ht="15" customHeight="1">
      <c r="A229" t="inlineStr">
        <is>
          <t>A 22688-2024</t>
        </is>
      </c>
      <c r="B229" s="1" t="n">
        <v>45448</v>
      </c>
      <c r="C229" s="1" t="n">
        <v>45976</v>
      </c>
      <c r="D229" t="inlineStr">
        <is>
          <t>NORRBOTTENS LÄN</t>
        </is>
      </c>
      <c r="E229" t="inlineStr">
        <is>
          <t>ARVIDSJAUR</t>
        </is>
      </c>
      <c r="G229" t="n">
        <v>6.4</v>
      </c>
      <c r="H229" t="n">
        <v>0</v>
      </c>
      <c r="I229" t="n">
        <v>0</v>
      </c>
      <c r="J229" t="n">
        <v>0</v>
      </c>
      <c r="K229" t="n">
        <v>0</v>
      </c>
      <c r="L229" t="n">
        <v>0</v>
      </c>
      <c r="M229" t="n">
        <v>0</v>
      </c>
      <c r="N229" t="n">
        <v>0</v>
      </c>
      <c r="O229" t="n">
        <v>0</v>
      </c>
      <c r="P229" t="n">
        <v>0</v>
      </c>
      <c r="Q229" t="n">
        <v>0</v>
      </c>
      <c r="R229" s="2" t="inlineStr"/>
    </row>
    <row r="230" ht="15" customHeight="1">
      <c r="A230" t="inlineStr">
        <is>
          <t>A 22691-2024</t>
        </is>
      </c>
      <c r="B230" s="1" t="n">
        <v>45448</v>
      </c>
      <c r="C230" s="1" t="n">
        <v>45976</v>
      </c>
      <c r="D230" t="inlineStr">
        <is>
          <t>NORRBOTTENS LÄN</t>
        </is>
      </c>
      <c r="E230" t="inlineStr">
        <is>
          <t>ARVIDSJAUR</t>
        </is>
      </c>
      <c r="F230" t="inlineStr">
        <is>
          <t>Sveaskog</t>
        </is>
      </c>
      <c r="G230" t="n">
        <v>11.2</v>
      </c>
      <c r="H230" t="n">
        <v>0</v>
      </c>
      <c r="I230" t="n">
        <v>0</v>
      </c>
      <c r="J230" t="n">
        <v>0</v>
      </c>
      <c r="K230" t="n">
        <v>0</v>
      </c>
      <c r="L230" t="n">
        <v>0</v>
      </c>
      <c r="M230" t="n">
        <v>0</v>
      </c>
      <c r="N230" t="n">
        <v>0</v>
      </c>
      <c r="O230" t="n">
        <v>0</v>
      </c>
      <c r="P230" t="n">
        <v>0</v>
      </c>
      <c r="Q230" t="n">
        <v>0</v>
      </c>
      <c r="R230" s="2" t="inlineStr"/>
    </row>
    <row r="231" ht="15" customHeight="1">
      <c r="A231" t="inlineStr">
        <is>
          <t>A 26687-2024</t>
        </is>
      </c>
      <c r="B231" s="1" t="n">
        <v>45470.35686342593</v>
      </c>
      <c r="C231" s="1" t="n">
        <v>45976</v>
      </c>
      <c r="D231" t="inlineStr">
        <is>
          <t>NORRBOTTENS LÄN</t>
        </is>
      </c>
      <c r="E231" t="inlineStr">
        <is>
          <t>ARVIDSJAUR</t>
        </is>
      </c>
      <c r="F231" t="inlineStr">
        <is>
          <t>Sveaskog</t>
        </is>
      </c>
      <c r="G231" t="n">
        <v>7.7</v>
      </c>
      <c r="H231" t="n">
        <v>0</v>
      </c>
      <c r="I231" t="n">
        <v>0</v>
      </c>
      <c r="J231" t="n">
        <v>0</v>
      </c>
      <c r="K231" t="n">
        <v>0</v>
      </c>
      <c r="L231" t="n">
        <v>0</v>
      </c>
      <c r="M231" t="n">
        <v>0</v>
      </c>
      <c r="N231" t="n">
        <v>0</v>
      </c>
      <c r="O231" t="n">
        <v>0</v>
      </c>
      <c r="P231" t="n">
        <v>0</v>
      </c>
      <c r="Q231" t="n">
        <v>0</v>
      </c>
      <c r="R231" s="2" t="inlineStr"/>
    </row>
    <row r="232" ht="15" customHeight="1">
      <c r="A232" t="inlineStr">
        <is>
          <t>A 41201-2025</t>
        </is>
      </c>
      <c r="B232" s="1" t="n">
        <v>45898</v>
      </c>
      <c r="C232" s="1" t="n">
        <v>45976</v>
      </c>
      <c r="D232" t="inlineStr">
        <is>
          <t>NORRBOTTENS LÄN</t>
        </is>
      </c>
      <c r="E232" t="inlineStr">
        <is>
          <t>ARVIDSJAUR</t>
        </is>
      </c>
      <c r="G232" t="n">
        <v>9.4</v>
      </c>
      <c r="H232" t="n">
        <v>0</v>
      </c>
      <c r="I232" t="n">
        <v>0</v>
      </c>
      <c r="J232" t="n">
        <v>0</v>
      </c>
      <c r="K232" t="n">
        <v>0</v>
      </c>
      <c r="L232" t="n">
        <v>0</v>
      </c>
      <c r="M232" t="n">
        <v>0</v>
      </c>
      <c r="N232" t="n">
        <v>0</v>
      </c>
      <c r="O232" t="n">
        <v>0</v>
      </c>
      <c r="P232" t="n">
        <v>0</v>
      </c>
      <c r="Q232" t="n">
        <v>0</v>
      </c>
      <c r="R232" s="2" t="inlineStr"/>
    </row>
    <row r="233" ht="15" customHeight="1">
      <c r="A233" t="inlineStr">
        <is>
          <t>A 49141-2022</t>
        </is>
      </c>
      <c r="B233" s="1" t="n">
        <v>44860</v>
      </c>
      <c r="C233" s="1" t="n">
        <v>45976</v>
      </c>
      <c r="D233" t="inlineStr">
        <is>
          <t>NORRBOTTENS LÄN</t>
        </is>
      </c>
      <c r="E233" t="inlineStr">
        <is>
          <t>ARVIDSJAUR</t>
        </is>
      </c>
      <c r="G233" t="n">
        <v>4</v>
      </c>
      <c r="H233" t="n">
        <v>0</v>
      </c>
      <c r="I233" t="n">
        <v>0</v>
      </c>
      <c r="J233" t="n">
        <v>0</v>
      </c>
      <c r="K233" t="n">
        <v>0</v>
      </c>
      <c r="L233" t="n">
        <v>0</v>
      </c>
      <c r="M233" t="n">
        <v>0</v>
      </c>
      <c r="N233" t="n">
        <v>0</v>
      </c>
      <c r="O233" t="n">
        <v>0</v>
      </c>
      <c r="P233" t="n">
        <v>0</v>
      </c>
      <c r="Q233" t="n">
        <v>0</v>
      </c>
      <c r="R233" s="2" t="inlineStr"/>
    </row>
    <row r="234" ht="15" customHeight="1">
      <c r="A234" t="inlineStr">
        <is>
          <t>A 10130-2024</t>
        </is>
      </c>
      <c r="B234" s="1" t="n">
        <v>45364</v>
      </c>
      <c r="C234" s="1" t="n">
        <v>45976</v>
      </c>
      <c r="D234" t="inlineStr">
        <is>
          <t>NORRBOTTENS LÄN</t>
        </is>
      </c>
      <c r="E234" t="inlineStr">
        <is>
          <t>ARVIDSJAUR</t>
        </is>
      </c>
      <c r="F234" t="inlineStr">
        <is>
          <t>Sveaskog</t>
        </is>
      </c>
      <c r="G234" t="n">
        <v>22.5</v>
      </c>
      <c r="H234" t="n">
        <v>0</v>
      </c>
      <c r="I234" t="n">
        <v>0</v>
      </c>
      <c r="J234" t="n">
        <v>0</v>
      </c>
      <c r="K234" t="n">
        <v>0</v>
      </c>
      <c r="L234" t="n">
        <v>0</v>
      </c>
      <c r="M234" t="n">
        <v>0</v>
      </c>
      <c r="N234" t="n">
        <v>0</v>
      </c>
      <c r="O234" t="n">
        <v>0</v>
      </c>
      <c r="P234" t="n">
        <v>0</v>
      </c>
      <c r="Q234" t="n">
        <v>0</v>
      </c>
      <c r="R234" s="2" t="inlineStr"/>
    </row>
    <row r="235" ht="15" customHeight="1">
      <c r="A235" t="inlineStr">
        <is>
          <t>A 48321-2025</t>
        </is>
      </c>
      <c r="B235" s="1" t="n">
        <v>45933</v>
      </c>
      <c r="C235" s="1" t="n">
        <v>45976</v>
      </c>
      <c r="D235" t="inlineStr">
        <is>
          <t>NORRBOTTENS LÄN</t>
        </is>
      </c>
      <c r="E235" t="inlineStr">
        <is>
          <t>ARVIDSJAUR</t>
        </is>
      </c>
      <c r="G235" t="n">
        <v>3.6</v>
      </c>
      <c r="H235" t="n">
        <v>0</v>
      </c>
      <c r="I235" t="n">
        <v>0</v>
      </c>
      <c r="J235" t="n">
        <v>0</v>
      </c>
      <c r="K235" t="n">
        <v>0</v>
      </c>
      <c r="L235" t="n">
        <v>0</v>
      </c>
      <c r="M235" t="n">
        <v>0</v>
      </c>
      <c r="N235" t="n">
        <v>0</v>
      </c>
      <c r="O235" t="n">
        <v>0</v>
      </c>
      <c r="P235" t="n">
        <v>0</v>
      </c>
      <c r="Q235" t="n">
        <v>0</v>
      </c>
      <c r="R235" s="2" t="inlineStr"/>
    </row>
    <row r="236" ht="15" customHeight="1">
      <c r="A236" t="inlineStr">
        <is>
          <t>A 36452-2024</t>
        </is>
      </c>
      <c r="B236" s="1" t="n">
        <v>45537</v>
      </c>
      <c r="C236" s="1" t="n">
        <v>45976</v>
      </c>
      <c r="D236" t="inlineStr">
        <is>
          <t>NORRBOTTENS LÄN</t>
        </is>
      </c>
      <c r="E236" t="inlineStr">
        <is>
          <t>ARVIDSJAUR</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3265-2024</t>
        </is>
      </c>
      <c r="B237" s="1" t="n">
        <v>45316</v>
      </c>
      <c r="C237" s="1" t="n">
        <v>45976</v>
      </c>
      <c r="D237" t="inlineStr">
        <is>
          <t>NORRBOTTENS LÄN</t>
        </is>
      </c>
      <c r="E237" t="inlineStr">
        <is>
          <t>ARVIDSJAUR</t>
        </is>
      </c>
      <c r="F237" t="inlineStr">
        <is>
          <t>Allmännings- och besparingsskogar</t>
        </is>
      </c>
      <c r="G237" t="n">
        <v>0.5</v>
      </c>
      <c r="H237" t="n">
        <v>0</v>
      </c>
      <c r="I237" t="n">
        <v>0</v>
      </c>
      <c r="J237" t="n">
        <v>0</v>
      </c>
      <c r="K237" t="n">
        <v>0</v>
      </c>
      <c r="L237" t="n">
        <v>0</v>
      </c>
      <c r="M237" t="n">
        <v>0</v>
      </c>
      <c r="N237" t="n">
        <v>0</v>
      </c>
      <c r="O237" t="n">
        <v>0</v>
      </c>
      <c r="P237" t="n">
        <v>0</v>
      </c>
      <c r="Q237" t="n">
        <v>0</v>
      </c>
      <c r="R237" s="2" t="inlineStr"/>
    </row>
    <row r="238" ht="15" customHeight="1">
      <c r="A238" t="inlineStr">
        <is>
          <t>A 51631-2023</t>
        </is>
      </c>
      <c r="B238" s="1" t="n">
        <v>45222.53628472222</v>
      </c>
      <c r="C238" s="1" t="n">
        <v>45976</v>
      </c>
      <c r="D238" t="inlineStr">
        <is>
          <t>NORRBOTTENS LÄN</t>
        </is>
      </c>
      <c r="E238" t="inlineStr">
        <is>
          <t>ARVIDSJAUR</t>
        </is>
      </c>
      <c r="F238" t="inlineStr">
        <is>
          <t>Sveaskog</t>
        </is>
      </c>
      <c r="G238" t="n">
        <v>0.3</v>
      </c>
      <c r="H238" t="n">
        <v>0</v>
      </c>
      <c r="I238" t="n">
        <v>0</v>
      </c>
      <c r="J238" t="n">
        <v>0</v>
      </c>
      <c r="K238" t="n">
        <v>0</v>
      </c>
      <c r="L238" t="n">
        <v>0</v>
      </c>
      <c r="M238" t="n">
        <v>0</v>
      </c>
      <c r="N238" t="n">
        <v>0</v>
      </c>
      <c r="O238" t="n">
        <v>0</v>
      </c>
      <c r="P238" t="n">
        <v>0</v>
      </c>
      <c r="Q238" t="n">
        <v>0</v>
      </c>
      <c r="R238" s="2" t="inlineStr"/>
    </row>
    <row r="239" ht="15" customHeight="1">
      <c r="A239" t="inlineStr">
        <is>
          <t>A 39591-2023</t>
        </is>
      </c>
      <c r="B239" s="1" t="n">
        <v>45167</v>
      </c>
      <c r="C239" s="1" t="n">
        <v>45976</v>
      </c>
      <c r="D239" t="inlineStr">
        <is>
          <t>NORRBOTTENS LÄN</t>
        </is>
      </c>
      <c r="E239" t="inlineStr">
        <is>
          <t>ARVIDSJAUR</t>
        </is>
      </c>
      <c r="F239" t="inlineStr">
        <is>
          <t>Sveaskog</t>
        </is>
      </c>
      <c r="G239" t="n">
        <v>3.6</v>
      </c>
      <c r="H239" t="n">
        <v>0</v>
      </c>
      <c r="I239" t="n">
        <v>0</v>
      </c>
      <c r="J239" t="n">
        <v>0</v>
      </c>
      <c r="K239" t="n">
        <v>0</v>
      </c>
      <c r="L239" t="n">
        <v>0</v>
      </c>
      <c r="M239" t="n">
        <v>0</v>
      </c>
      <c r="N239" t="n">
        <v>0</v>
      </c>
      <c r="O239" t="n">
        <v>0</v>
      </c>
      <c r="P239" t="n">
        <v>0</v>
      </c>
      <c r="Q239" t="n">
        <v>0</v>
      </c>
      <c r="R239" s="2" t="inlineStr"/>
    </row>
    <row r="240" ht="15" customHeight="1">
      <c r="A240" t="inlineStr">
        <is>
          <t>A 50813-2025</t>
        </is>
      </c>
      <c r="B240" s="1" t="n">
        <v>45946.52356481482</v>
      </c>
      <c r="C240" s="1" t="n">
        <v>45976</v>
      </c>
      <c r="D240" t="inlineStr">
        <is>
          <t>NORRBOTTENS LÄN</t>
        </is>
      </c>
      <c r="E240" t="inlineStr">
        <is>
          <t>ARVIDSJAUR</t>
        </is>
      </c>
      <c r="F240" t="inlineStr">
        <is>
          <t>Sveaskog</t>
        </is>
      </c>
      <c r="G240" t="n">
        <v>6.2</v>
      </c>
      <c r="H240" t="n">
        <v>0</v>
      </c>
      <c r="I240" t="n">
        <v>0</v>
      </c>
      <c r="J240" t="n">
        <v>0</v>
      </c>
      <c r="K240" t="n">
        <v>0</v>
      </c>
      <c r="L240" t="n">
        <v>0</v>
      </c>
      <c r="M240" t="n">
        <v>0</v>
      </c>
      <c r="N240" t="n">
        <v>0</v>
      </c>
      <c r="O240" t="n">
        <v>0</v>
      </c>
      <c r="P240" t="n">
        <v>0</v>
      </c>
      <c r="Q240" t="n">
        <v>0</v>
      </c>
      <c r="R240" s="2" t="inlineStr"/>
    </row>
    <row r="241" ht="15" customHeight="1">
      <c r="A241" t="inlineStr">
        <is>
          <t>A 50835-2025</t>
        </is>
      </c>
      <c r="B241" s="1" t="n">
        <v>45946.55768518519</v>
      </c>
      <c r="C241" s="1" t="n">
        <v>45976</v>
      </c>
      <c r="D241" t="inlineStr">
        <is>
          <t>NORRBOTTENS LÄN</t>
        </is>
      </c>
      <c r="E241" t="inlineStr">
        <is>
          <t>ARVIDSJAUR</t>
        </is>
      </c>
      <c r="F241" t="inlineStr">
        <is>
          <t>Sveaskog</t>
        </is>
      </c>
      <c r="G241" t="n">
        <v>13.4</v>
      </c>
      <c r="H241" t="n">
        <v>0</v>
      </c>
      <c r="I241" t="n">
        <v>0</v>
      </c>
      <c r="J241" t="n">
        <v>0</v>
      </c>
      <c r="K241" t="n">
        <v>0</v>
      </c>
      <c r="L241" t="n">
        <v>0</v>
      </c>
      <c r="M241" t="n">
        <v>0</v>
      </c>
      <c r="N241" t="n">
        <v>0</v>
      </c>
      <c r="O241" t="n">
        <v>0</v>
      </c>
      <c r="P241" t="n">
        <v>0</v>
      </c>
      <c r="Q241" t="n">
        <v>0</v>
      </c>
      <c r="R241" s="2" t="inlineStr"/>
    </row>
    <row r="242" ht="15" customHeight="1">
      <c r="A242" t="inlineStr">
        <is>
          <t>A 50350-2025</t>
        </is>
      </c>
      <c r="B242" s="1" t="n">
        <v>45944.55045138889</v>
      </c>
      <c r="C242" s="1" t="n">
        <v>45976</v>
      </c>
      <c r="D242" t="inlineStr">
        <is>
          <t>NORRBOTTENS LÄN</t>
        </is>
      </c>
      <c r="E242" t="inlineStr">
        <is>
          <t>ARVIDSJAUR</t>
        </is>
      </c>
      <c r="F242" t="inlineStr">
        <is>
          <t>Sveaskog</t>
        </is>
      </c>
      <c r="G242" t="n">
        <v>13.1</v>
      </c>
      <c r="H242" t="n">
        <v>0</v>
      </c>
      <c r="I242" t="n">
        <v>0</v>
      </c>
      <c r="J242" t="n">
        <v>0</v>
      </c>
      <c r="K242" t="n">
        <v>0</v>
      </c>
      <c r="L242" t="n">
        <v>0</v>
      </c>
      <c r="M242" t="n">
        <v>0</v>
      </c>
      <c r="N242" t="n">
        <v>0</v>
      </c>
      <c r="O242" t="n">
        <v>0</v>
      </c>
      <c r="P242" t="n">
        <v>0</v>
      </c>
      <c r="Q242" t="n">
        <v>0</v>
      </c>
      <c r="R242" s="2" t="inlineStr"/>
    </row>
    <row r="243" ht="15" customHeight="1">
      <c r="A243" t="inlineStr">
        <is>
          <t>A 2286-2024</t>
        </is>
      </c>
      <c r="B243" s="1" t="n">
        <v>45310</v>
      </c>
      <c r="C243" s="1" t="n">
        <v>45976</v>
      </c>
      <c r="D243" t="inlineStr">
        <is>
          <t>NORRBOTTENS LÄN</t>
        </is>
      </c>
      <c r="E243" t="inlineStr">
        <is>
          <t>ARVIDSJAUR</t>
        </is>
      </c>
      <c r="G243" t="n">
        <v>1</v>
      </c>
      <c r="H243" t="n">
        <v>0</v>
      </c>
      <c r="I243" t="n">
        <v>0</v>
      </c>
      <c r="J243" t="n">
        <v>0</v>
      </c>
      <c r="K243" t="n">
        <v>0</v>
      </c>
      <c r="L243" t="n">
        <v>0</v>
      </c>
      <c r="M243" t="n">
        <v>0</v>
      </c>
      <c r="N243" t="n">
        <v>0</v>
      </c>
      <c r="O243" t="n">
        <v>0</v>
      </c>
      <c r="P243" t="n">
        <v>0</v>
      </c>
      <c r="Q243" t="n">
        <v>0</v>
      </c>
      <c r="R243" s="2" t="inlineStr"/>
    </row>
    <row r="244" ht="15" customHeight="1">
      <c r="A244" t="inlineStr">
        <is>
          <t>A 9621-2024</t>
        </is>
      </c>
      <c r="B244" s="1" t="n">
        <v>45361</v>
      </c>
      <c r="C244" s="1" t="n">
        <v>45976</v>
      </c>
      <c r="D244" t="inlineStr">
        <is>
          <t>NORRBOTTENS LÄN</t>
        </is>
      </c>
      <c r="E244" t="inlineStr">
        <is>
          <t>ARVIDSJAUR</t>
        </is>
      </c>
      <c r="G244" t="n">
        <v>0.4</v>
      </c>
      <c r="H244" t="n">
        <v>0</v>
      </c>
      <c r="I244" t="n">
        <v>0</v>
      </c>
      <c r="J244" t="n">
        <v>0</v>
      </c>
      <c r="K244" t="n">
        <v>0</v>
      </c>
      <c r="L244" t="n">
        <v>0</v>
      </c>
      <c r="M244" t="n">
        <v>0</v>
      </c>
      <c r="N244" t="n">
        <v>0</v>
      </c>
      <c r="O244" t="n">
        <v>0</v>
      </c>
      <c r="P244" t="n">
        <v>0</v>
      </c>
      <c r="Q244" t="n">
        <v>0</v>
      </c>
      <c r="R244" s="2" t="inlineStr"/>
    </row>
    <row r="245" ht="15" customHeight="1">
      <c r="A245" t="inlineStr">
        <is>
          <t>A 50341-2025</t>
        </is>
      </c>
      <c r="B245" s="1" t="n">
        <v>45944.53100694445</v>
      </c>
      <c r="C245" s="1" t="n">
        <v>45976</v>
      </c>
      <c r="D245" t="inlineStr">
        <is>
          <t>NORRBOTTENS LÄN</t>
        </is>
      </c>
      <c r="E245" t="inlineStr">
        <is>
          <t>ARVIDSJAUR</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29677-2024</t>
        </is>
      </c>
      <c r="B246" s="1" t="n">
        <v>45484</v>
      </c>
      <c r="C246" s="1" t="n">
        <v>45976</v>
      </c>
      <c r="D246" t="inlineStr">
        <is>
          <t>NORRBOTTENS LÄN</t>
        </is>
      </c>
      <c r="E246" t="inlineStr">
        <is>
          <t>ARVIDSJAUR</t>
        </is>
      </c>
      <c r="F246" t="inlineStr">
        <is>
          <t>SCA</t>
        </is>
      </c>
      <c r="G246" t="n">
        <v>3.5</v>
      </c>
      <c r="H246" t="n">
        <v>0</v>
      </c>
      <c r="I246" t="n">
        <v>0</v>
      </c>
      <c r="J246" t="n">
        <v>0</v>
      </c>
      <c r="K246" t="n">
        <v>0</v>
      </c>
      <c r="L246" t="n">
        <v>0</v>
      </c>
      <c r="M246" t="n">
        <v>0</v>
      </c>
      <c r="N246" t="n">
        <v>0</v>
      </c>
      <c r="O246" t="n">
        <v>0</v>
      </c>
      <c r="P246" t="n">
        <v>0</v>
      </c>
      <c r="Q246" t="n">
        <v>0</v>
      </c>
      <c r="R246" s="2" t="inlineStr"/>
    </row>
    <row r="247" ht="15" customHeight="1">
      <c r="A247" t="inlineStr">
        <is>
          <t>A 61202-2022</t>
        </is>
      </c>
      <c r="B247" s="1" t="n">
        <v>44915</v>
      </c>
      <c r="C247" s="1" t="n">
        <v>45976</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50838-2025</t>
        </is>
      </c>
      <c r="B248" s="1" t="n">
        <v>45946.56050925926</v>
      </c>
      <c r="C248" s="1" t="n">
        <v>45976</v>
      </c>
      <c r="D248" t="inlineStr">
        <is>
          <t>NORRBOTTENS LÄN</t>
        </is>
      </c>
      <c r="E248" t="inlineStr">
        <is>
          <t>ARVIDSJAUR</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11571-2025</t>
        </is>
      </c>
      <c r="B249" s="1" t="n">
        <v>45726</v>
      </c>
      <c r="C249" s="1" t="n">
        <v>45976</v>
      </c>
      <c r="D249" t="inlineStr">
        <is>
          <t>NORRBOTTENS LÄN</t>
        </is>
      </c>
      <c r="E249" t="inlineStr">
        <is>
          <t>ARVIDSJAUR</t>
        </is>
      </c>
      <c r="F249" t="inlineStr">
        <is>
          <t>Allmännings- och besparingsskogar</t>
        </is>
      </c>
      <c r="G249" t="n">
        <v>1.3</v>
      </c>
      <c r="H249" t="n">
        <v>0</v>
      </c>
      <c r="I249" t="n">
        <v>0</v>
      </c>
      <c r="J249" t="n">
        <v>0</v>
      </c>
      <c r="K249" t="n">
        <v>0</v>
      </c>
      <c r="L249" t="n">
        <v>0</v>
      </c>
      <c r="M249" t="n">
        <v>0</v>
      </c>
      <c r="N249" t="n">
        <v>0</v>
      </c>
      <c r="O249" t="n">
        <v>0</v>
      </c>
      <c r="P249" t="n">
        <v>0</v>
      </c>
      <c r="Q249" t="n">
        <v>0</v>
      </c>
      <c r="R249" s="2" t="inlineStr"/>
    </row>
    <row r="250" ht="15" customHeight="1">
      <c r="A250" t="inlineStr">
        <is>
          <t>A 50348-2025</t>
        </is>
      </c>
      <c r="B250" s="1" t="n">
        <v>45944.54674768518</v>
      </c>
      <c r="C250" s="1" t="n">
        <v>45976</v>
      </c>
      <c r="D250" t="inlineStr">
        <is>
          <t>NORRBOTTENS LÄN</t>
        </is>
      </c>
      <c r="E250" t="inlineStr">
        <is>
          <t>ARVIDSJAUR</t>
        </is>
      </c>
      <c r="F250" t="inlineStr">
        <is>
          <t>Sveaskog</t>
        </is>
      </c>
      <c r="G250" t="n">
        <v>10.8</v>
      </c>
      <c r="H250" t="n">
        <v>0</v>
      </c>
      <c r="I250" t="n">
        <v>0</v>
      </c>
      <c r="J250" t="n">
        <v>0</v>
      </c>
      <c r="K250" t="n">
        <v>0</v>
      </c>
      <c r="L250" t="n">
        <v>0</v>
      </c>
      <c r="M250" t="n">
        <v>0</v>
      </c>
      <c r="N250" t="n">
        <v>0</v>
      </c>
      <c r="O250" t="n">
        <v>0</v>
      </c>
      <c r="P250" t="n">
        <v>0</v>
      </c>
      <c r="Q250" t="n">
        <v>0</v>
      </c>
      <c r="R250" s="2" t="inlineStr"/>
    </row>
    <row r="251" ht="15" customHeight="1">
      <c r="A251" t="inlineStr">
        <is>
          <t>A 48464-2024</t>
        </is>
      </c>
      <c r="B251" s="1" t="n">
        <v>45590</v>
      </c>
      <c r="C251" s="1" t="n">
        <v>45976</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36791-2024</t>
        </is>
      </c>
      <c r="B252" s="1" t="n">
        <v>45538</v>
      </c>
      <c r="C252" s="1" t="n">
        <v>45976</v>
      </c>
      <c r="D252" t="inlineStr">
        <is>
          <t>NORRBOTTENS LÄN</t>
        </is>
      </c>
      <c r="E252" t="inlineStr">
        <is>
          <t>ARVIDSJAUR</t>
        </is>
      </c>
      <c r="G252" t="n">
        <v>1.5</v>
      </c>
      <c r="H252" t="n">
        <v>0</v>
      </c>
      <c r="I252" t="n">
        <v>0</v>
      </c>
      <c r="J252" t="n">
        <v>0</v>
      </c>
      <c r="K252" t="n">
        <v>0</v>
      </c>
      <c r="L252" t="n">
        <v>0</v>
      </c>
      <c r="M252" t="n">
        <v>0</v>
      </c>
      <c r="N252" t="n">
        <v>0</v>
      </c>
      <c r="O252" t="n">
        <v>0</v>
      </c>
      <c r="P252" t="n">
        <v>0</v>
      </c>
      <c r="Q252" t="n">
        <v>0</v>
      </c>
      <c r="R252" s="2" t="inlineStr"/>
    </row>
    <row r="253" ht="15" customHeight="1">
      <c r="A253" t="inlineStr">
        <is>
          <t>A 7084-2025</t>
        </is>
      </c>
      <c r="B253" s="1" t="n">
        <v>45701</v>
      </c>
      <c r="C253" s="1" t="n">
        <v>45976</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46443-2024</t>
        </is>
      </c>
      <c r="B254" s="1" t="n">
        <v>45582</v>
      </c>
      <c r="C254" s="1" t="n">
        <v>45976</v>
      </c>
      <c r="D254" t="inlineStr">
        <is>
          <t>NORRBOTTENS LÄN</t>
        </is>
      </c>
      <c r="E254" t="inlineStr">
        <is>
          <t>ARVIDSJAUR</t>
        </is>
      </c>
      <c r="G254" t="n">
        <v>4.3</v>
      </c>
      <c r="H254" t="n">
        <v>0</v>
      </c>
      <c r="I254" t="n">
        <v>0</v>
      </c>
      <c r="J254" t="n">
        <v>0</v>
      </c>
      <c r="K254" t="n">
        <v>0</v>
      </c>
      <c r="L254" t="n">
        <v>0</v>
      </c>
      <c r="M254" t="n">
        <v>0</v>
      </c>
      <c r="N254" t="n">
        <v>0</v>
      </c>
      <c r="O254" t="n">
        <v>0</v>
      </c>
      <c r="P254" t="n">
        <v>0</v>
      </c>
      <c r="Q254" t="n">
        <v>0</v>
      </c>
      <c r="R254" s="2" t="inlineStr"/>
    </row>
    <row r="255" ht="15" customHeight="1">
      <c r="A255" t="inlineStr">
        <is>
          <t>A 52837-2024</t>
        </is>
      </c>
      <c r="B255" s="1" t="n">
        <v>45610</v>
      </c>
      <c r="C255" s="1" t="n">
        <v>45976</v>
      </c>
      <c r="D255" t="inlineStr">
        <is>
          <t>NORRBOTTENS LÄN</t>
        </is>
      </c>
      <c r="E255" t="inlineStr">
        <is>
          <t>ARVIDSJAUR</t>
        </is>
      </c>
      <c r="G255" t="n">
        <v>6.5</v>
      </c>
      <c r="H255" t="n">
        <v>0</v>
      </c>
      <c r="I255" t="n">
        <v>0</v>
      </c>
      <c r="J255" t="n">
        <v>0</v>
      </c>
      <c r="K255" t="n">
        <v>0</v>
      </c>
      <c r="L255" t="n">
        <v>0</v>
      </c>
      <c r="M255" t="n">
        <v>0</v>
      </c>
      <c r="N255" t="n">
        <v>0</v>
      </c>
      <c r="O255" t="n">
        <v>0</v>
      </c>
      <c r="P255" t="n">
        <v>0</v>
      </c>
      <c r="Q255" t="n">
        <v>0</v>
      </c>
      <c r="R255" s="2" t="inlineStr"/>
    </row>
    <row r="256" ht="15" customHeight="1">
      <c r="A256" t="inlineStr">
        <is>
          <t>A 50323-2024</t>
        </is>
      </c>
      <c r="B256" s="1" t="n">
        <v>45600.67706018518</v>
      </c>
      <c r="C256" s="1" t="n">
        <v>45976</v>
      </c>
      <c r="D256" t="inlineStr">
        <is>
          <t>NORRBOTTENS LÄN</t>
        </is>
      </c>
      <c r="E256" t="inlineStr">
        <is>
          <t>ARVIDSJAUR</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45769-2021</t>
        </is>
      </c>
      <c r="B257" s="1" t="n">
        <v>44441</v>
      </c>
      <c r="C257" s="1" t="n">
        <v>45976</v>
      </c>
      <c r="D257" t="inlineStr">
        <is>
          <t>NORRBOTTENS LÄN</t>
        </is>
      </c>
      <c r="E257" t="inlineStr">
        <is>
          <t>ARVIDSJAUR</t>
        </is>
      </c>
      <c r="G257" t="n">
        <v>1.4</v>
      </c>
      <c r="H257" t="n">
        <v>0</v>
      </c>
      <c r="I257" t="n">
        <v>0</v>
      </c>
      <c r="J257" t="n">
        <v>0</v>
      </c>
      <c r="K257" t="n">
        <v>0</v>
      </c>
      <c r="L257" t="n">
        <v>0</v>
      </c>
      <c r="M257" t="n">
        <v>0</v>
      </c>
      <c r="N257" t="n">
        <v>0</v>
      </c>
      <c r="O257" t="n">
        <v>0</v>
      </c>
      <c r="P257" t="n">
        <v>0</v>
      </c>
      <c r="Q257" t="n">
        <v>0</v>
      </c>
      <c r="R257" s="2" t="inlineStr"/>
    </row>
    <row r="258" ht="15" customHeight="1">
      <c r="A258" t="inlineStr">
        <is>
          <t>A 43198-2025</t>
        </is>
      </c>
      <c r="B258" s="1" t="n">
        <v>45910.43453703704</v>
      </c>
      <c r="C258" s="1" t="n">
        <v>45976</v>
      </c>
      <c r="D258" t="inlineStr">
        <is>
          <t>NORRBOTTENS LÄN</t>
        </is>
      </c>
      <c r="E258" t="inlineStr">
        <is>
          <t>ARVIDSJAUR</t>
        </is>
      </c>
      <c r="F258" t="inlineStr">
        <is>
          <t>Sveaskog</t>
        </is>
      </c>
      <c r="G258" t="n">
        <v>17.9</v>
      </c>
      <c r="H258" t="n">
        <v>0</v>
      </c>
      <c r="I258" t="n">
        <v>0</v>
      </c>
      <c r="J258" t="n">
        <v>0</v>
      </c>
      <c r="K258" t="n">
        <v>0</v>
      </c>
      <c r="L258" t="n">
        <v>0</v>
      </c>
      <c r="M258" t="n">
        <v>0</v>
      </c>
      <c r="N258" t="n">
        <v>0</v>
      </c>
      <c r="O258" t="n">
        <v>0</v>
      </c>
      <c r="P258" t="n">
        <v>0</v>
      </c>
      <c r="Q258" t="n">
        <v>0</v>
      </c>
      <c r="R258" s="2" t="inlineStr"/>
    </row>
    <row r="259" ht="15" customHeight="1">
      <c r="A259" t="inlineStr">
        <is>
          <t>A 50889-2024</t>
        </is>
      </c>
      <c r="B259" s="1" t="n">
        <v>45602.6681712963</v>
      </c>
      <c r="C259" s="1" t="n">
        <v>45976</v>
      </c>
      <c r="D259" t="inlineStr">
        <is>
          <t>NORRBOTTENS LÄN</t>
        </is>
      </c>
      <c r="E259" t="inlineStr">
        <is>
          <t>ARVIDSJAUR</t>
        </is>
      </c>
      <c r="F259" t="inlineStr">
        <is>
          <t>Sveaskog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11540-2025</t>
        </is>
      </c>
      <c r="B260" s="1" t="n">
        <v>45726</v>
      </c>
      <c r="C260" s="1" t="n">
        <v>45976</v>
      </c>
      <c r="D260" t="inlineStr">
        <is>
          <t>NORRBOTTENS LÄN</t>
        </is>
      </c>
      <c r="E260" t="inlineStr">
        <is>
          <t>ARVIDSJAUR</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45976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43574-2025</t>
        </is>
      </c>
      <c r="B262" s="1" t="n">
        <v>45911.63954861111</v>
      </c>
      <c r="C262" s="1" t="n">
        <v>45976</v>
      </c>
      <c r="D262" t="inlineStr">
        <is>
          <t>NORRBOTTENS LÄN</t>
        </is>
      </c>
      <c r="E262" t="inlineStr">
        <is>
          <t>ARVIDSJAUR</t>
        </is>
      </c>
      <c r="G262" t="n">
        <v>23.2</v>
      </c>
      <c r="H262" t="n">
        <v>0</v>
      </c>
      <c r="I262" t="n">
        <v>0</v>
      </c>
      <c r="J262" t="n">
        <v>0</v>
      </c>
      <c r="K262" t="n">
        <v>0</v>
      </c>
      <c r="L262" t="n">
        <v>0</v>
      </c>
      <c r="M262" t="n">
        <v>0</v>
      </c>
      <c r="N262" t="n">
        <v>0</v>
      </c>
      <c r="O262" t="n">
        <v>0</v>
      </c>
      <c r="P262" t="n">
        <v>0</v>
      </c>
      <c r="Q262" t="n">
        <v>0</v>
      </c>
      <c r="R262" s="2" t="inlineStr"/>
    </row>
    <row r="263" ht="15" customHeight="1">
      <c r="A263" t="inlineStr">
        <is>
          <t>A 43165-2025</t>
        </is>
      </c>
      <c r="B263" s="1" t="n">
        <v>45910.37789351852</v>
      </c>
      <c r="C263" s="1" t="n">
        <v>45976</v>
      </c>
      <c r="D263" t="inlineStr">
        <is>
          <t>NORRBOTTENS LÄN</t>
        </is>
      </c>
      <c r="E263" t="inlineStr">
        <is>
          <t>ARVIDSJAUR</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43184-2025</t>
        </is>
      </c>
      <c r="B264" s="1" t="n">
        <v>45910.41050925926</v>
      </c>
      <c r="C264" s="1" t="n">
        <v>45976</v>
      </c>
      <c r="D264" t="inlineStr">
        <is>
          <t>NORRBOTTENS LÄN</t>
        </is>
      </c>
      <c r="E264" t="inlineStr">
        <is>
          <t>ARVIDSJAUR</t>
        </is>
      </c>
      <c r="F264" t="inlineStr">
        <is>
          <t>Sveaskog</t>
        </is>
      </c>
      <c r="G264" t="n">
        <v>18.8</v>
      </c>
      <c r="H264" t="n">
        <v>0</v>
      </c>
      <c r="I264" t="n">
        <v>0</v>
      </c>
      <c r="J264" t="n">
        <v>0</v>
      </c>
      <c r="K264" t="n">
        <v>0</v>
      </c>
      <c r="L264" t="n">
        <v>0</v>
      </c>
      <c r="M264" t="n">
        <v>0</v>
      </c>
      <c r="N264" t="n">
        <v>0</v>
      </c>
      <c r="O264" t="n">
        <v>0</v>
      </c>
      <c r="P264" t="n">
        <v>0</v>
      </c>
      <c r="Q264" t="n">
        <v>0</v>
      </c>
      <c r="R264" s="2" t="inlineStr"/>
    </row>
    <row r="265" ht="15" customHeight="1">
      <c r="A265" t="inlineStr">
        <is>
          <t>A 36090-2023</t>
        </is>
      </c>
      <c r="B265" s="1" t="n">
        <v>45149</v>
      </c>
      <c r="C265" s="1" t="n">
        <v>45976</v>
      </c>
      <c r="D265" t="inlineStr">
        <is>
          <t>NORRBOTTENS LÄN</t>
        </is>
      </c>
      <c r="E265" t="inlineStr">
        <is>
          <t>ARVIDSJAUR</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26841-2024</t>
        </is>
      </c>
      <c r="B266" s="1" t="n">
        <v>45470.57751157408</v>
      </c>
      <c r="C266" s="1" t="n">
        <v>45976</v>
      </c>
      <c r="D266" t="inlineStr">
        <is>
          <t>NORRBOTTENS LÄN</t>
        </is>
      </c>
      <c r="E266" t="inlineStr">
        <is>
          <t>ARVIDSJAUR</t>
        </is>
      </c>
      <c r="G266" t="n">
        <v>1.5</v>
      </c>
      <c r="H266" t="n">
        <v>0</v>
      </c>
      <c r="I266" t="n">
        <v>0</v>
      </c>
      <c r="J266" t="n">
        <v>0</v>
      </c>
      <c r="K266" t="n">
        <v>0</v>
      </c>
      <c r="L266" t="n">
        <v>0</v>
      </c>
      <c r="M266" t="n">
        <v>0</v>
      </c>
      <c r="N266" t="n">
        <v>0</v>
      </c>
      <c r="O266" t="n">
        <v>0</v>
      </c>
      <c r="P266" t="n">
        <v>0</v>
      </c>
      <c r="Q266" t="n">
        <v>0</v>
      </c>
      <c r="R266" s="2" t="inlineStr"/>
    </row>
    <row r="267" ht="15" customHeight="1">
      <c r="A267" t="inlineStr">
        <is>
          <t>A 26835-2024</t>
        </is>
      </c>
      <c r="B267" s="1" t="n">
        <v>45470.57364583333</v>
      </c>
      <c r="C267" s="1" t="n">
        <v>45976</v>
      </c>
      <c r="D267" t="inlineStr">
        <is>
          <t>NORRBOTTENS LÄN</t>
        </is>
      </c>
      <c r="E267" t="inlineStr">
        <is>
          <t>ARVIDSJAUR</t>
        </is>
      </c>
      <c r="G267" t="n">
        <v>1.5</v>
      </c>
      <c r="H267" t="n">
        <v>0</v>
      </c>
      <c r="I267" t="n">
        <v>0</v>
      </c>
      <c r="J267" t="n">
        <v>0</v>
      </c>
      <c r="K267" t="n">
        <v>0</v>
      </c>
      <c r="L267" t="n">
        <v>0</v>
      </c>
      <c r="M267" t="n">
        <v>0</v>
      </c>
      <c r="N267" t="n">
        <v>0</v>
      </c>
      <c r="O267" t="n">
        <v>0</v>
      </c>
      <c r="P267" t="n">
        <v>0</v>
      </c>
      <c r="Q267" t="n">
        <v>0</v>
      </c>
      <c r="R267" s="2" t="inlineStr"/>
    </row>
    <row r="268" ht="15" customHeight="1">
      <c r="A268" t="inlineStr">
        <is>
          <t>A 2908-2024</t>
        </is>
      </c>
      <c r="B268" s="1" t="n">
        <v>45315</v>
      </c>
      <c r="C268" s="1" t="n">
        <v>45976</v>
      </c>
      <c r="D268" t="inlineStr">
        <is>
          <t>NORRBOTTENS LÄN</t>
        </is>
      </c>
      <c r="E268" t="inlineStr">
        <is>
          <t>ARVIDSJAUR</t>
        </is>
      </c>
      <c r="F268" t="inlineStr">
        <is>
          <t>Allmännings- och besparingsskogar</t>
        </is>
      </c>
      <c r="G268" t="n">
        <v>6.1</v>
      </c>
      <c r="H268" t="n">
        <v>0</v>
      </c>
      <c r="I268" t="n">
        <v>0</v>
      </c>
      <c r="J268" t="n">
        <v>0</v>
      </c>
      <c r="K268" t="n">
        <v>0</v>
      </c>
      <c r="L268" t="n">
        <v>0</v>
      </c>
      <c r="M268" t="n">
        <v>0</v>
      </c>
      <c r="N268" t="n">
        <v>0</v>
      </c>
      <c r="O268" t="n">
        <v>0</v>
      </c>
      <c r="P268" t="n">
        <v>0</v>
      </c>
      <c r="Q268" t="n">
        <v>0</v>
      </c>
      <c r="R268" s="2" t="inlineStr"/>
    </row>
    <row r="269" ht="15" customHeight="1">
      <c r="A269" t="inlineStr">
        <is>
          <t>A 33134-2023</t>
        </is>
      </c>
      <c r="B269" s="1" t="n">
        <v>45114</v>
      </c>
      <c r="C269" s="1" t="n">
        <v>45976</v>
      </c>
      <c r="D269" t="inlineStr">
        <is>
          <t>NORRBOTTENS LÄN</t>
        </is>
      </c>
      <c r="E269" t="inlineStr">
        <is>
          <t>ARVIDSJAUR</t>
        </is>
      </c>
      <c r="G269" t="n">
        <v>16.3</v>
      </c>
      <c r="H269" t="n">
        <v>0</v>
      </c>
      <c r="I269" t="n">
        <v>0</v>
      </c>
      <c r="J269" t="n">
        <v>0</v>
      </c>
      <c r="K269" t="n">
        <v>0</v>
      </c>
      <c r="L269" t="n">
        <v>0</v>
      </c>
      <c r="M269" t="n">
        <v>0</v>
      </c>
      <c r="N269" t="n">
        <v>0</v>
      </c>
      <c r="O269" t="n">
        <v>0</v>
      </c>
      <c r="P269" t="n">
        <v>0</v>
      </c>
      <c r="Q269" t="n">
        <v>0</v>
      </c>
      <c r="R269" s="2" t="inlineStr"/>
    </row>
    <row r="270" ht="15" customHeight="1">
      <c r="A270" t="inlineStr">
        <is>
          <t>A 43274-2025</t>
        </is>
      </c>
      <c r="B270" s="1" t="n">
        <v>45910.59111111111</v>
      </c>
      <c r="C270" s="1" t="n">
        <v>45976</v>
      </c>
      <c r="D270" t="inlineStr">
        <is>
          <t>NORRBOTTENS LÄN</t>
        </is>
      </c>
      <c r="E270" t="inlineStr">
        <is>
          <t>ARVIDSJAUR</t>
        </is>
      </c>
      <c r="G270" t="n">
        <v>1.8</v>
      </c>
      <c r="H270" t="n">
        <v>0</v>
      </c>
      <c r="I270" t="n">
        <v>0</v>
      </c>
      <c r="J270" t="n">
        <v>0</v>
      </c>
      <c r="K270" t="n">
        <v>0</v>
      </c>
      <c r="L270" t="n">
        <v>0</v>
      </c>
      <c r="M270" t="n">
        <v>0</v>
      </c>
      <c r="N270" t="n">
        <v>0</v>
      </c>
      <c r="O270" t="n">
        <v>0</v>
      </c>
      <c r="P270" t="n">
        <v>0</v>
      </c>
      <c r="Q270" t="n">
        <v>0</v>
      </c>
      <c r="R270" s="2" t="inlineStr"/>
    </row>
    <row r="271" ht="15" customHeight="1">
      <c r="A271" t="inlineStr">
        <is>
          <t>A 52646-2023</t>
        </is>
      </c>
      <c r="B271" s="1" t="n">
        <v>45225</v>
      </c>
      <c r="C271" s="1" t="n">
        <v>45976</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41235-2022</t>
        </is>
      </c>
      <c r="B272" s="1" t="n">
        <v>44825</v>
      </c>
      <c r="C272" s="1" t="n">
        <v>45976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27778-2023</t>
        </is>
      </c>
      <c r="B273" s="1" t="n">
        <v>45098</v>
      </c>
      <c r="C273" s="1" t="n">
        <v>45976</v>
      </c>
      <c r="D273" t="inlineStr">
        <is>
          <t>NORRBOTTENS LÄN</t>
        </is>
      </c>
      <c r="E273" t="inlineStr">
        <is>
          <t>ARVIDSJAUR</t>
        </is>
      </c>
      <c r="F273" t="inlineStr">
        <is>
          <t>Sveaskog</t>
        </is>
      </c>
      <c r="G273" t="n">
        <v>15.2</v>
      </c>
      <c r="H273" t="n">
        <v>0</v>
      </c>
      <c r="I273" t="n">
        <v>0</v>
      </c>
      <c r="J273" t="n">
        <v>0</v>
      </c>
      <c r="K273" t="n">
        <v>0</v>
      </c>
      <c r="L273" t="n">
        <v>0</v>
      </c>
      <c r="M273" t="n">
        <v>0</v>
      </c>
      <c r="N273" t="n">
        <v>0</v>
      </c>
      <c r="O273" t="n">
        <v>0</v>
      </c>
      <c r="P273" t="n">
        <v>0</v>
      </c>
      <c r="Q273" t="n">
        <v>0</v>
      </c>
      <c r="R273" s="2" t="inlineStr"/>
    </row>
    <row r="274" ht="15" customHeight="1">
      <c r="A274" t="inlineStr">
        <is>
          <t>A 43794-2025</t>
        </is>
      </c>
      <c r="B274" s="1" t="n">
        <v>45912</v>
      </c>
      <c r="C274" s="1" t="n">
        <v>45976</v>
      </c>
      <c r="D274" t="inlineStr">
        <is>
          <t>NORRBOTTENS LÄN</t>
        </is>
      </c>
      <c r="E274" t="inlineStr">
        <is>
          <t>ARVIDSJAUR</t>
        </is>
      </c>
      <c r="G274" t="n">
        <v>6.8</v>
      </c>
      <c r="H274" t="n">
        <v>0</v>
      </c>
      <c r="I274" t="n">
        <v>0</v>
      </c>
      <c r="J274" t="n">
        <v>0</v>
      </c>
      <c r="K274" t="n">
        <v>0</v>
      </c>
      <c r="L274" t="n">
        <v>0</v>
      </c>
      <c r="M274" t="n">
        <v>0</v>
      </c>
      <c r="N274" t="n">
        <v>0</v>
      </c>
      <c r="O274" t="n">
        <v>0</v>
      </c>
      <c r="P274" t="n">
        <v>0</v>
      </c>
      <c r="Q274" t="n">
        <v>0</v>
      </c>
      <c r="R274" s="2" t="inlineStr"/>
    </row>
    <row r="275" ht="15" customHeight="1">
      <c r="A275" t="inlineStr">
        <is>
          <t>A 52438-2025</t>
        </is>
      </c>
      <c r="B275" s="1" t="n">
        <v>45954.40479166667</v>
      </c>
      <c r="C275" s="1" t="n">
        <v>45976</v>
      </c>
      <c r="D275" t="inlineStr">
        <is>
          <t>NORRBOTTENS LÄN</t>
        </is>
      </c>
      <c r="E275" t="inlineStr">
        <is>
          <t>ARVIDSJAUR</t>
        </is>
      </c>
      <c r="F275" t="inlineStr">
        <is>
          <t>Sveaskog</t>
        </is>
      </c>
      <c r="G275" t="n">
        <v>17.8</v>
      </c>
      <c r="H275" t="n">
        <v>0</v>
      </c>
      <c r="I275" t="n">
        <v>0</v>
      </c>
      <c r="J275" t="n">
        <v>0</v>
      </c>
      <c r="K275" t="n">
        <v>0</v>
      </c>
      <c r="L275" t="n">
        <v>0</v>
      </c>
      <c r="M275" t="n">
        <v>0</v>
      </c>
      <c r="N275" t="n">
        <v>0</v>
      </c>
      <c r="O275" t="n">
        <v>0</v>
      </c>
      <c r="P275" t="n">
        <v>0</v>
      </c>
      <c r="Q275" t="n">
        <v>0</v>
      </c>
      <c r="R275" s="2" t="inlineStr"/>
    </row>
    <row r="276" ht="15" customHeight="1">
      <c r="A276" t="inlineStr">
        <is>
          <t>A 51336-2025</t>
        </is>
      </c>
      <c r="B276" s="1" t="n">
        <v>45950</v>
      </c>
      <c r="C276" s="1" t="n">
        <v>45976</v>
      </c>
      <c r="D276" t="inlineStr">
        <is>
          <t>NORRBOTTENS LÄN</t>
        </is>
      </c>
      <c r="E276" t="inlineStr">
        <is>
          <t>ARVIDSJAUR</t>
        </is>
      </c>
      <c r="G276" t="n">
        <v>3.3</v>
      </c>
      <c r="H276" t="n">
        <v>0</v>
      </c>
      <c r="I276" t="n">
        <v>0</v>
      </c>
      <c r="J276" t="n">
        <v>0</v>
      </c>
      <c r="K276" t="n">
        <v>0</v>
      </c>
      <c r="L276" t="n">
        <v>0</v>
      </c>
      <c r="M276" t="n">
        <v>0</v>
      </c>
      <c r="N276" t="n">
        <v>0</v>
      </c>
      <c r="O276" t="n">
        <v>0</v>
      </c>
      <c r="P276" t="n">
        <v>0</v>
      </c>
      <c r="Q276" t="n">
        <v>0</v>
      </c>
      <c r="R276" s="2" t="inlineStr"/>
    </row>
    <row r="277" ht="15" customHeight="1">
      <c r="A277" t="inlineStr">
        <is>
          <t>A 32268-2023</t>
        </is>
      </c>
      <c r="B277" s="1" t="n">
        <v>45120</v>
      </c>
      <c r="C277" s="1" t="n">
        <v>45976</v>
      </c>
      <c r="D277" t="inlineStr">
        <is>
          <t>NORRBOTTENS LÄN</t>
        </is>
      </c>
      <c r="E277" t="inlineStr">
        <is>
          <t>ARVIDSJAUR</t>
        </is>
      </c>
      <c r="F277" t="inlineStr">
        <is>
          <t>Sveaskog</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39109-2024</t>
        </is>
      </c>
      <c r="B278" s="1" t="n">
        <v>45548.57447916667</v>
      </c>
      <c r="C278" s="1" t="n">
        <v>45976</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11623-2025</t>
        </is>
      </c>
      <c r="B279" s="1" t="n">
        <v>45726</v>
      </c>
      <c r="C279" s="1" t="n">
        <v>45976</v>
      </c>
      <c r="D279" t="inlineStr">
        <is>
          <t>NORRBOTTENS LÄN</t>
        </is>
      </c>
      <c r="E279" t="inlineStr">
        <is>
          <t>ARVIDSJAUR</t>
        </is>
      </c>
      <c r="F279" t="inlineStr">
        <is>
          <t>Allmännings- och besparingsskogar</t>
        </is>
      </c>
      <c r="G279" t="n">
        <v>1.3</v>
      </c>
      <c r="H279" t="n">
        <v>0</v>
      </c>
      <c r="I279" t="n">
        <v>0</v>
      </c>
      <c r="J279" t="n">
        <v>0</v>
      </c>
      <c r="K279" t="n">
        <v>0</v>
      </c>
      <c r="L279" t="n">
        <v>0</v>
      </c>
      <c r="M279" t="n">
        <v>0</v>
      </c>
      <c r="N279" t="n">
        <v>0</v>
      </c>
      <c r="O279" t="n">
        <v>0</v>
      </c>
      <c r="P279" t="n">
        <v>0</v>
      </c>
      <c r="Q279" t="n">
        <v>0</v>
      </c>
      <c r="R279" s="2" t="inlineStr"/>
    </row>
    <row r="280" ht="15" customHeight="1">
      <c r="A280" t="inlineStr">
        <is>
          <t>A 11626-2025</t>
        </is>
      </c>
      <c r="B280" s="1" t="n">
        <v>45726</v>
      </c>
      <c r="C280" s="1" t="n">
        <v>45976</v>
      </c>
      <c r="D280" t="inlineStr">
        <is>
          <t>NORRBOTTENS LÄN</t>
        </is>
      </c>
      <c r="E280" t="inlineStr">
        <is>
          <t>ARVIDSJAUR</t>
        </is>
      </c>
      <c r="F280" t="inlineStr">
        <is>
          <t>Allmännings- och besparingsskogar</t>
        </is>
      </c>
      <c r="G280" t="n">
        <v>11.3</v>
      </c>
      <c r="H280" t="n">
        <v>0</v>
      </c>
      <c r="I280" t="n">
        <v>0</v>
      </c>
      <c r="J280" t="n">
        <v>0</v>
      </c>
      <c r="K280" t="n">
        <v>0</v>
      </c>
      <c r="L280" t="n">
        <v>0</v>
      </c>
      <c r="M280" t="n">
        <v>0</v>
      </c>
      <c r="N280" t="n">
        <v>0</v>
      </c>
      <c r="O280" t="n">
        <v>0</v>
      </c>
      <c r="P280" t="n">
        <v>0</v>
      </c>
      <c r="Q280" t="n">
        <v>0</v>
      </c>
      <c r="R280" s="2" t="inlineStr"/>
    </row>
    <row r="281" ht="15" customHeight="1">
      <c r="A281" t="inlineStr">
        <is>
          <t>A 41313-2021</t>
        </is>
      </c>
      <c r="B281" s="1" t="n">
        <v>44424</v>
      </c>
      <c r="C281" s="1" t="n">
        <v>45976</v>
      </c>
      <c r="D281" t="inlineStr">
        <is>
          <t>NORRBOTTENS LÄN</t>
        </is>
      </c>
      <c r="E281" t="inlineStr">
        <is>
          <t>ARVIDSJAUR</t>
        </is>
      </c>
      <c r="G281" t="n">
        <v>2</v>
      </c>
      <c r="H281" t="n">
        <v>0</v>
      </c>
      <c r="I281" t="n">
        <v>0</v>
      </c>
      <c r="J281" t="n">
        <v>0</v>
      </c>
      <c r="K281" t="n">
        <v>0</v>
      </c>
      <c r="L281" t="n">
        <v>0</v>
      </c>
      <c r="M281" t="n">
        <v>0</v>
      </c>
      <c r="N281" t="n">
        <v>0</v>
      </c>
      <c r="O281" t="n">
        <v>0</v>
      </c>
      <c r="P281" t="n">
        <v>0</v>
      </c>
      <c r="Q281" t="n">
        <v>0</v>
      </c>
      <c r="R281" s="2" t="inlineStr"/>
    </row>
    <row r="282" ht="15" customHeight="1">
      <c r="A282" t="inlineStr">
        <is>
          <t>A 20811-2024</t>
        </is>
      </c>
      <c r="B282" s="1" t="n">
        <v>45439</v>
      </c>
      <c r="C282" s="1" t="n">
        <v>45976</v>
      </c>
      <c r="D282" t="inlineStr">
        <is>
          <t>NORRBOTTENS LÄN</t>
        </is>
      </c>
      <c r="E282" t="inlineStr">
        <is>
          <t>ARVIDSJAUR</t>
        </is>
      </c>
      <c r="G282" t="n">
        <v>1.6</v>
      </c>
      <c r="H282" t="n">
        <v>0</v>
      </c>
      <c r="I282" t="n">
        <v>0</v>
      </c>
      <c r="J282" t="n">
        <v>0</v>
      </c>
      <c r="K282" t="n">
        <v>0</v>
      </c>
      <c r="L282" t="n">
        <v>0</v>
      </c>
      <c r="M282" t="n">
        <v>0</v>
      </c>
      <c r="N282" t="n">
        <v>0</v>
      </c>
      <c r="O282" t="n">
        <v>0</v>
      </c>
      <c r="P282" t="n">
        <v>0</v>
      </c>
      <c r="Q282" t="n">
        <v>0</v>
      </c>
      <c r="R282" s="2" t="inlineStr"/>
    </row>
    <row r="283" ht="15" customHeight="1">
      <c r="A283" t="inlineStr">
        <is>
          <t>A 44640-2025</t>
        </is>
      </c>
      <c r="B283" s="1" t="n">
        <v>45917.52008101852</v>
      </c>
      <c r="C283" s="1" t="n">
        <v>45976</v>
      </c>
      <c r="D283" t="inlineStr">
        <is>
          <t>NORRBOTTENS LÄN</t>
        </is>
      </c>
      <c r="E283" t="inlineStr">
        <is>
          <t>ARVIDSJAUR</t>
        </is>
      </c>
      <c r="F283" t="inlineStr">
        <is>
          <t>Övriga Aktiebolag</t>
        </is>
      </c>
      <c r="G283" t="n">
        <v>1.7</v>
      </c>
      <c r="H283" t="n">
        <v>0</v>
      </c>
      <c r="I283" t="n">
        <v>0</v>
      </c>
      <c r="J283" t="n">
        <v>0</v>
      </c>
      <c r="K283" t="n">
        <v>0</v>
      </c>
      <c r="L283" t="n">
        <v>0</v>
      </c>
      <c r="M283" t="n">
        <v>0</v>
      </c>
      <c r="N283" t="n">
        <v>0</v>
      </c>
      <c r="O283" t="n">
        <v>0</v>
      </c>
      <c r="P283" t="n">
        <v>0</v>
      </c>
      <c r="Q283" t="n">
        <v>0</v>
      </c>
      <c r="R283" s="2" t="inlineStr"/>
    </row>
    <row r="284" ht="15" customHeight="1">
      <c r="A284" t="inlineStr">
        <is>
          <t>A 52127-2025</t>
        </is>
      </c>
      <c r="B284" s="1" t="n">
        <v>45952</v>
      </c>
      <c r="C284" s="1" t="n">
        <v>45976</v>
      </c>
      <c r="D284" t="inlineStr">
        <is>
          <t>NORRBOTTENS LÄN</t>
        </is>
      </c>
      <c r="E284" t="inlineStr">
        <is>
          <t>ARVIDSJAUR</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11542-2025</t>
        </is>
      </c>
      <c r="B285" s="1" t="n">
        <v>45726</v>
      </c>
      <c r="C285" s="1" t="n">
        <v>45976</v>
      </c>
      <c r="D285" t="inlineStr">
        <is>
          <t>NORRBOTTENS LÄN</t>
        </is>
      </c>
      <c r="E285" t="inlineStr">
        <is>
          <t>ARVIDSJAUR</t>
        </is>
      </c>
      <c r="F285" t="inlineStr">
        <is>
          <t>Allmännings- och besparingsskogar</t>
        </is>
      </c>
      <c r="G285" t="n">
        <v>14.2</v>
      </c>
      <c r="H285" t="n">
        <v>0</v>
      </c>
      <c r="I285" t="n">
        <v>0</v>
      </c>
      <c r="J285" t="n">
        <v>0</v>
      </c>
      <c r="K285" t="n">
        <v>0</v>
      </c>
      <c r="L285" t="n">
        <v>0</v>
      </c>
      <c r="M285" t="n">
        <v>0</v>
      </c>
      <c r="N285" t="n">
        <v>0</v>
      </c>
      <c r="O285" t="n">
        <v>0</v>
      </c>
      <c r="P285" t="n">
        <v>0</v>
      </c>
      <c r="Q285" t="n">
        <v>0</v>
      </c>
      <c r="R285" s="2" t="inlineStr"/>
    </row>
    <row r="286" ht="15" customHeight="1">
      <c r="A286" t="inlineStr">
        <is>
          <t>A 11574-2025</t>
        </is>
      </c>
      <c r="B286" s="1" t="n">
        <v>45726</v>
      </c>
      <c r="C286" s="1" t="n">
        <v>45976</v>
      </c>
      <c r="D286" t="inlineStr">
        <is>
          <t>NORRBOTTENS LÄN</t>
        </is>
      </c>
      <c r="E286" t="inlineStr">
        <is>
          <t>ARVIDSJAUR</t>
        </is>
      </c>
      <c r="F286" t="inlineStr">
        <is>
          <t>Allmännings- och besparingsskogar</t>
        </is>
      </c>
      <c r="G286" t="n">
        <v>3.6</v>
      </c>
      <c r="H286" t="n">
        <v>0</v>
      </c>
      <c r="I286" t="n">
        <v>0</v>
      </c>
      <c r="J286" t="n">
        <v>0</v>
      </c>
      <c r="K286" t="n">
        <v>0</v>
      </c>
      <c r="L286" t="n">
        <v>0</v>
      </c>
      <c r="M286" t="n">
        <v>0</v>
      </c>
      <c r="N286" t="n">
        <v>0</v>
      </c>
      <c r="O286" t="n">
        <v>0</v>
      </c>
      <c r="P286" t="n">
        <v>0</v>
      </c>
      <c r="Q286" t="n">
        <v>0</v>
      </c>
      <c r="R286" s="2" t="inlineStr"/>
    </row>
    <row r="287" ht="15" customHeight="1">
      <c r="A287" t="inlineStr">
        <is>
          <t>A 11591-2025</t>
        </is>
      </c>
      <c r="B287" s="1" t="n">
        <v>45726</v>
      </c>
      <c r="C287" s="1" t="n">
        <v>45976</v>
      </c>
      <c r="D287" t="inlineStr">
        <is>
          <t>NORRBOTTENS LÄN</t>
        </is>
      </c>
      <c r="E287" t="inlineStr">
        <is>
          <t>ARVIDSJAUR</t>
        </is>
      </c>
      <c r="F287" t="inlineStr">
        <is>
          <t>Allmännings- och besparingsskogar</t>
        </is>
      </c>
      <c r="G287" t="n">
        <v>10.9</v>
      </c>
      <c r="H287" t="n">
        <v>0</v>
      </c>
      <c r="I287" t="n">
        <v>0</v>
      </c>
      <c r="J287" t="n">
        <v>0</v>
      </c>
      <c r="K287" t="n">
        <v>0</v>
      </c>
      <c r="L287" t="n">
        <v>0</v>
      </c>
      <c r="M287" t="n">
        <v>0</v>
      </c>
      <c r="N287" t="n">
        <v>0</v>
      </c>
      <c r="O287" t="n">
        <v>0</v>
      </c>
      <c r="P287" t="n">
        <v>0</v>
      </c>
      <c r="Q287" t="n">
        <v>0</v>
      </c>
      <c r="R287" s="2" t="inlineStr"/>
    </row>
    <row r="288" ht="15" customHeight="1">
      <c r="A288" t="inlineStr">
        <is>
          <t>A 44613-2025</t>
        </is>
      </c>
      <c r="B288" s="1" t="n">
        <v>45917.45298611111</v>
      </c>
      <c r="C288" s="1" t="n">
        <v>45976</v>
      </c>
      <c r="D288" t="inlineStr">
        <is>
          <t>NORRBOTTENS LÄN</t>
        </is>
      </c>
      <c r="E288" t="inlineStr">
        <is>
          <t>ARVIDSJAUR</t>
        </is>
      </c>
      <c r="F288" t="inlineStr">
        <is>
          <t>Övriga Aktiebolag</t>
        </is>
      </c>
      <c r="G288" t="n">
        <v>11.6</v>
      </c>
      <c r="H288" t="n">
        <v>0</v>
      </c>
      <c r="I288" t="n">
        <v>0</v>
      </c>
      <c r="J288" t="n">
        <v>0</v>
      </c>
      <c r="K288" t="n">
        <v>0</v>
      </c>
      <c r="L288" t="n">
        <v>0</v>
      </c>
      <c r="M288" t="n">
        <v>0</v>
      </c>
      <c r="N288" t="n">
        <v>0</v>
      </c>
      <c r="O288" t="n">
        <v>0</v>
      </c>
      <c r="P288" t="n">
        <v>0</v>
      </c>
      <c r="Q288" t="n">
        <v>0</v>
      </c>
      <c r="R288" s="2" t="inlineStr"/>
    </row>
    <row r="289" ht="15" customHeight="1">
      <c r="A289" t="inlineStr">
        <is>
          <t>A 44317-2025</t>
        </is>
      </c>
      <c r="B289" s="1" t="n">
        <v>45916.39554398148</v>
      </c>
      <c r="C289" s="1" t="n">
        <v>45976</v>
      </c>
      <c r="D289" t="inlineStr">
        <is>
          <t>NORRBOTTENS LÄN</t>
        </is>
      </c>
      <c r="E289" t="inlineStr">
        <is>
          <t>ARVIDSJAUR</t>
        </is>
      </c>
      <c r="F289" t="inlineStr">
        <is>
          <t>Sveaskog</t>
        </is>
      </c>
      <c r="G289" t="n">
        <v>7.9</v>
      </c>
      <c r="H289" t="n">
        <v>0</v>
      </c>
      <c r="I289" t="n">
        <v>0</v>
      </c>
      <c r="J289" t="n">
        <v>0</v>
      </c>
      <c r="K289" t="n">
        <v>0</v>
      </c>
      <c r="L289" t="n">
        <v>0</v>
      </c>
      <c r="M289" t="n">
        <v>0</v>
      </c>
      <c r="N289" t="n">
        <v>0</v>
      </c>
      <c r="O289" t="n">
        <v>0</v>
      </c>
      <c r="P289" t="n">
        <v>0</v>
      </c>
      <c r="Q289" t="n">
        <v>0</v>
      </c>
      <c r="R289" s="2" t="inlineStr"/>
    </row>
    <row r="290" ht="15" customHeight="1">
      <c r="A290" t="inlineStr">
        <is>
          <t>A 40937-2023</t>
        </is>
      </c>
      <c r="B290" s="1" t="n">
        <v>45173</v>
      </c>
      <c r="C290" s="1" t="n">
        <v>45976</v>
      </c>
      <c r="D290" t="inlineStr">
        <is>
          <t>NORRBOTTENS LÄN</t>
        </is>
      </c>
      <c r="E290" t="inlineStr">
        <is>
          <t>ARVIDSJAUR</t>
        </is>
      </c>
      <c r="F290" t="inlineStr">
        <is>
          <t>Övriga Aktiebolag</t>
        </is>
      </c>
      <c r="G290" t="n">
        <v>2.9</v>
      </c>
      <c r="H290" t="n">
        <v>0</v>
      </c>
      <c r="I290" t="n">
        <v>0</v>
      </c>
      <c r="J290" t="n">
        <v>0</v>
      </c>
      <c r="K290" t="n">
        <v>0</v>
      </c>
      <c r="L290" t="n">
        <v>0</v>
      </c>
      <c r="M290" t="n">
        <v>0</v>
      </c>
      <c r="N290" t="n">
        <v>0</v>
      </c>
      <c r="O290" t="n">
        <v>0</v>
      </c>
      <c r="P290" t="n">
        <v>0</v>
      </c>
      <c r="Q290" t="n">
        <v>0</v>
      </c>
      <c r="R290" s="2" t="inlineStr"/>
    </row>
    <row r="291" ht="15" customHeight="1">
      <c r="A291" t="inlineStr">
        <is>
          <t>A 52444-2025</t>
        </is>
      </c>
      <c r="B291" s="1" t="n">
        <v>45954.41598379629</v>
      </c>
      <c r="C291" s="1" t="n">
        <v>45976</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45187-2025</t>
        </is>
      </c>
      <c r="B292" s="1" t="n">
        <v>45919.54172453703</v>
      </c>
      <c r="C292" s="1" t="n">
        <v>45976</v>
      </c>
      <c r="D292" t="inlineStr">
        <is>
          <t>NORRBOTTENS LÄN</t>
        </is>
      </c>
      <c r="E292" t="inlineStr">
        <is>
          <t>ARVIDSJAUR</t>
        </is>
      </c>
      <c r="F292" t="inlineStr">
        <is>
          <t>Sveaskog</t>
        </is>
      </c>
      <c r="G292" t="n">
        <v>17.4</v>
      </c>
      <c r="H292" t="n">
        <v>0</v>
      </c>
      <c r="I292" t="n">
        <v>0</v>
      </c>
      <c r="J292" t="n">
        <v>0</v>
      </c>
      <c r="K292" t="n">
        <v>0</v>
      </c>
      <c r="L292" t="n">
        <v>0</v>
      </c>
      <c r="M292" t="n">
        <v>0</v>
      </c>
      <c r="N292" t="n">
        <v>0</v>
      </c>
      <c r="O292" t="n">
        <v>0</v>
      </c>
      <c r="P292" t="n">
        <v>0</v>
      </c>
      <c r="Q292" t="n">
        <v>0</v>
      </c>
      <c r="R292" s="2" t="inlineStr"/>
    </row>
    <row r="293" ht="15" customHeight="1">
      <c r="A293" t="inlineStr">
        <is>
          <t>A 53511-2025</t>
        </is>
      </c>
      <c r="B293" s="1" t="n">
        <v>45960.34532407407</v>
      </c>
      <c r="C293" s="1" t="n">
        <v>45976</v>
      </c>
      <c r="D293" t="inlineStr">
        <is>
          <t>NORRBOTTENS LÄN</t>
        </is>
      </c>
      <c r="E293" t="inlineStr">
        <is>
          <t>ARVIDSJAUR</t>
        </is>
      </c>
      <c r="G293" t="n">
        <v>1.3</v>
      </c>
      <c r="H293" t="n">
        <v>0</v>
      </c>
      <c r="I293" t="n">
        <v>0</v>
      </c>
      <c r="J293" t="n">
        <v>0</v>
      </c>
      <c r="K293" t="n">
        <v>0</v>
      </c>
      <c r="L293" t="n">
        <v>0</v>
      </c>
      <c r="M293" t="n">
        <v>0</v>
      </c>
      <c r="N293" t="n">
        <v>0</v>
      </c>
      <c r="O293" t="n">
        <v>0</v>
      </c>
      <c r="P293" t="n">
        <v>0</v>
      </c>
      <c r="Q293" t="n">
        <v>0</v>
      </c>
      <c r="R293" s="2" t="inlineStr"/>
    </row>
    <row r="294" ht="15" customHeight="1">
      <c r="A294" t="inlineStr">
        <is>
          <t>A 41872-2021</t>
        </is>
      </c>
      <c r="B294" s="1" t="n">
        <v>44426</v>
      </c>
      <c r="C294" s="1" t="n">
        <v>45976</v>
      </c>
      <c r="D294" t="inlineStr">
        <is>
          <t>NORRBOTTENS LÄN</t>
        </is>
      </c>
      <c r="E294" t="inlineStr">
        <is>
          <t>ARVIDSJAUR</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39845-2023</t>
        </is>
      </c>
      <c r="B295" s="1" t="n">
        <v>45166</v>
      </c>
      <c r="C295" s="1" t="n">
        <v>45976</v>
      </c>
      <c r="D295" t="inlineStr">
        <is>
          <t>NORRBOTTENS LÄN</t>
        </is>
      </c>
      <c r="E295" t="inlineStr">
        <is>
          <t>ARVIDSJAUR</t>
        </is>
      </c>
      <c r="G295" t="n">
        <v>1.1</v>
      </c>
      <c r="H295" t="n">
        <v>0</v>
      </c>
      <c r="I295" t="n">
        <v>0</v>
      </c>
      <c r="J295" t="n">
        <v>0</v>
      </c>
      <c r="K295" t="n">
        <v>0</v>
      </c>
      <c r="L295" t="n">
        <v>0</v>
      </c>
      <c r="M295" t="n">
        <v>0</v>
      </c>
      <c r="N295" t="n">
        <v>0</v>
      </c>
      <c r="O295" t="n">
        <v>0</v>
      </c>
      <c r="P295" t="n">
        <v>0</v>
      </c>
      <c r="Q295" t="n">
        <v>0</v>
      </c>
      <c r="R295" s="2" t="inlineStr"/>
    </row>
    <row r="296" ht="15" customHeight="1">
      <c r="A296" t="inlineStr">
        <is>
          <t>A 45200-2025</t>
        </is>
      </c>
      <c r="B296" s="1" t="n">
        <v>45919.56200231481</v>
      </c>
      <c r="C296" s="1" t="n">
        <v>45976</v>
      </c>
      <c r="D296" t="inlineStr">
        <is>
          <t>NORRBOTTENS LÄN</t>
        </is>
      </c>
      <c r="E296" t="inlineStr">
        <is>
          <t>ARVIDSJAUR</t>
        </is>
      </c>
      <c r="F296" t="inlineStr">
        <is>
          <t>Sveaskog</t>
        </is>
      </c>
      <c r="G296" t="n">
        <v>9</v>
      </c>
      <c r="H296" t="n">
        <v>0</v>
      </c>
      <c r="I296" t="n">
        <v>0</v>
      </c>
      <c r="J296" t="n">
        <v>0</v>
      </c>
      <c r="K296" t="n">
        <v>0</v>
      </c>
      <c r="L296" t="n">
        <v>0</v>
      </c>
      <c r="M296" t="n">
        <v>0</v>
      </c>
      <c r="N296" t="n">
        <v>0</v>
      </c>
      <c r="O296" t="n">
        <v>0</v>
      </c>
      <c r="P296" t="n">
        <v>0</v>
      </c>
      <c r="Q296" t="n">
        <v>0</v>
      </c>
      <c r="R296" s="2" t="inlineStr"/>
    </row>
    <row r="297" ht="15" customHeight="1">
      <c r="A297" t="inlineStr">
        <is>
          <t>A 45227-2025</t>
        </is>
      </c>
      <c r="B297" s="1" t="n">
        <v>45919.58480324074</v>
      </c>
      <c r="C297" s="1" t="n">
        <v>45976</v>
      </c>
      <c r="D297" t="inlineStr">
        <is>
          <t>NORRBOTTENS LÄN</t>
        </is>
      </c>
      <c r="E297" t="inlineStr">
        <is>
          <t>ARVIDSJAUR</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45104-2025</t>
        </is>
      </c>
      <c r="B298" s="1" t="n">
        <v>45919</v>
      </c>
      <c r="C298" s="1" t="n">
        <v>45976</v>
      </c>
      <c r="D298" t="inlineStr">
        <is>
          <t>NORRBOTTENS LÄN</t>
        </is>
      </c>
      <c r="E298" t="inlineStr">
        <is>
          <t>ARVIDSJAUR</t>
        </is>
      </c>
      <c r="G298" t="n">
        <v>6.6</v>
      </c>
      <c r="H298" t="n">
        <v>0</v>
      </c>
      <c r="I298" t="n">
        <v>0</v>
      </c>
      <c r="J298" t="n">
        <v>0</v>
      </c>
      <c r="K298" t="n">
        <v>0</v>
      </c>
      <c r="L298" t="n">
        <v>0</v>
      </c>
      <c r="M298" t="n">
        <v>0</v>
      </c>
      <c r="N298" t="n">
        <v>0</v>
      </c>
      <c r="O298" t="n">
        <v>0</v>
      </c>
      <c r="P298" t="n">
        <v>0</v>
      </c>
      <c r="Q298" t="n">
        <v>0</v>
      </c>
      <c r="R298" s="2" t="inlineStr"/>
    </row>
    <row r="299" ht="15" customHeight="1">
      <c r="A299" t="inlineStr">
        <is>
          <t>A 11535-2025</t>
        </is>
      </c>
      <c r="B299" s="1" t="n">
        <v>45726</v>
      </c>
      <c r="C299" s="1" t="n">
        <v>45976</v>
      </c>
      <c r="D299" t="inlineStr">
        <is>
          <t>NORRBOTTENS LÄN</t>
        </is>
      </c>
      <c r="E299" t="inlineStr">
        <is>
          <t>ARVIDSJAUR</t>
        </is>
      </c>
      <c r="F299" t="inlineStr">
        <is>
          <t>Allmännings- och besparingsskogar</t>
        </is>
      </c>
      <c r="G299" t="n">
        <v>10.3</v>
      </c>
      <c r="H299" t="n">
        <v>0</v>
      </c>
      <c r="I299" t="n">
        <v>0</v>
      </c>
      <c r="J299" t="n">
        <v>0</v>
      </c>
      <c r="K299" t="n">
        <v>0</v>
      </c>
      <c r="L299" t="n">
        <v>0</v>
      </c>
      <c r="M299" t="n">
        <v>0</v>
      </c>
      <c r="N299" t="n">
        <v>0</v>
      </c>
      <c r="O299" t="n">
        <v>0</v>
      </c>
      <c r="P299" t="n">
        <v>0</v>
      </c>
      <c r="Q299" t="n">
        <v>0</v>
      </c>
      <c r="R299" s="2" t="inlineStr"/>
    </row>
    <row r="300" ht="15" customHeight="1">
      <c r="A300" t="inlineStr">
        <is>
          <t>A 11539-2025</t>
        </is>
      </c>
      <c r="B300" s="1" t="n">
        <v>45726</v>
      </c>
      <c r="C300" s="1" t="n">
        <v>45976</v>
      </c>
      <c r="D300" t="inlineStr">
        <is>
          <t>NORRBOTTENS LÄN</t>
        </is>
      </c>
      <c r="E300" t="inlineStr">
        <is>
          <t>ARVIDSJAUR</t>
        </is>
      </c>
      <c r="F300" t="inlineStr">
        <is>
          <t>Allmännings- och besparingsskogar</t>
        </is>
      </c>
      <c r="G300" t="n">
        <v>14.3</v>
      </c>
      <c r="H300" t="n">
        <v>0</v>
      </c>
      <c r="I300" t="n">
        <v>0</v>
      </c>
      <c r="J300" t="n">
        <v>0</v>
      </c>
      <c r="K300" t="n">
        <v>0</v>
      </c>
      <c r="L300" t="n">
        <v>0</v>
      </c>
      <c r="M300" t="n">
        <v>0</v>
      </c>
      <c r="N300" t="n">
        <v>0</v>
      </c>
      <c r="O300" t="n">
        <v>0</v>
      </c>
      <c r="P300" t="n">
        <v>0</v>
      </c>
      <c r="Q300" t="n">
        <v>0</v>
      </c>
      <c r="R300" s="2" t="inlineStr"/>
    </row>
    <row r="301" ht="15" customHeight="1">
      <c r="A301" t="inlineStr">
        <is>
          <t>A 45188-2025</t>
        </is>
      </c>
      <c r="B301" s="1" t="n">
        <v>45919</v>
      </c>
      <c r="C301" s="1" t="n">
        <v>45976</v>
      </c>
      <c r="D301" t="inlineStr">
        <is>
          <t>NORRBOTTENS LÄN</t>
        </is>
      </c>
      <c r="E301" t="inlineStr">
        <is>
          <t>ARVIDSJAUR</t>
        </is>
      </c>
      <c r="F301" t="inlineStr">
        <is>
          <t>Sveaskog</t>
        </is>
      </c>
      <c r="G301" t="n">
        <v>13.4</v>
      </c>
      <c r="H301" t="n">
        <v>0</v>
      </c>
      <c r="I301" t="n">
        <v>0</v>
      </c>
      <c r="J301" t="n">
        <v>0</v>
      </c>
      <c r="K301" t="n">
        <v>0</v>
      </c>
      <c r="L301" t="n">
        <v>0</v>
      </c>
      <c r="M301" t="n">
        <v>0</v>
      </c>
      <c r="N301" t="n">
        <v>0</v>
      </c>
      <c r="O301" t="n">
        <v>0</v>
      </c>
      <c r="P301" t="n">
        <v>0</v>
      </c>
      <c r="Q301" t="n">
        <v>0</v>
      </c>
      <c r="R301" s="2" t="inlineStr"/>
    </row>
    <row r="302" ht="15" customHeight="1">
      <c r="A302" t="inlineStr">
        <is>
          <t>A 45197-2025</t>
        </is>
      </c>
      <c r="B302" s="1" t="n">
        <v>45919</v>
      </c>
      <c r="C302" s="1" t="n">
        <v>45976</v>
      </c>
      <c r="D302" t="inlineStr">
        <is>
          <t>NORRBOTTENS LÄN</t>
        </is>
      </c>
      <c r="E302" t="inlineStr">
        <is>
          <t>ARVIDSJAUR</t>
        </is>
      </c>
      <c r="F302" t="inlineStr">
        <is>
          <t>Sveaskog</t>
        </is>
      </c>
      <c r="G302" t="n">
        <v>2</v>
      </c>
      <c r="H302" t="n">
        <v>0</v>
      </c>
      <c r="I302" t="n">
        <v>0</v>
      </c>
      <c r="J302" t="n">
        <v>0</v>
      </c>
      <c r="K302" t="n">
        <v>0</v>
      </c>
      <c r="L302" t="n">
        <v>0</v>
      </c>
      <c r="M302" t="n">
        <v>0</v>
      </c>
      <c r="N302" t="n">
        <v>0</v>
      </c>
      <c r="O302" t="n">
        <v>0</v>
      </c>
      <c r="P302" t="n">
        <v>0</v>
      </c>
      <c r="Q302" t="n">
        <v>0</v>
      </c>
      <c r="R302" s="2" t="inlineStr"/>
    </row>
    <row r="303" ht="15" customHeight="1">
      <c r="A303" t="inlineStr">
        <is>
          <t>A 45219-2025</t>
        </is>
      </c>
      <c r="B303" s="1" t="n">
        <v>45919.57630787037</v>
      </c>
      <c r="C303" s="1" t="n">
        <v>45976</v>
      </c>
      <c r="D303" t="inlineStr">
        <is>
          <t>NORRBOTTENS LÄN</t>
        </is>
      </c>
      <c r="E303" t="inlineStr">
        <is>
          <t>ARVIDSJAUR</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45215-2025</t>
        </is>
      </c>
      <c r="B304" s="1" t="n">
        <v>45919.57234953704</v>
      </c>
      <c r="C304" s="1" t="n">
        <v>45976</v>
      </c>
      <c r="D304" t="inlineStr">
        <is>
          <t>NORRBOTTENS LÄN</t>
        </is>
      </c>
      <c r="E304" t="inlineStr">
        <is>
          <t>ARVIDSJAUR</t>
        </is>
      </c>
      <c r="F304" t="inlineStr">
        <is>
          <t>Sveaskog</t>
        </is>
      </c>
      <c r="G304" t="n">
        <v>12.9</v>
      </c>
      <c r="H304" t="n">
        <v>0</v>
      </c>
      <c r="I304" t="n">
        <v>0</v>
      </c>
      <c r="J304" t="n">
        <v>0</v>
      </c>
      <c r="K304" t="n">
        <v>0</v>
      </c>
      <c r="L304" t="n">
        <v>0</v>
      </c>
      <c r="M304" t="n">
        <v>0</v>
      </c>
      <c r="N304" t="n">
        <v>0</v>
      </c>
      <c r="O304" t="n">
        <v>0</v>
      </c>
      <c r="P304" t="n">
        <v>0</v>
      </c>
      <c r="Q304" t="n">
        <v>0</v>
      </c>
      <c r="R304" s="2" t="inlineStr"/>
    </row>
    <row r="305" ht="15" customHeight="1">
      <c r="A305" t="inlineStr">
        <is>
          <t>A 11620-2025</t>
        </is>
      </c>
      <c r="B305" s="1" t="n">
        <v>45726</v>
      </c>
      <c r="C305" s="1" t="n">
        <v>45976</v>
      </c>
      <c r="D305" t="inlineStr">
        <is>
          <t>NORRBOTTENS LÄN</t>
        </is>
      </c>
      <c r="E305" t="inlineStr">
        <is>
          <t>ARVIDSJAUR</t>
        </is>
      </c>
      <c r="F305" t="inlineStr">
        <is>
          <t>Allmännings- och besparingsskogar</t>
        </is>
      </c>
      <c r="G305" t="n">
        <v>14.1</v>
      </c>
      <c r="H305" t="n">
        <v>0</v>
      </c>
      <c r="I305" t="n">
        <v>0</v>
      </c>
      <c r="J305" t="n">
        <v>0</v>
      </c>
      <c r="K305" t="n">
        <v>0</v>
      </c>
      <c r="L305" t="n">
        <v>0</v>
      </c>
      <c r="M305" t="n">
        <v>0</v>
      </c>
      <c r="N305" t="n">
        <v>0</v>
      </c>
      <c r="O305" t="n">
        <v>0</v>
      </c>
      <c r="P305" t="n">
        <v>0</v>
      </c>
      <c r="Q305" t="n">
        <v>0</v>
      </c>
      <c r="R305" s="2" t="inlineStr"/>
    </row>
    <row r="306" ht="15" customHeight="1">
      <c r="A306" t="inlineStr">
        <is>
          <t>A 23592-2024</t>
        </is>
      </c>
      <c r="B306" s="1" t="n">
        <v>45454</v>
      </c>
      <c r="C306" s="1" t="n">
        <v>45976</v>
      </c>
      <c r="D306" t="inlineStr">
        <is>
          <t>NORRBOTTENS LÄN</t>
        </is>
      </c>
      <c r="E306" t="inlineStr">
        <is>
          <t>ARVIDSJAUR</t>
        </is>
      </c>
      <c r="G306" t="n">
        <v>2.4</v>
      </c>
      <c r="H306" t="n">
        <v>0</v>
      </c>
      <c r="I306" t="n">
        <v>0</v>
      </c>
      <c r="J306" t="n">
        <v>0</v>
      </c>
      <c r="K306" t="n">
        <v>0</v>
      </c>
      <c r="L306" t="n">
        <v>0</v>
      </c>
      <c r="M306" t="n">
        <v>0</v>
      </c>
      <c r="N306" t="n">
        <v>0</v>
      </c>
      <c r="O306" t="n">
        <v>0</v>
      </c>
      <c r="P306" t="n">
        <v>0</v>
      </c>
      <c r="Q306" t="n">
        <v>0</v>
      </c>
      <c r="R306" s="2" t="inlineStr"/>
    </row>
    <row r="307" ht="15" customHeight="1">
      <c r="A307" t="inlineStr">
        <is>
          <t>A 45107-2025</t>
        </is>
      </c>
      <c r="B307" s="1" t="n">
        <v>45919</v>
      </c>
      <c r="C307" s="1" t="n">
        <v>45976</v>
      </c>
      <c r="D307" t="inlineStr">
        <is>
          <t>NORRBOTTENS LÄN</t>
        </is>
      </c>
      <c r="E307" t="inlineStr">
        <is>
          <t>ARVIDSJAUR</t>
        </is>
      </c>
      <c r="F307" t="inlineStr">
        <is>
          <t>Allmännings- och besparingsskogar</t>
        </is>
      </c>
      <c r="G307" t="n">
        <v>3.1</v>
      </c>
      <c r="H307" t="n">
        <v>0</v>
      </c>
      <c r="I307" t="n">
        <v>0</v>
      </c>
      <c r="J307" t="n">
        <v>0</v>
      </c>
      <c r="K307" t="n">
        <v>0</v>
      </c>
      <c r="L307" t="n">
        <v>0</v>
      </c>
      <c r="M307" t="n">
        <v>0</v>
      </c>
      <c r="N307" t="n">
        <v>0</v>
      </c>
      <c r="O307" t="n">
        <v>0</v>
      </c>
      <c r="P307" t="n">
        <v>0</v>
      </c>
      <c r="Q307" t="n">
        <v>0</v>
      </c>
      <c r="R307" s="2" t="inlineStr"/>
    </row>
    <row r="308" ht="15" customHeight="1">
      <c r="A308" t="inlineStr">
        <is>
          <t>A 45138-2025</t>
        </is>
      </c>
      <c r="B308" s="1" t="n">
        <v>45919.45427083333</v>
      </c>
      <c r="C308" s="1" t="n">
        <v>45976</v>
      </c>
      <c r="D308" t="inlineStr">
        <is>
          <t>NORRBOTTENS LÄN</t>
        </is>
      </c>
      <c r="E308" t="inlineStr">
        <is>
          <t>ARVIDSJAUR</t>
        </is>
      </c>
      <c r="F308" t="inlineStr">
        <is>
          <t>Sveaskog</t>
        </is>
      </c>
      <c r="G308" t="n">
        <v>30.7</v>
      </c>
      <c r="H308" t="n">
        <v>0</v>
      </c>
      <c r="I308" t="n">
        <v>0</v>
      </c>
      <c r="J308" t="n">
        <v>0</v>
      </c>
      <c r="K308" t="n">
        <v>0</v>
      </c>
      <c r="L308" t="n">
        <v>0</v>
      </c>
      <c r="M308" t="n">
        <v>0</v>
      </c>
      <c r="N308" t="n">
        <v>0</v>
      </c>
      <c r="O308" t="n">
        <v>0</v>
      </c>
      <c r="P308" t="n">
        <v>0</v>
      </c>
      <c r="Q308" t="n">
        <v>0</v>
      </c>
      <c r="R308" s="2" t="inlineStr"/>
    </row>
    <row r="309" ht="15" customHeight="1">
      <c r="A309" t="inlineStr">
        <is>
          <t>A 49172-2024</t>
        </is>
      </c>
      <c r="B309" s="1" t="n">
        <v>45595.31174768518</v>
      </c>
      <c r="C309" s="1" t="n">
        <v>45976</v>
      </c>
      <c r="D309" t="inlineStr">
        <is>
          <t>NORRBOTTENS LÄN</t>
        </is>
      </c>
      <c r="E309" t="inlineStr">
        <is>
          <t>ARVIDSJAUR</t>
        </is>
      </c>
      <c r="F309" t="inlineStr">
        <is>
          <t>Sveaskog</t>
        </is>
      </c>
      <c r="G309" t="n">
        <v>10.8</v>
      </c>
      <c r="H309" t="n">
        <v>0</v>
      </c>
      <c r="I309" t="n">
        <v>0</v>
      </c>
      <c r="J309" t="n">
        <v>0</v>
      </c>
      <c r="K309" t="n">
        <v>0</v>
      </c>
      <c r="L309" t="n">
        <v>0</v>
      </c>
      <c r="M309" t="n">
        <v>0</v>
      </c>
      <c r="N309" t="n">
        <v>0</v>
      </c>
      <c r="O309" t="n">
        <v>0</v>
      </c>
      <c r="P309" t="n">
        <v>0</v>
      </c>
      <c r="Q309" t="n">
        <v>0</v>
      </c>
      <c r="R309" s="2" t="inlineStr"/>
    </row>
    <row r="310" ht="15" customHeight="1">
      <c r="A310" t="inlineStr">
        <is>
          <t>A 36400-2022</t>
        </is>
      </c>
      <c r="B310" s="1" t="n">
        <v>44804</v>
      </c>
      <c r="C310" s="1" t="n">
        <v>45976</v>
      </c>
      <c r="D310" t="inlineStr">
        <is>
          <t>NORRBOTTENS LÄN</t>
        </is>
      </c>
      <c r="E310" t="inlineStr">
        <is>
          <t>ARVIDSJAUR</t>
        </is>
      </c>
      <c r="G310" t="n">
        <v>0.8</v>
      </c>
      <c r="H310" t="n">
        <v>0</v>
      </c>
      <c r="I310" t="n">
        <v>0</v>
      </c>
      <c r="J310" t="n">
        <v>0</v>
      </c>
      <c r="K310" t="n">
        <v>0</v>
      </c>
      <c r="L310" t="n">
        <v>0</v>
      </c>
      <c r="M310" t="n">
        <v>0</v>
      </c>
      <c r="N310" t="n">
        <v>0</v>
      </c>
      <c r="O310" t="n">
        <v>0</v>
      </c>
      <c r="P310" t="n">
        <v>0</v>
      </c>
      <c r="Q310" t="n">
        <v>0</v>
      </c>
      <c r="R310" s="2" t="inlineStr"/>
    </row>
    <row r="311" ht="15" customHeight="1">
      <c r="A311" t="inlineStr">
        <is>
          <t>A 45217-2025</t>
        </is>
      </c>
      <c r="B311" s="1" t="n">
        <v>45919.57429398148</v>
      </c>
      <c r="C311" s="1" t="n">
        <v>45976</v>
      </c>
      <c r="D311" t="inlineStr">
        <is>
          <t>NORRBOTTENS LÄN</t>
        </is>
      </c>
      <c r="E311" t="inlineStr">
        <is>
          <t>ARVIDSJAUR</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45206-2025</t>
        </is>
      </c>
      <c r="B312" s="1" t="n">
        <v>45919.5649537037</v>
      </c>
      <c r="C312" s="1" t="n">
        <v>45976</v>
      </c>
      <c r="D312" t="inlineStr">
        <is>
          <t>NORRBOTTENS LÄN</t>
        </is>
      </c>
      <c r="E312" t="inlineStr">
        <is>
          <t>ARVIDSJAUR</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45218-2025</t>
        </is>
      </c>
      <c r="B313" s="1" t="n">
        <v>45919.57530092593</v>
      </c>
      <c r="C313" s="1" t="n">
        <v>45976</v>
      </c>
      <c r="D313" t="inlineStr">
        <is>
          <t>NORRBOTTENS LÄN</t>
        </is>
      </c>
      <c r="E313" t="inlineStr">
        <is>
          <t>ARVIDSJAUR</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45222-2025</t>
        </is>
      </c>
      <c r="B314" s="1" t="n">
        <v>45919.57869212963</v>
      </c>
      <c r="C314" s="1" t="n">
        <v>45976</v>
      </c>
      <c r="D314" t="inlineStr">
        <is>
          <t>NORRBOTTENS LÄN</t>
        </is>
      </c>
      <c r="E314" t="inlineStr">
        <is>
          <t>ARVIDSJAUR</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45576-2025</t>
        </is>
      </c>
      <c r="B315" s="1" t="n">
        <v>45922.66208333334</v>
      </c>
      <c r="C315" s="1" t="n">
        <v>45976</v>
      </c>
      <c r="D315" t="inlineStr">
        <is>
          <t>NORRBOTTENS LÄN</t>
        </is>
      </c>
      <c r="E315" t="inlineStr">
        <is>
          <t>ARVIDSJAUR</t>
        </is>
      </c>
      <c r="F315" t="inlineStr">
        <is>
          <t>Sveaskog</t>
        </is>
      </c>
      <c r="G315" t="n">
        <v>13.5</v>
      </c>
      <c r="H315" t="n">
        <v>0</v>
      </c>
      <c r="I315" t="n">
        <v>0</v>
      </c>
      <c r="J315" t="n">
        <v>0</v>
      </c>
      <c r="K315" t="n">
        <v>0</v>
      </c>
      <c r="L315" t="n">
        <v>0</v>
      </c>
      <c r="M315" t="n">
        <v>0</v>
      </c>
      <c r="N315" t="n">
        <v>0</v>
      </c>
      <c r="O315" t="n">
        <v>0</v>
      </c>
      <c r="P315" t="n">
        <v>0</v>
      </c>
      <c r="Q315" t="n">
        <v>0</v>
      </c>
      <c r="R315" s="2" t="inlineStr"/>
    </row>
    <row r="316" ht="15" customHeight="1">
      <c r="A316" t="inlineStr">
        <is>
          <t>A 45493-2025</t>
        </is>
      </c>
      <c r="B316" s="1" t="n">
        <v>45922.55875</v>
      </c>
      <c r="C316" s="1" t="n">
        <v>45976</v>
      </c>
      <c r="D316" t="inlineStr">
        <is>
          <t>NORRBOTTENS LÄN</t>
        </is>
      </c>
      <c r="E316" t="inlineStr">
        <is>
          <t>ARVIDSJAUR</t>
        </is>
      </c>
      <c r="F316" t="inlineStr">
        <is>
          <t>Sveaskog</t>
        </is>
      </c>
      <c r="G316" t="n">
        <v>7.4</v>
      </c>
      <c r="H316" t="n">
        <v>0</v>
      </c>
      <c r="I316" t="n">
        <v>0</v>
      </c>
      <c r="J316" t="n">
        <v>0</v>
      </c>
      <c r="K316" t="n">
        <v>0</v>
      </c>
      <c r="L316" t="n">
        <v>0</v>
      </c>
      <c r="M316" t="n">
        <v>0</v>
      </c>
      <c r="N316" t="n">
        <v>0</v>
      </c>
      <c r="O316" t="n">
        <v>0</v>
      </c>
      <c r="P316" t="n">
        <v>0</v>
      </c>
      <c r="Q316" t="n">
        <v>0</v>
      </c>
      <c r="R316" s="2" t="inlineStr"/>
    </row>
    <row r="317" ht="15" customHeight="1">
      <c r="A317" t="inlineStr">
        <is>
          <t>A 45643-2025</t>
        </is>
      </c>
      <c r="B317" s="1" t="n">
        <v>45923.28857638889</v>
      </c>
      <c r="C317" s="1" t="n">
        <v>45976</v>
      </c>
      <c r="D317" t="inlineStr">
        <is>
          <t>NORRBOTTENS LÄN</t>
        </is>
      </c>
      <c r="E317" t="inlineStr">
        <is>
          <t>ARVIDSJAUR</t>
        </is>
      </c>
      <c r="F317" t="inlineStr">
        <is>
          <t>Sveaskog</t>
        </is>
      </c>
      <c r="G317" t="n">
        <v>38.5</v>
      </c>
      <c r="H317" t="n">
        <v>0</v>
      </c>
      <c r="I317" t="n">
        <v>0</v>
      </c>
      <c r="J317" t="n">
        <v>0</v>
      </c>
      <c r="K317" t="n">
        <v>0</v>
      </c>
      <c r="L317" t="n">
        <v>0</v>
      </c>
      <c r="M317" t="n">
        <v>0</v>
      </c>
      <c r="N317" t="n">
        <v>0</v>
      </c>
      <c r="O317" t="n">
        <v>0</v>
      </c>
      <c r="P317" t="n">
        <v>0</v>
      </c>
      <c r="Q317" t="n">
        <v>0</v>
      </c>
      <c r="R317" s="2" t="inlineStr"/>
    </row>
    <row r="318" ht="15" customHeight="1">
      <c r="A318" t="inlineStr">
        <is>
          <t>A 59926-2020</t>
        </is>
      </c>
      <c r="B318" s="1" t="n">
        <v>44151</v>
      </c>
      <c r="C318" s="1" t="n">
        <v>45976</v>
      </c>
      <c r="D318" t="inlineStr">
        <is>
          <t>NORRBOTTENS LÄN</t>
        </is>
      </c>
      <c r="E318" t="inlineStr">
        <is>
          <t>ARVIDSJAUR</t>
        </is>
      </c>
      <c r="G318" t="n">
        <v>3.6</v>
      </c>
      <c r="H318" t="n">
        <v>0</v>
      </c>
      <c r="I318" t="n">
        <v>0</v>
      </c>
      <c r="J318" t="n">
        <v>0</v>
      </c>
      <c r="K318" t="n">
        <v>0</v>
      </c>
      <c r="L318" t="n">
        <v>0</v>
      </c>
      <c r="M318" t="n">
        <v>0</v>
      </c>
      <c r="N318" t="n">
        <v>0</v>
      </c>
      <c r="O318" t="n">
        <v>0</v>
      </c>
      <c r="P318" t="n">
        <v>0</v>
      </c>
      <c r="Q318" t="n">
        <v>0</v>
      </c>
      <c r="R318" s="2" t="inlineStr"/>
    </row>
    <row r="319" ht="15" customHeight="1">
      <c r="A319" t="inlineStr">
        <is>
          <t>A 54218-2024</t>
        </is>
      </c>
      <c r="B319" s="1" t="n">
        <v>45616</v>
      </c>
      <c r="C319" s="1" t="n">
        <v>45976</v>
      </c>
      <c r="D319" t="inlineStr">
        <is>
          <t>NORRBOTTENS LÄN</t>
        </is>
      </c>
      <c r="E319" t="inlineStr">
        <is>
          <t>ARVIDSJAUR</t>
        </is>
      </c>
      <c r="G319" t="n">
        <v>4.4</v>
      </c>
      <c r="H319" t="n">
        <v>0</v>
      </c>
      <c r="I319" t="n">
        <v>0</v>
      </c>
      <c r="J319" t="n">
        <v>0</v>
      </c>
      <c r="K319" t="n">
        <v>0</v>
      </c>
      <c r="L319" t="n">
        <v>0</v>
      </c>
      <c r="M319" t="n">
        <v>0</v>
      </c>
      <c r="N319" t="n">
        <v>0</v>
      </c>
      <c r="O319" t="n">
        <v>0</v>
      </c>
      <c r="P319" t="n">
        <v>0</v>
      </c>
      <c r="Q319" t="n">
        <v>0</v>
      </c>
      <c r="R319" s="2" t="inlineStr"/>
    </row>
    <row r="320" ht="15" customHeight="1">
      <c r="A320" t="inlineStr">
        <is>
          <t>A 54086-2025</t>
        </is>
      </c>
      <c r="B320" s="1" t="n">
        <v>45964.38981481481</v>
      </c>
      <c r="C320" s="1" t="n">
        <v>45976</v>
      </c>
      <c r="D320" t="inlineStr">
        <is>
          <t>NORRBOTTENS LÄN</t>
        </is>
      </c>
      <c r="E320" t="inlineStr">
        <is>
          <t>ARVIDSJAUR</t>
        </is>
      </c>
      <c r="F320" t="inlineStr">
        <is>
          <t>Sveaskog</t>
        </is>
      </c>
      <c r="G320" t="n">
        <v>40.6</v>
      </c>
      <c r="H320" t="n">
        <v>0</v>
      </c>
      <c r="I320" t="n">
        <v>0</v>
      </c>
      <c r="J320" t="n">
        <v>0</v>
      </c>
      <c r="K320" t="n">
        <v>0</v>
      </c>
      <c r="L320" t="n">
        <v>0</v>
      </c>
      <c r="M320" t="n">
        <v>0</v>
      </c>
      <c r="N320" t="n">
        <v>0</v>
      </c>
      <c r="O320" t="n">
        <v>0</v>
      </c>
      <c r="P320" t="n">
        <v>0</v>
      </c>
      <c r="Q320" t="n">
        <v>0</v>
      </c>
      <c r="R320" s="2" t="inlineStr"/>
    </row>
    <row r="321" ht="15" customHeight="1">
      <c r="A321" t="inlineStr">
        <is>
          <t>A 45476-2025</t>
        </is>
      </c>
      <c r="B321" s="1" t="n">
        <v>45922.5191550926</v>
      </c>
      <c r="C321" s="1" t="n">
        <v>45976</v>
      </c>
      <c r="D321" t="inlineStr">
        <is>
          <t>NORRBOTTENS LÄN</t>
        </is>
      </c>
      <c r="E321" t="inlineStr">
        <is>
          <t>ARVIDSJAUR</t>
        </is>
      </c>
      <c r="F321" t="inlineStr">
        <is>
          <t>Sveaskog</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45561-2025</t>
        </is>
      </c>
      <c r="B322" s="1" t="n">
        <v>45922.64684027778</v>
      </c>
      <c r="C322" s="1" t="n">
        <v>45976</v>
      </c>
      <c r="D322" t="inlineStr">
        <is>
          <t>NORRBOTTENS LÄN</t>
        </is>
      </c>
      <c r="E322" t="inlineStr">
        <is>
          <t>ARVIDSJAUR</t>
        </is>
      </c>
      <c r="F322" t="inlineStr">
        <is>
          <t>Sveaskog</t>
        </is>
      </c>
      <c r="G322" t="n">
        <v>44.6</v>
      </c>
      <c r="H322" t="n">
        <v>0</v>
      </c>
      <c r="I322" t="n">
        <v>0</v>
      </c>
      <c r="J322" t="n">
        <v>0</v>
      </c>
      <c r="K322" t="n">
        <v>0</v>
      </c>
      <c r="L322" t="n">
        <v>0</v>
      </c>
      <c r="M322" t="n">
        <v>0</v>
      </c>
      <c r="N322" t="n">
        <v>0</v>
      </c>
      <c r="O322" t="n">
        <v>0</v>
      </c>
      <c r="P322" t="n">
        <v>0</v>
      </c>
      <c r="Q322" t="n">
        <v>0</v>
      </c>
      <c r="R322" s="2" t="inlineStr"/>
    </row>
    <row r="323" ht="15" customHeight="1">
      <c r="A323" t="inlineStr">
        <is>
          <t>A 54305-2025</t>
        </is>
      </c>
      <c r="B323" s="1" t="n">
        <v>45965.29879629629</v>
      </c>
      <c r="C323" s="1" t="n">
        <v>45976</v>
      </c>
      <c r="D323" t="inlineStr">
        <is>
          <t>NORRBOTTENS LÄN</t>
        </is>
      </c>
      <c r="E323" t="inlineStr">
        <is>
          <t>ARVIDSJAUR</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24184-2025</t>
        </is>
      </c>
      <c r="B324" s="1" t="n">
        <v>45796</v>
      </c>
      <c r="C324" s="1" t="n">
        <v>45976</v>
      </c>
      <c r="D324" t="inlineStr">
        <is>
          <t>NORRBOTTENS LÄN</t>
        </is>
      </c>
      <c r="E324" t="inlineStr">
        <is>
          <t>ARVIDSJAUR</t>
        </is>
      </c>
      <c r="G324" t="n">
        <v>0.9</v>
      </c>
      <c r="H324" t="n">
        <v>0</v>
      </c>
      <c r="I324" t="n">
        <v>0</v>
      </c>
      <c r="J324" t="n">
        <v>0</v>
      </c>
      <c r="K324" t="n">
        <v>0</v>
      </c>
      <c r="L324" t="n">
        <v>0</v>
      </c>
      <c r="M324" t="n">
        <v>0</v>
      </c>
      <c r="N324" t="n">
        <v>0</v>
      </c>
      <c r="O324" t="n">
        <v>0</v>
      </c>
      <c r="P324" t="n">
        <v>0</v>
      </c>
      <c r="Q324" t="n">
        <v>0</v>
      </c>
      <c r="R324" s="2" t="inlineStr"/>
    </row>
    <row r="325" ht="15" customHeight="1">
      <c r="A325" t="inlineStr">
        <is>
          <t>A 24923-2025</t>
        </is>
      </c>
      <c r="B325" s="1" t="n">
        <v>45799.55270833334</v>
      </c>
      <c r="C325" s="1" t="n">
        <v>45976</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54604-2025</t>
        </is>
      </c>
      <c r="B326" s="1" t="n">
        <v>45965.88976851852</v>
      </c>
      <c r="C326" s="1" t="n">
        <v>45976</v>
      </c>
      <c r="D326" t="inlineStr">
        <is>
          <t>NORRBOTTENS LÄN</t>
        </is>
      </c>
      <c r="E326" t="inlineStr">
        <is>
          <t>ARVIDSJAUR</t>
        </is>
      </c>
      <c r="G326" t="n">
        <v>1.2</v>
      </c>
      <c r="H326" t="n">
        <v>0</v>
      </c>
      <c r="I326" t="n">
        <v>0</v>
      </c>
      <c r="J326" t="n">
        <v>0</v>
      </c>
      <c r="K326" t="n">
        <v>0</v>
      </c>
      <c r="L326" t="n">
        <v>0</v>
      </c>
      <c r="M326" t="n">
        <v>0</v>
      </c>
      <c r="N326" t="n">
        <v>0</v>
      </c>
      <c r="O326" t="n">
        <v>0</v>
      </c>
      <c r="P326" t="n">
        <v>0</v>
      </c>
      <c r="Q326" t="n">
        <v>0</v>
      </c>
      <c r="R326" s="2" t="inlineStr"/>
    </row>
    <row r="327" ht="15" customHeight="1">
      <c r="A327" t="inlineStr">
        <is>
          <t>A 53978-2025</t>
        </is>
      </c>
      <c r="B327" s="1" t="n">
        <v>45961.55643518519</v>
      </c>
      <c r="C327" s="1" t="n">
        <v>45976</v>
      </c>
      <c r="D327" t="inlineStr">
        <is>
          <t>NORRBOTTENS LÄN</t>
        </is>
      </c>
      <c r="E327" t="inlineStr">
        <is>
          <t>ARVIDSJAUR</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54363-2025</t>
        </is>
      </c>
      <c r="B328" s="1" t="n">
        <v>45965.39699074074</v>
      </c>
      <c r="C328" s="1" t="n">
        <v>45976</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54098-2025</t>
        </is>
      </c>
      <c r="B329" s="1" t="n">
        <v>45964.41114583334</v>
      </c>
      <c r="C329" s="1" t="n">
        <v>45976</v>
      </c>
      <c r="D329" t="inlineStr">
        <is>
          <t>NORRBOTTENS LÄN</t>
        </is>
      </c>
      <c r="E329" t="inlineStr">
        <is>
          <t>ARVIDSJAUR</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54303-2025</t>
        </is>
      </c>
      <c r="B330" s="1" t="n">
        <v>45965.28409722223</v>
      </c>
      <c r="C330" s="1" t="n">
        <v>45976</v>
      </c>
      <c r="D330" t="inlineStr">
        <is>
          <t>NORRBOTTENS LÄN</t>
        </is>
      </c>
      <c r="E330" t="inlineStr">
        <is>
          <t>ARVIDSJAUR</t>
        </is>
      </c>
      <c r="F330" t="inlineStr">
        <is>
          <t>Sveaskog</t>
        </is>
      </c>
      <c r="G330" t="n">
        <v>14.5</v>
      </c>
      <c r="H330" t="n">
        <v>0</v>
      </c>
      <c r="I330" t="n">
        <v>0</v>
      </c>
      <c r="J330" t="n">
        <v>0</v>
      </c>
      <c r="K330" t="n">
        <v>0</v>
      </c>
      <c r="L330" t="n">
        <v>0</v>
      </c>
      <c r="M330" t="n">
        <v>0</v>
      </c>
      <c r="N330" t="n">
        <v>0</v>
      </c>
      <c r="O330" t="n">
        <v>0</v>
      </c>
      <c r="P330" t="n">
        <v>0</v>
      </c>
      <c r="Q330" t="n">
        <v>0</v>
      </c>
      <c r="R330" s="2" t="inlineStr"/>
    </row>
    <row r="331" ht="15" customHeight="1">
      <c r="A331" t="inlineStr">
        <is>
          <t>A 54304-2025</t>
        </is>
      </c>
      <c r="B331" s="1" t="n">
        <v>45965.29511574074</v>
      </c>
      <c r="C331" s="1" t="n">
        <v>45976</v>
      </c>
      <c r="D331" t="inlineStr">
        <is>
          <t>NORRBOTTENS LÄN</t>
        </is>
      </c>
      <c r="E331" t="inlineStr">
        <is>
          <t>ARVIDSJAUR</t>
        </is>
      </c>
      <c r="F331" t="inlineStr">
        <is>
          <t>Sveaskog</t>
        </is>
      </c>
      <c r="G331" t="n">
        <v>12.4</v>
      </c>
      <c r="H331" t="n">
        <v>0</v>
      </c>
      <c r="I331" t="n">
        <v>0</v>
      </c>
      <c r="J331" t="n">
        <v>0</v>
      </c>
      <c r="K331" t="n">
        <v>0</v>
      </c>
      <c r="L331" t="n">
        <v>0</v>
      </c>
      <c r="M331" t="n">
        <v>0</v>
      </c>
      <c r="N331" t="n">
        <v>0</v>
      </c>
      <c r="O331" t="n">
        <v>0</v>
      </c>
      <c r="P331" t="n">
        <v>0</v>
      </c>
      <c r="Q331" t="n">
        <v>0</v>
      </c>
      <c r="R331" s="2" t="inlineStr"/>
    </row>
    <row r="332" ht="15" customHeight="1">
      <c r="A332" t="inlineStr">
        <is>
          <t>A 24506-2025</t>
        </is>
      </c>
      <c r="B332" s="1" t="n">
        <v>45798</v>
      </c>
      <c r="C332" s="1" t="n">
        <v>45976</v>
      </c>
      <c r="D332" t="inlineStr">
        <is>
          <t>NORRBOTTENS LÄN</t>
        </is>
      </c>
      <c r="E332" t="inlineStr">
        <is>
          <t>ARVIDSJAUR</t>
        </is>
      </c>
      <c r="F332" t="inlineStr">
        <is>
          <t>Sveaskog</t>
        </is>
      </c>
      <c r="G332" t="n">
        <v>16.6</v>
      </c>
      <c r="H332" t="n">
        <v>0</v>
      </c>
      <c r="I332" t="n">
        <v>0</v>
      </c>
      <c r="J332" t="n">
        <v>0</v>
      </c>
      <c r="K332" t="n">
        <v>0</v>
      </c>
      <c r="L332" t="n">
        <v>0</v>
      </c>
      <c r="M332" t="n">
        <v>0</v>
      </c>
      <c r="N332" t="n">
        <v>0</v>
      </c>
      <c r="O332" t="n">
        <v>0</v>
      </c>
      <c r="P332" t="n">
        <v>0</v>
      </c>
      <c r="Q332" t="n">
        <v>0</v>
      </c>
      <c r="R332" s="2" t="inlineStr"/>
    </row>
    <row r="333" ht="15" customHeight="1">
      <c r="A333" t="inlineStr">
        <is>
          <t>A 46170-2025</t>
        </is>
      </c>
      <c r="B333" s="1" t="n">
        <v>45924.64552083334</v>
      </c>
      <c r="C333" s="1" t="n">
        <v>45976</v>
      </c>
      <c r="D333" t="inlineStr">
        <is>
          <t>NORRBOTTENS LÄN</t>
        </is>
      </c>
      <c r="E333" t="inlineStr">
        <is>
          <t>ARVIDSJAUR</t>
        </is>
      </c>
      <c r="F333" t="inlineStr">
        <is>
          <t>Övriga Aktiebolag</t>
        </is>
      </c>
      <c r="G333" t="n">
        <v>1.4</v>
      </c>
      <c r="H333" t="n">
        <v>0</v>
      </c>
      <c r="I333" t="n">
        <v>0</v>
      </c>
      <c r="J333" t="n">
        <v>0</v>
      </c>
      <c r="K333" t="n">
        <v>0</v>
      </c>
      <c r="L333" t="n">
        <v>0</v>
      </c>
      <c r="M333" t="n">
        <v>0</v>
      </c>
      <c r="N333" t="n">
        <v>0</v>
      </c>
      <c r="O333" t="n">
        <v>0</v>
      </c>
      <c r="P333" t="n">
        <v>0</v>
      </c>
      <c r="Q333" t="n">
        <v>0</v>
      </c>
      <c r="R333" s="2" t="inlineStr"/>
    </row>
    <row r="334" ht="15" customHeight="1">
      <c r="A334" t="inlineStr">
        <is>
          <t>A 54096-2025</t>
        </is>
      </c>
      <c r="B334" s="1" t="n">
        <v>45964.40795138889</v>
      </c>
      <c r="C334" s="1" t="n">
        <v>45976</v>
      </c>
      <c r="D334" t="inlineStr">
        <is>
          <t>NORRBOTTENS LÄN</t>
        </is>
      </c>
      <c r="E334" t="inlineStr">
        <is>
          <t>ARVIDSJAUR</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51403-2025</t>
        </is>
      </c>
      <c r="B335" s="1" t="n">
        <v>45950.48214120371</v>
      </c>
      <c r="C335" s="1" t="n">
        <v>45976</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51406-2025</t>
        </is>
      </c>
      <c r="B336" s="1" t="n">
        <v>45950.48436342592</v>
      </c>
      <c r="C336" s="1" t="n">
        <v>45976</v>
      </c>
      <c r="D336" t="inlineStr">
        <is>
          <t>NORRBOTTENS LÄN</t>
        </is>
      </c>
      <c r="E336" t="inlineStr">
        <is>
          <t>ARVIDSJAUR</t>
        </is>
      </c>
      <c r="G336" t="n">
        <v>1.2</v>
      </c>
      <c r="H336" t="n">
        <v>0</v>
      </c>
      <c r="I336" t="n">
        <v>0</v>
      </c>
      <c r="J336" t="n">
        <v>0</v>
      </c>
      <c r="K336" t="n">
        <v>0</v>
      </c>
      <c r="L336" t="n">
        <v>0</v>
      </c>
      <c r="M336" t="n">
        <v>0</v>
      </c>
      <c r="N336" t="n">
        <v>0</v>
      </c>
      <c r="O336" t="n">
        <v>0</v>
      </c>
      <c r="P336" t="n">
        <v>0</v>
      </c>
      <c r="Q336" t="n">
        <v>0</v>
      </c>
      <c r="R336" s="2" t="inlineStr"/>
    </row>
    <row r="337" ht="15" customHeight="1">
      <c r="A337" t="inlineStr">
        <is>
          <t>A 53971-2025</t>
        </is>
      </c>
      <c r="B337" s="1" t="n">
        <v>45961</v>
      </c>
      <c r="C337" s="1" t="n">
        <v>45976</v>
      </c>
      <c r="D337" t="inlineStr">
        <is>
          <t>NORRBOTTENS LÄN</t>
        </is>
      </c>
      <c r="E337" t="inlineStr">
        <is>
          <t>ARVIDSJAUR</t>
        </is>
      </c>
      <c r="F337" t="inlineStr">
        <is>
          <t>Sveaskog</t>
        </is>
      </c>
      <c r="G337" t="n">
        <v>13.1</v>
      </c>
      <c r="H337" t="n">
        <v>0</v>
      </c>
      <c r="I337" t="n">
        <v>0</v>
      </c>
      <c r="J337" t="n">
        <v>0</v>
      </c>
      <c r="K337" t="n">
        <v>0</v>
      </c>
      <c r="L337" t="n">
        <v>0</v>
      </c>
      <c r="M337" t="n">
        <v>0</v>
      </c>
      <c r="N337" t="n">
        <v>0</v>
      </c>
      <c r="O337" t="n">
        <v>0</v>
      </c>
      <c r="P337" t="n">
        <v>0</v>
      </c>
      <c r="Q337" t="n">
        <v>0</v>
      </c>
      <c r="R337" s="2" t="inlineStr"/>
    </row>
    <row r="338" ht="15" customHeight="1">
      <c r="A338" t="inlineStr">
        <is>
          <t>A 51345-2025</t>
        </is>
      </c>
      <c r="B338" s="1" t="n">
        <v>45950.4332175926</v>
      </c>
      <c r="C338" s="1" t="n">
        <v>45976</v>
      </c>
      <c r="D338" t="inlineStr">
        <is>
          <t>NORRBOTTENS LÄN</t>
        </is>
      </c>
      <c r="E338" t="inlineStr">
        <is>
          <t>ARVIDSJAUR</t>
        </is>
      </c>
      <c r="G338" t="n">
        <v>2.9</v>
      </c>
      <c r="H338" t="n">
        <v>0</v>
      </c>
      <c r="I338" t="n">
        <v>0</v>
      </c>
      <c r="J338" t="n">
        <v>0</v>
      </c>
      <c r="K338" t="n">
        <v>0</v>
      </c>
      <c r="L338" t="n">
        <v>0</v>
      </c>
      <c r="M338" t="n">
        <v>0</v>
      </c>
      <c r="N338" t="n">
        <v>0</v>
      </c>
      <c r="O338" t="n">
        <v>0</v>
      </c>
      <c r="P338" t="n">
        <v>0</v>
      </c>
      <c r="Q338" t="n">
        <v>0</v>
      </c>
      <c r="R338" s="2" t="inlineStr"/>
    </row>
    <row r="339" ht="15" customHeight="1">
      <c r="A339" t="inlineStr">
        <is>
          <t>A 51349-2025</t>
        </is>
      </c>
      <c r="B339" s="1" t="n">
        <v>45950.43512731481</v>
      </c>
      <c r="C339" s="1" t="n">
        <v>45976</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45984-2025</t>
        </is>
      </c>
      <c r="B340" s="1" t="n">
        <v>45924.38020833334</v>
      </c>
      <c r="C340" s="1" t="n">
        <v>45976</v>
      </c>
      <c r="D340" t="inlineStr">
        <is>
          <t>NORRBOTTENS LÄN</t>
        </is>
      </c>
      <c r="E340" t="inlineStr">
        <is>
          <t>ARVIDSJAUR</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54223-2025</t>
        </is>
      </c>
      <c r="B341" s="1" t="n">
        <v>45964.60665509259</v>
      </c>
      <c r="C341" s="1" t="n">
        <v>45976</v>
      </c>
      <c r="D341" t="inlineStr">
        <is>
          <t>NORRBOTTENS LÄN</t>
        </is>
      </c>
      <c r="E341" t="inlineStr">
        <is>
          <t>ARVIDSJAUR</t>
        </is>
      </c>
      <c r="G341" t="n">
        <v>0.5</v>
      </c>
      <c r="H341" t="n">
        <v>0</v>
      </c>
      <c r="I341" t="n">
        <v>0</v>
      </c>
      <c r="J341" t="n">
        <v>0</v>
      </c>
      <c r="K341" t="n">
        <v>0</v>
      </c>
      <c r="L341" t="n">
        <v>0</v>
      </c>
      <c r="M341" t="n">
        <v>0</v>
      </c>
      <c r="N341" t="n">
        <v>0</v>
      </c>
      <c r="O341" t="n">
        <v>0</v>
      </c>
      <c r="P341" t="n">
        <v>0</v>
      </c>
      <c r="Q341" t="n">
        <v>0</v>
      </c>
      <c r="R341" s="2" t="inlineStr"/>
    </row>
    <row r="342" ht="15" customHeight="1">
      <c r="A342" t="inlineStr">
        <is>
          <t>A 54362-2025</t>
        </is>
      </c>
      <c r="B342" s="1" t="n">
        <v>45965</v>
      </c>
      <c r="C342" s="1" t="n">
        <v>45976</v>
      </c>
      <c r="D342" t="inlineStr">
        <is>
          <t>NORRBOTTENS LÄN</t>
        </is>
      </c>
      <c r="E342" t="inlineStr">
        <is>
          <t>ARVIDSJAUR</t>
        </is>
      </c>
      <c r="G342" t="n">
        <v>0.8</v>
      </c>
      <c r="H342" t="n">
        <v>0</v>
      </c>
      <c r="I342" t="n">
        <v>0</v>
      </c>
      <c r="J342" t="n">
        <v>0</v>
      </c>
      <c r="K342" t="n">
        <v>0</v>
      </c>
      <c r="L342" t="n">
        <v>0</v>
      </c>
      <c r="M342" t="n">
        <v>0</v>
      </c>
      <c r="N342" t="n">
        <v>0</v>
      </c>
      <c r="O342" t="n">
        <v>0</v>
      </c>
      <c r="P342" t="n">
        <v>0</v>
      </c>
      <c r="Q342" t="n">
        <v>0</v>
      </c>
      <c r="R342" s="2" t="inlineStr"/>
    </row>
    <row r="343" ht="15" customHeight="1">
      <c r="A343" t="inlineStr">
        <is>
          <t>A 40836-2021</t>
        </is>
      </c>
      <c r="B343" s="1" t="n">
        <v>44421</v>
      </c>
      <c r="C343" s="1" t="n">
        <v>45976</v>
      </c>
      <c r="D343" t="inlineStr">
        <is>
          <t>NORRBOTTENS LÄN</t>
        </is>
      </c>
      <c r="E343" t="inlineStr">
        <is>
          <t>ARVIDSJAUR</t>
        </is>
      </c>
      <c r="G343" t="n">
        <v>1.5</v>
      </c>
      <c r="H343" t="n">
        <v>0</v>
      </c>
      <c r="I343" t="n">
        <v>0</v>
      </c>
      <c r="J343" t="n">
        <v>0</v>
      </c>
      <c r="K343" t="n">
        <v>0</v>
      </c>
      <c r="L343" t="n">
        <v>0</v>
      </c>
      <c r="M343" t="n">
        <v>0</v>
      </c>
      <c r="N343" t="n">
        <v>0</v>
      </c>
      <c r="O343" t="n">
        <v>0</v>
      </c>
      <c r="P343" t="n">
        <v>0</v>
      </c>
      <c r="Q343" t="n">
        <v>0</v>
      </c>
      <c r="R343" s="2" t="inlineStr"/>
    </row>
    <row r="344" ht="15" customHeight="1">
      <c r="A344" t="inlineStr">
        <is>
          <t>A 24922-2025</t>
        </is>
      </c>
      <c r="B344" s="1" t="n">
        <v>45799.55261574074</v>
      </c>
      <c r="C344" s="1" t="n">
        <v>45976</v>
      </c>
      <c r="D344" t="inlineStr">
        <is>
          <t>NORRBOTTENS LÄN</t>
        </is>
      </c>
      <c r="E344" t="inlineStr">
        <is>
          <t>ARVIDSJAUR</t>
        </is>
      </c>
      <c r="G344" t="n">
        <v>3.2</v>
      </c>
      <c r="H344" t="n">
        <v>0</v>
      </c>
      <c r="I344" t="n">
        <v>0</v>
      </c>
      <c r="J344" t="n">
        <v>0</v>
      </c>
      <c r="K344" t="n">
        <v>0</v>
      </c>
      <c r="L344" t="n">
        <v>0</v>
      </c>
      <c r="M344" t="n">
        <v>0</v>
      </c>
      <c r="N344" t="n">
        <v>0</v>
      </c>
      <c r="O344" t="n">
        <v>0</v>
      </c>
      <c r="P344" t="n">
        <v>0</v>
      </c>
      <c r="Q344" t="n">
        <v>0</v>
      </c>
      <c r="R344" s="2" t="inlineStr"/>
    </row>
    <row r="345" ht="15" customHeight="1">
      <c r="A345" t="inlineStr">
        <is>
          <t>A 51353-2025</t>
        </is>
      </c>
      <c r="B345" s="1" t="n">
        <v>45950.43695601852</v>
      </c>
      <c r="C345" s="1" t="n">
        <v>45976</v>
      </c>
      <c r="D345" t="inlineStr">
        <is>
          <t>NORRBOTTENS LÄN</t>
        </is>
      </c>
      <c r="E345" t="inlineStr">
        <is>
          <t>ARVIDSJAUR</t>
        </is>
      </c>
      <c r="G345" t="n">
        <v>2.1</v>
      </c>
      <c r="H345" t="n">
        <v>0</v>
      </c>
      <c r="I345" t="n">
        <v>0</v>
      </c>
      <c r="J345" t="n">
        <v>0</v>
      </c>
      <c r="K345" t="n">
        <v>0</v>
      </c>
      <c r="L345" t="n">
        <v>0</v>
      </c>
      <c r="M345" t="n">
        <v>0</v>
      </c>
      <c r="N345" t="n">
        <v>0</v>
      </c>
      <c r="O345" t="n">
        <v>0</v>
      </c>
      <c r="P345" t="n">
        <v>0</v>
      </c>
      <c r="Q345" t="n">
        <v>0</v>
      </c>
      <c r="R345" s="2" t="inlineStr"/>
    </row>
    <row r="346" ht="15" customHeight="1">
      <c r="A346" t="inlineStr">
        <is>
          <t>A 2773-2025</t>
        </is>
      </c>
      <c r="B346" s="1" t="n">
        <v>45677.51043981482</v>
      </c>
      <c r="C346" s="1" t="n">
        <v>45976</v>
      </c>
      <c r="D346" t="inlineStr">
        <is>
          <t>NORRBOTTENS LÄN</t>
        </is>
      </c>
      <c r="E346" t="inlineStr">
        <is>
          <t>ARVIDSJAUR</t>
        </is>
      </c>
      <c r="G346" t="n">
        <v>2.8</v>
      </c>
      <c r="H346" t="n">
        <v>0</v>
      </c>
      <c r="I346" t="n">
        <v>0</v>
      </c>
      <c r="J346" t="n">
        <v>0</v>
      </c>
      <c r="K346" t="n">
        <v>0</v>
      </c>
      <c r="L346" t="n">
        <v>0</v>
      </c>
      <c r="M346" t="n">
        <v>0</v>
      </c>
      <c r="N346" t="n">
        <v>0</v>
      </c>
      <c r="O346" t="n">
        <v>0</v>
      </c>
      <c r="P346" t="n">
        <v>0</v>
      </c>
      <c r="Q346" t="n">
        <v>0</v>
      </c>
      <c r="R346" s="2" t="inlineStr"/>
    </row>
    <row r="347" ht="15" customHeight="1">
      <c r="A347" t="inlineStr">
        <is>
          <t>A 52448-2025</t>
        </is>
      </c>
      <c r="B347" s="1" t="n">
        <v>45954.41857638889</v>
      </c>
      <c r="C347" s="1" t="n">
        <v>45976</v>
      </c>
      <c r="D347" t="inlineStr">
        <is>
          <t>NORRBOTTENS LÄN</t>
        </is>
      </c>
      <c r="E347" t="inlineStr">
        <is>
          <t>ARVIDSJAUR</t>
        </is>
      </c>
      <c r="F347" t="inlineStr">
        <is>
          <t>Sveaskog</t>
        </is>
      </c>
      <c r="G347" t="n">
        <v>18.6</v>
      </c>
      <c r="H347" t="n">
        <v>0</v>
      </c>
      <c r="I347" t="n">
        <v>0</v>
      </c>
      <c r="J347" t="n">
        <v>0</v>
      </c>
      <c r="K347" t="n">
        <v>0</v>
      </c>
      <c r="L347" t="n">
        <v>0</v>
      </c>
      <c r="M347" t="n">
        <v>0</v>
      </c>
      <c r="N347" t="n">
        <v>0</v>
      </c>
      <c r="O347" t="n">
        <v>0</v>
      </c>
      <c r="P347" t="n">
        <v>0</v>
      </c>
      <c r="Q347" t="n">
        <v>0</v>
      </c>
      <c r="R347" s="2" t="inlineStr"/>
    </row>
    <row r="348" ht="15" customHeight="1">
      <c r="A348" t="inlineStr">
        <is>
          <t>A 51401-2025</t>
        </is>
      </c>
      <c r="B348" s="1" t="n">
        <v>45950.48019675926</v>
      </c>
      <c r="C348" s="1" t="n">
        <v>45976</v>
      </c>
      <c r="D348" t="inlineStr">
        <is>
          <t>NORRBOTTENS LÄN</t>
        </is>
      </c>
      <c r="E348" t="inlineStr">
        <is>
          <t>ARVIDSJAUR</t>
        </is>
      </c>
      <c r="G348" t="n">
        <v>6.8</v>
      </c>
      <c r="H348" t="n">
        <v>0</v>
      </c>
      <c r="I348" t="n">
        <v>0</v>
      </c>
      <c r="J348" t="n">
        <v>0</v>
      </c>
      <c r="K348" t="n">
        <v>0</v>
      </c>
      <c r="L348" t="n">
        <v>0</v>
      </c>
      <c r="M348" t="n">
        <v>0</v>
      </c>
      <c r="N348" t="n">
        <v>0</v>
      </c>
      <c r="O348" t="n">
        <v>0</v>
      </c>
      <c r="P348" t="n">
        <v>0</v>
      </c>
      <c r="Q348" t="n">
        <v>0</v>
      </c>
      <c r="R348" s="2" t="inlineStr"/>
    </row>
    <row r="349" ht="15" customHeight="1">
      <c r="A349" t="inlineStr">
        <is>
          <t>A 48614-2024</t>
        </is>
      </c>
      <c r="B349" s="1" t="n">
        <v>45593</v>
      </c>
      <c r="C349" s="1" t="n">
        <v>45976</v>
      </c>
      <c r="D349" t="inlineStr">
        <is>
          <t>NORRBOTTENS LÄN</t>
        </is>
      </c>
      <c r="E349" t="inlineStr">
        <is>
          <t>ARVIDSJAUR</t>
        </is>
      </c>
      <c r="G349" t="n">
        <v>13.4</v>
      </c>
      <c r="H349" t="n">
        <v>0</v>
      </c>
      <c r="I349" t="n">
        <v>0</v>
      </c>
      <c r="J349" t="n">
        <v>0</v>
      </c>
      <c r="K349" t="n">
        <v>0</v>
      </c>
      <c r="L349" t="n">
        <v>0</v>
      </c>
      <c r="M349" t="n">
        <v>0</v>
      </c>
      <c r="N349" t="n">
        <v>0</v>
      </c>
      <c r="O349" t="n">
        <v>0</v>
      </c>
      <c r="P349" t="n">
        <v>0</v>
      </c>
      <c r="Q349" t="n">
        <v>0</v>
      </c>
      <c r="R349" s="2" t="inlineStr"/>
    </row>
    <row r="350" ht="15" customHeight="1">
      <c r="A350" t="inlineStr">
        <is>
          <t>A 54355-2025</t>
        </is>
      </c>
      <c r="B350" s="1" t="n">
        <v>45964</v>
      </c>
      <c r="C350" s="1" t="n">
        <v>45976</v>
      </c>
      <c r="D350" t="inlineStr">
        <is>
          <t>NORRBOTTENS LÄN</t>
        </is>
      </c>
      <c r="E350" t="inlineStr">
        <is>
          <t>ARVIDSJAUR</t>
        </is>
      </c>
      <c r="G350" t="n">
        <v>3.9</v>
      </c>
      <c r="H350" t="n">
        <v>0</v>
      </c>
      <c r="I350" t="n">
        <v>0</v>
      </c>
      <c r="J350" t="n">
        <v>0</v>
      </c>
      <c r="K350" t="n">
        <v>0</v>
      </c>
      <c r="L350" t="n">
        <v>0</v>
      </c>
      <c r="M350" t="n">
        <v>0</v>
      </c>
      <c r="N350" t="n">
        <v>0</v>
      </c>
      <c r="O350" t="n">
        <v>0</v>
      </c>
      <c r="P350" t="n">
        <v>0</v>
      </c>
      <c r="Q350" t="n">
        <v>0</v>
      </c>
      <c r="R350" s="2" t="inlineStr"/>
    </row>
    <row r="351" ht="15" customHeight="1">
      <c r="A351" t="inlineStr">
        <is>
          <t>A 54360-2025</t>
        </is>
      </c>
      <c r="B351" s="1" t="n">
        <v>45965</v>
      </c>
      <c r="C351" s="1" t="n">
        <v>45976</v>
      </c>
      <c r="D351" t="inlineStr">
        <is>
          <t>NORRBOTTENS LÄN</t>
        </is>
      </c>
      <c r="E351" t="inlineStr">
        <is>
          <t>ARVIDSJAUR</t>
        </is>
      </c>
      <c r="G351" t="n">
        <v>1.2</v>
      </c>
      <c r="H351" t="n">
        <v>0</v>
      </c>
      <c r="I351" t="n">
        <v>0</v>
      </c>
      <c r="J351" t="n">
        <v>0</v>
      </c>
      <c r="K351" t="n">
        <v>0</v>
      </c>
      <c r="L351" t="n">
        <v>0</v>
      </c>
      <c r="M351" t="n">
        <v>0</v>
      </c>
      <c r="N351" t="n">
        <v>0</v>
      </c>
      <c r="O351" t="n">
        <v>0</v>
      </c>
      <c r="P351" t="n">
        <v>0</v>
      </c>
      <c r="Q351" t="n">
        <v>0</v>
      </c>
      <c r="R351" s="2" t="inlineStr"/>
    </row>
    <row r="352" ht="15" customHeight="1">
      <c r="A352" t="inlineStr">
        <is>
          <t>A 46903-2025</t>
        </is>
      </c>
      <c r="B352" s="1" t="n">
        <v>45929.39351851852</v>
      </c>
      <c r="C352" s="1" t="n">
        <v>45976</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25395-2022</t>
        </is>
      </c>
      <c r="B353" s="1" t="n">
        <v>44732</v>
      </c>
      <c r="C353" s="1" t="n">
        <v>45976</v>
      </c>
      <c r="D353" t="inlineStr">
        <is>
          <t>NORRBOTTENS LÄN</t>
        </is>
      </c>
      <c r="E353" t="inlineStr">
        <is>
          <t>ARVIDSJAUR</t>
        </is>
      </c>
      <c r="G353" t="n">
        <v>6</v>
      </c>
      <c r="H353" t="n">
        <v>0</v>
      </c>
      <c r="I353" t="n">
        <v>0</v>
      </c>
      <c r="J353" t="n">
        <v>0</v>
      </c>
      <c r="K353" t="n">
        <v>0</v>
      </c>
      <c r="L353" t="n">
        <v>0</v>
      </c>
      <c r="M353" t="n">
        <v>0</v>
      </c>
      <c r="N353" t="n">
        <v>0</v>
      </c>
      <c r="O353" t="n">
        <v>0</v>
      </c>
      <c r="P353" t="n">
        <v>0</v>
      </c>
      <c r="Q353" t="n">
        <v>0</v>
      </c>
      <c r="R353" s="2" t="inlineStr"/>
    </row>
    <row r="354" ht="15" customHeight="1">
      <c r="A354" t="inlineStr">
        <is>
          <t>A 46181-2021</t>
        </is>
      </c>
      <c r="B354" s="1" t="n">
        <v>44441</v>
      </c>
      <c r="C354" s="1" t="n">
        <v>45976</v>
      </c>
      <c r="D354" t="inlineStr">
        <is>
          <t>NORRBOTTENS LÄN</t>
        </is>
      </c>
      <c r="E354" t="inlineStr">
        <is>
          <t>ARVIDSJAUR</t>
        </is>
      </c>
      <c r="G354" t="n">
        <v>6.5</v>
      </c>
      <c r="H354" t="n">
        <v>0</v>
      </c>
      <c r="I354" t="n">
        <v>0</v>
      </c>
      <c r="J354" t="n">
        <v>0</v>
      </c>
      <c r="K354" t="n">
        <v>0</v>
      </c>
      <c r="L354" t="n">
        <v>0</v>
      </c>
      <c r="M354" t="n">
        <v>0</v>
      </c>
      <c r="N354" t="n">
        <v>0</v>
      </c>
      <c r="O354" t="n">
        <v>0</v>
      </c>
      <c r="P354" t="n">
        <v>0</v>
      </c>
      <c r="Q354" t="n">
        <v>0</v>
      </c>
      <c r="R354" s="2" t="inlineStr"/>
    </row>
    <row r="355" ht="15" customHeight="1">
      <c r="A355" t="inlineStr">
        <is>
          <t>A 26218-2025</t>
        </is>
      </c>
      <c r="B355" s="1" t="n">
        <v>45805.54811342592</v>
      </c>
      <c r="C355" s="1" t="n">
        <v>45976</v>
      </c>
      <c r="D355" t="inlineStr">
        <is>
          <t>NORRBOTTENS LÄN</t>
        </is>
      </c>
      <c r="E355" t="inlineStr">
        <is>
          <t>ARVIDSJAUR</t>
        </is>
      </c>
      <c r="F355" t="inlineStr">
        <is>
          <t>Sveaskog</t>
        </is>
      </c>
      <c r="G355" t="n">
        <v>6.6</v>
      </c>
      <c r="H355" t="n">
        <v>0</v>
      </c>
      <c r="I355" t="n">
        <v>0</v>
      </c>
      <c r="J355" t="n">
        <v>0</v>
      </c>
      <c r="K355" t="n">
        <v>0</v>
      </c>
      <c r="L355" t="n">
        <v>0</v>
      </c>
      <c r="M355" t="n">
        <v>0</v>
      </c>
      <c r="N355" t="n">
        <v>0</v>
      </c>
      <c r="O355" t="n">
        <v>0</v>
      </c>
      <c r="P355" t="n">
        <v>0</v>
      </c>
      <c r="Q355" t="n">
        <v>0</v>
      </c>
      <c r="R355" s="2" t="inlineStr"/>
    </row>
    <row r="356" ht="15" customHeight="1">
      <c r="A356" t="inlineStr">
        <is>
          <t>A 20403-2022</t>
        </is>
      </c>
      <c r="B356" s="1" t="n">
        <v>44699</v>
      </c>
      <c r="C356" s="1" t="n">
        <v>45976</v>
      </c>
      <c r="D356" t="inlineStr">
        <is>
          <t>NORRBOTTENS LÄN</t>
        </is>
      </c>
      <c r="E356" t="inlineStr">
        <is>
          <t>ARVIDSJAUR</t>
        </is>
      </c>
      <c r="G356" t="n">
        <v>1.7</v>
      </c>
      <c r="H356" t="n">
        <v>0</v>
      </c>
      <c r="I356" t="n">
        <v>0</v>
      </c>
      <c r="J356" t="n">
        <v>0</v>
      </c>
      <c r="K356" t="n">
        <v>0</v>
      </c>
      <c r="L356" t="n">
        <v>0</v>
      </c>
      <c r="M356" t="n">
        <v>0</v>
      </c>
      <c r="N356" t="n">
        <v>0</v>
      </c>
      <c r="O356" t="n">
        <v>0</v>
      </c>
      <c r="P356" t="n">
        <v>0</v>
      </c>
      <c r="Q356" t="n">
        <v>0</v>
      </c>
      <c r="R356" s="2" t="inlineStr"/>
    </row>
    <row r="357" ht="15" customHeight="1">
      <c r="A357" t="inlineStr">
        <is>
          <t>A 36417-2022</t>
        </is>
      </c>
      <c r="B357" s="1" t="n">
        <v>44804</v>
      </c>
      <c r="C357" s="1" t="n">
        <v>45976</v>
      </c>
      <c r="D357" t="inlineStr">
        <is>
          <t>NORRBOTTENS LÄN</t>
        </is>
      </c>
      <c r="E357" t="inlineStr">
        <is>
          <t>ARVIDSJAUR</t>
        </is>
      </c>
      <c r="G357" t="n">
        <v>1.7</v>
      </c>
      <c r="H357" t="n">
        <v>0</v>
      </c>
      <c r="I357" t="n">
        <v>0</v>
      </c>
      <c r="J357" t="n">
        <v>0</v>
      </c>
      <c r="K357" t="n">
        <v>0</v>
      </c>
      <c r="L357" t="n">
        <v>0</v>
      </c>
      <c r="M357" t="n">
        <v>0</v>
      </c>
      <c r="N357" t="n">
        <v>0</v>
      </c>
      <c r="O357" t="n">
        <v>0</v>
      </c>
      <c r="P357" t="n">
        <v>0</v>
      </c>
      <c r="Q357" t="n">
        <v>0</v>
      </c>
      <c r="R357" s="2" t="inlineStr"/>
    </row>
    <row r="358" ht="15" customHeight="1">
      <c r="A358" t="inlineStr">
        <is>
          <t>A 3165-2024</t>
        </is>
      </c>
      <c r="B358" s="1" t="n">
        <v>45316</v>
      </c>
      <c r="C358" s="1" t="n">
        <v>45976</v>
      </c>
      <c r="D358" t="inlineStr">
        <is>
          <t>NORRBOTTENS LÄN</t>
        </is>
      </c>
      <c r="E358" t="inlineStr">
        <is>
          <t>ARVIDSJAUR</t>
        </is>
      </c>
      <c r="F358" t="inlineStr">
        <is>
          <t>Allmännings- och besparingsskogar</t>
        </is>
      </c>
      <c r="G358" t="n">
        <v>6.9</v>
      </c>
      <c r="H358" t="n">
        <v>0</v>
      </c>
      <c r="I358" t="n">
        <v>0</v>
      </c>
      <c r="J358" t="n">
        <v>0</v>
      </c>
      <c r="K358" t="n">
        <v>0</v>
      </c>
      <c r="L358" t="n">
        <v>0</v>
      </c>
      <c r="M358" t="n">
        <v>0</v>
      </c>
      <c r="N358" t="n">
        <v>0</v>
      </c>
      <c r="O358" t="n">
        <v>0</v>
      </c>
      <c r="P358" t="n">
        <v>0</v>
      </c>
      <c r="Q358" t="n">
        <v>0</v>
      </c>
      <c r="R358" s="2" t="inlineStr"/>
    </row>
    <row r="359" ht="15" customHeight="1">
      <c r="A359" t="inlineStr">
        <is>
          <t>A 26217-2025</t>
        </is>
      </c>
      <c r="B359" s="1" t="n">
        <v>45805.54646990741</v>
      </c>
      <c r="C359" s="1" t="n">
        <v>45976</v>
      </c>
      <c r="D359" t="inlineStr">
        <is>
          <t>NORRBOTTENS LÄN</t>
        </is>
      </c>
      <c r="E359" t="inlineStr">
        <is>
          <t>ARVIDSJAUR</t>
        </is>
      </c>
      <c r="F359" t="inlineStr">
        <is>
          <t>Sveaskog</t>
        </is>
      </c>
      <c r="G359" t="n">
        <v>9.5</v>
      </c>
      <c r="H359" t="n">
        <v>0</v>
      </c>
      <c r="I359" t="n">
        <v>0</v>
      </c>
      <c r="J359" t="n">
        <v>0</v>
      </c>
      <c r="K359" t="n">
        <v>0</v>
      </c>
      <c r="L359" t="n">
        <v>0</v>
      </c>
      <c r="M359" t="n">
        <v>0</v>
      </c>
      <c r="N359" t="n">
        <v>0</v>
      </c>
      <c r="O359" t="n">
        <v>0</v>
      </c>
      <c r="P359" t="n">
        <v>0</v>
      </c>
      <c r="Q359" t="n">
        <v>0</v>
      </c>
      <c r="R359" s="2" t="inlineStr"/>
    </row>
    <row r="360" ht="15" customHeight="1">
      <c r="A360" t="inlineStr">
        <is>
          <t>A 48363-2024</t>
        </is>
      </c>
      <c r="B360" s="1" t="n">
        <v>45590.57452546297</v>
      </c>
      <c r="C360" s="1" t="n">
        <v>45976</v>
      </c>
      <c r="D360" t="inlineStr">
        <is>
          <t>NORRBOTTENS LÄN</t>
        </is>
      </c>
      <c r="E360" t="inlineStr">
        <is>
          <t>ARVIDSJAUR</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23580-2021</t>
        </is>
      </c>
      <c r="B361" s="1" t="n">
        <v>44334</v>
      </c>
      <c r="C361" s="1" t="n">
        <v>45976</v>
      </c>
      <c r="D361" t="inlineStr">
        <is>
          <t>NORRBOTTENS LÄN</t>
        </is>
      </c>
      <c r="E361" t="inlineStr">
        <is>
          <t>ARVIDSJAUR</t>
        </is>
      </c>
      <c r="G361" t="n">
        <v>0.7</v>
      </c>
      <c r="H361" t="n">
        <v>0</v>
      </c>
      <c r="I361" t="n">
        <v>0</v>
      </c>
      <c r="J361" t="n">
        <v>0</v>
      </c>
      <c r="K361" t="n">
        <v>0</v>
      </c>
      <c r="L361" t="n">
        <v>0</v>
      </c>
      <c r="M361" t="n">
        <v>0</v>
      </c>
      <c r="N361" t="n">
        <v>0</v>
      </c>
      <c r="O361" t="n">
        <v>0</v>
      </c>
      <c r="P361" t="n">
        <v>0</v>
      </c>
      <c r="Q361" t="n">
        <v>0</v>
      </c>
      <c r="R361" s="2" t="inlineStr"/>
    </row>
    <row r="362" ht="15" customHeight="1">
      <c r="A362" t="inlineStr">
        <is>
          <t>A 47106-2025</t>
        </is>
      </c>
      <c r="B362" s="1" t="n">
        <v>45929</v>
      </c>
      <c r="C362" s="1" t="n">
        <v>45976</v>
      </c>
      <c r="D362" t="inlineStr">
        <is>
          <t>NORRBOTTENS LÄN</t>
        </is>
      </c>
      <c r="E362" t="inlineStr">
        <is>
          <t>ARVIDSJAUR</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26211-2025</t>
        </is>
      </c>
      <c r="B363" s="1" t="n">
        <v>45805.54035879629</v>
      </c>
      <c r="C363" s="1" t="n">
        <v>45976</v>
      </c>
      <c r="D363" t="inlineStr">
        <is>
          <t>NORRBOTTENS LÄN</t>
        </is>
      </c>
      <c r="E363" t="inlineStr">
        <is>
          <t>ARVIDSJAUR</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40500-2022</t>
        </is>
      </c>
      <c r="B364" s="1" t="n">
        <v>44819</v>
      </c>
      <c r="C364" s="1" t="n">
        <v>45976</v>
      </c>
      <c r="D364" t="inlineStr">
        <is>
          <t>NORRBOTTENS LÄN</t>
        </is>
      </c>
      <c r="E364" t="inlineStr">
        <is>
          <t>ARVIDSJAUR</t>
        </is>
      </c>
      <c r="F364" t="inlineStr">
        <is>
          <t>Allmännings- och besparingsskogar</t>
        </is>
      </c>
      <c r="G364" t="n">
        <v>3.5</v>
      </c>
      <c r="H364" t="n">
        <v>0</v>
      </c>
      <c r="I364" t="n">
        <v>0</v>
      </c>
      <c r="J364" t="n">
        <v>0</v>
      </c>
      <c r="K364" t="n">
        <v>0</v>
      </c>
      <c r="L364" t="n">
        <v>0</v>
      </c>
      <c r="M364" t="n">
        <v>0</v>
      </c>
      <c r="N364" t="n">
        <v>0</v>
      </c>
      <c r="O364" t="n">
        <v>0</v>
      </c>
      <c r="P364" t="n">
        <v>0</v>
      </c>
      <c r="Q364" t="n">
        <v>0</v>
      </c>
      <c r="R364" s="2" t="inlineStr"/>
    </row>
    <row r="365" ht="15" customHeight="1">
      <c r="A365" t="inlineStr">
        <is>
          <t>A 26213-2025</t>
        </is>
      </c>
      <c r="B365" s="1" t="n">
        <v>45805.54270833333</v>
      </c>
      <c r="C365" s="1" t="n">
        <v>45976</v>
      </c>
      <c r="D365" t="inlineStr">
        <is>
          <t>NORRBOTTENS LÄN</t>
        </is>
      </c>
      <c r="E365" t="inlineStr">
        <is>
          <t>ARVIDSJAUR</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26214-2025</t>
        </is>
      </c>
      <c r="B366" s="1" t="n">
        <v>45805.54394675926</v>
      </c>
      <c r="C366" s="1" t="n">
        <v>45976</v>
      </c>
      <c r="D366" t="inlineStr">
        <is>
          <t>NORRBOTTENS LÄN</t>
        </is>
      </c>
      <c r="E366" t="inlineStr">
        <is>
          <t>ARVIDSJAUR</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48364-2024</t>
        </is>
      </c>
      <c r="B367" s="1" t="n">
        <v>45590.57606481481</v>
      </c>
      <c r="C367" s="1" t="n">
        <v>45976</v>
      </c>
      <c r="D367" t="inlineStr">
        <is>
          <t>NORRBOTTENS LÄN</t>
        </is>
      </c>
      <c r="E367" t="inlineStr">
        <is>
          <t>ARVIDSJAUR</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40937-2024</t>
        </is>
      </c>
      <c r="B368" s="1" t="n">
        <v>45558.6424537037</v>
      </c>
      <c r="C368" s="1" t="n">
        <v>45976</v>
      </c>
      <c r="D368" t="inlineStr">
        <is>
          <t>NORRBOTTENS LÄN</t>
        </is>
      </c>
      <c r="E368" t="inlineStr">
        <is>
          <t>ARVIDSJAUR</t>
        </is>
      </c>
      <c r="F368" t="inlineStr">
        <is>
          <t>Sveaskog</t>
        </is>
      </c>
      <c r="G368" t="n">
        <v>22.6</v>
      </c>
      <c r="H368" t="n">
        <v>0</v>
      </c>
      <c r="I368" t="n">
        <v>0</v>
      </c>
      <c r="J368" t="n">
        <v>0</v>
      </c>
      <c r="K368" t="n">
        <v>0</v>
      </c>
      <c r="L368" t="n">
        <v>0</v>
      </c>
      <c r="M368" t="n">
        <v>0</v>
      </c>
      <c r="N368" t="n">
        <v>0</v>
      </c>
      <c r="O368" t="n">
        <v>0</v>
      </c>
      <c r="P368" t="n">
        <v>0</v>
      </c>
      <c r="Q368" t="n">
        <v>0</v>
      </c>
      <c r="R368" s="2" t="inlineStr"/>
    </row>
    <row r="369" ht="15" customHeight="1">
      <c r="A369" t="inlineStr">
        <is>
          <t>A 53510-2025</t>
        </is>
      </c>
      <c r="B369" s="1" t="n">
        <v>45960</v>
      </c>
      <c r="C369" s="1" t="n">
        <v>45976</v>
      </c>
      <c r="D369" t="inlineStr">
        <is>
          <t>NORRBOTTENS LÄN</t>
        </is>
      </c>
      <c r="E369" t="inlineStr">
        <is>
          <t>ARVIDSJAUR</t>
        </is>
      </c>
      <c r="G369" t="n">
        <v>0.6</v>
      </c>
      <c r="H369" t="n">
        <v>0</v>
      </c>
      <c r="I369" t="n">
        <v>0</v>
      </c>
      <c r="J369" t="n">
        <v>0</v>
      </c>
      <c r="K369" t="n">
        <v>0</v>
      </c>
      <c r="L369" t="n">
        <v>0</v>
      </c>
      <c r="M369" t="n">
        <v>0</v>
      </c>
      <c r="N369" t="n">
        <v>0</v>
      </c>
      <c r="O369" t="n">
        <v>0</v>
      </c>
      <c r="P369" t="n">
        <v>0</v>
      </c>
      <c r="Q369" t="n">
        <v>0</v>
      </c>
      <c r="R369" s="2" t="inlineStr"/>
    </row>
    <row r="370" ht="15" customHeight="1">
      <c r="A370" t="inlineStr">
        <is>
          <t>A 50607-2024</t>
        </is>
      </c>
      <c r="B370" s="1" t="n">
        <v>45601</v>
      </c>
      <c r="C370" s="1" t="n">
        <v>45976</v>
      </c>
      <c r="D370" t="inlineStr">
        <is>
          <t>NORRBOTTENS LÄN</t>
        </is>
      </c>
      <c r="E370" t="inlineStr">
        <is>
          <t>ARVIDSJAUR</t>
        </is>
      </c>
      <c r="G370" t="n">
        <v>10</v>
      </c>
      <c r="H370" t="n">
        <v>0</v>
      </c>
      <c r="I370" t="n">
        <v>0</v>
      </c>
      <c r="J370" t="n">
        <v>0</v>
      </c>
      <c r="K370" t="n">
        <v>0</v>
      </c>
      <c r="L370" t="n">
        <v>0</v>
      </c>
      <c r="M370" t="n">
        <v>0</v>
      </c>
      <c r="N370" t="n">
        <v>0</v>
      </c>
      <c r="O370" t="n">
        <v>0</v>
      </c>
      <c r="P370" t="n">
        <v>0</v>
      </c>
      <c r="Q370" t="n">
        <v>0</v>
      </c>
      <c r="R370" s="2" t="inlineStr"/>
    </row>
    <row r="371" ht="15" customHeight="1">
      <c r="A371" t="inlineStr">
        <is>
          <t>A 47039-2025</t>
        </is>
      </c>
      <c r="B371" s="1" t="n">
        <v>45929</v>
      </c>
      <c r="C371" s="1" t="n">
        <v>45976</v>
      </c>
      <c r="D371" t="inlineStr">
        <is>
          <t>NORRBOTTENS LÄN</t>
        </is>
      </c>
      <c r="E371" t="inlineStr">
        <is>
          <t>ARVIDSJAUR</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52948-2025</t>
        </is>
      </c>
      <c r="B372" s="1" t="n">
        <v>45957</v>
      </c>
      <c r="C372" s="1" t="n">
        <v>45976</v>
      </c>
      <c r="D372" t="inlineStr">
        <is>
          <t>NORRBOTTENS LÄN</t>
        </is>
      </c>
      <c r="E372" t="inlineStr">
        <is>
          <t>ARVIDSJAUR</t>
        </is>
      </c>
      <c r="F372" t="inlineStr">
        <is>
          <t>Sveaskog</t>
        </is>
      </c>
      <c r="G372" t="n">
        <v>35.3</v>
      </c>
      <c r="H372" t="n">
        <v>0</v>
      </c>
      <c r="I372" t="n">
        <v>0</v>
      </c>
      <c r="J372" t="n">
        <v>0</v>
      </c>
      <c r="K372" t="n">
        <v>0</v>
      </c>
      <c r="L372" t="n">
        <v>0</v>
      </c>
      <c r="M372" t="n">
        <v>0</v>
      </c>
      <c r="N372" t="n">
        <v>0</v>
      </c>
      <c r="O372" t="n">
        <v>0</v>
      </c>
      <c r="P372" t="n">
        <v>0</v>
      </c>
      <c r="Q372" t="n">
        <v>0</v>
      </c>
      <c r="R372" s="2" t="inlineStr"/>
    </row>
    <row r="373" ht="15" customHeight="1">
      <c r="A373" t="inlineStr">
        <is>
          <t>A 41659-2024</t>
        </is>
      </c>
      <c r="B373" s="1" t="n">
        <v>45560</v>
      </c>
      <c r="C373" s="1" t="n">
        <v>45976</v>
      </c>
      <c r="D373" t="inlineStr">
        <is>
          <t>NORRBOTTENS LÄN</t>
        </is>
      </c>
      <c r="E373" t="inlineStr">
        <is>
          <t>ARVIDSJAUR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46072-2021</t>
        </is>
      </c>
      <c r="B374" s="1" t="n">
        <v>44442</v>
      </c>
      <c r="C374" s="1" t="n">
        <v>45976</v>
      </c>
      <c r="D374" t="inlineStr">
        <is>
          <t>NORRBOTTENS LÄN</t>
        </is>
      </c>
      <c r="E374" t="inlineStr">
        <is>
          <t>ARVIDSJAUR</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50303-2022</t>
        </is>
      </c>
      <c r="B375" s="1" t="n">
        <v>44865</v>
      </c>
      <c r="C375" s="1" t="n">
        <v>45976</v>
      </c>
      <c r="D375" t="inlineStr">
        <is>
          <t>NORRBOTTENS LÄN</t>
        </is>
      </c>
      <c r="E375" t="inlineStr">
        <is>
          <t>ARVIDSJAUR</t>
        </is>
      </c>
      <c r="G375" t="n">
        <v>1</v>
      </c>
      <c r="H375" t="n">
        <v>0</v>
      </c>
      <c r="I375" t="n">
        <v>0</v>
      </c>
      <c r="J375" t="n">
        <v>0</v>
      </c>
      <c r="K375" t="n">
        <v>0</v>
      </c>
      <c r="L375" t="n">
        <v>0</v>
      </c>
      <c r="M375" t="n">
        <v>0</v>
      </c>
      <c r="N375" t="n">
        <v>0</v>
      </c>
      <c r="O375" t="n">
        <v>0</v>
      </c>
      <c r="P375" t="n">
        <v>0</v>
      </c>
      <c r="Q375" t="n">
        <v>0</v>
      </c>
      <c r="R375" s="2" t="inlineStr"/>
    </row>
    <row r="376" ht="15" customHeight="1">
      <c r="A376" t="inlineStr">
        <is>
          <t>A 55929-2025</t>
        </is>
      </c>
      <c r="B376" s="1" t="n">
        <v>45973.43658564815</v>
      </c>
      <c r="C376" s="1" t="n">
        <v>45976</v>
      </c>
      <c r="D376" t="inlineStr">
        <is>
          <t>NORRBOTTENS LÄN</t>
        </is>
      </c>
      <c r="E376" t="inlineStr">
        <is>
          <t>ARVIDSJAUR</t>
        </is>
      </c>
      <c r="F376" t="inlineStr">
        <is>
          <t>Övriga Aktiebolag</t>
        </is>
      </c>
      <c r="G376" t="n">
        <v>11.8</v>
      </c>
      <c r="H376" t="n">
        <v>0</v>
      </c>
      <c r="I376" t="n">
        <v>0</v>
      </c>
      <c r="J376" t="n">
        <v>0</v>
      </c>
      <c r="K376" t="n">
        <v>0</v>
      </c>
      <c r="L376" t="n">
        <v>0</v>
      </c>
      <c r="M376" t="n">
        <v>0</v>
      </c>
      <c r="N376" t="n">
        <v>0</v>
      </c>
      <c r="O376" t="n">
        <v>0</v>
      </c>
      <c r="P376" t="n">
        <v>0</v>
      </c>
      <c r="Q376" t="n">
        <v>0</v>
      </c>
      <c r="R376" s="2" t="inlineStr"/>
    </row>
    <row r="377" ht="15" customHeight="1">
      <c r="A377" t="inlineStr">
        <is>
          <t>A 60888-2021</t>
        </is>
      </c>
      <c r="B377" s="1" t="n">
        <v>44497</v>
      </c>
      <c r="C377" s="1" t="n">
        <v>45976</v>
      </c>
      <c r="D377" t="inlineStr">
        <is>
          <t>NORRBOTTENS LÄN</t>
        </is>
      </c>
      <c r="E377" t="inlineStr">
        <is>
          <t>ARVIDSJAUR</t>
        </is>
      </c>
      <c r="F377" t="inlineStr">
        <is>
          <t>Sveaskog</t>
        </is>
      </c>
      <c r="G377" t="n">
        <v>12.1</v>
      </c>
      <c r="H377" t="n">
        <v>0</v>
      </c>
      <c r="I377" t="n">
        <v>0</v>
      </c>
      <c r="J377" t="n">
        <v>0</v>
      </c>
      <c r="K377" t="n">
        <v>0</v>
      </c>
      <c r="L377" t="n">
        <v>0</v>
      </c>
      <c r="M377" t="n">
        <v>0</v>
      </c>
      <c r="N377" t="n">
        <v>0</v>
      </c>
      <c r="O377" t="n">
        <v>0</v>
      </c>
      <c r="P377" t="n">
        <v>0</v>
      </c>
      <c r="Q377" t="n">
        <v>0</v>
      </c>
      <c r="R377" s="2" t="inlineStr"/>
    </row>
    <row r="378" ht="15" customHeight="1">
      <c r="A378" t="inlineStr">
        <is>
          <t>A 47177-2025</t>
        </is>
      </c>
      <c r="B378" s="1" t="n">
        <v>45930</v>
      </c>
      <c r="C378" s="1" t="n">
        <v>45976</v>
      </c>
      <c r="D378" t="inlineStr">
        <is>
          <t>NORRBOTTENS LÄN</t>
        </is>
      </c>
      <c r="E378" t="inlineStr">
        <is>
          <t>ARVIDSJAUR</t>
        </is>
      </c>
      <c r="F378" t="inlineStr">
        <is>
          <t>Sveaskog</t>
        </is>
      </c>
      <c r="G378" t="n">
        <v>6.8</v>
      </c>
      <c r="H378" t="n">
        <v>0</v>
      </c>
      <c r="I378" t="n">
        <v>0</v>
      </c>
      <c r="J378" t="n">
        <v>0</v>
      </c>
      <c r="K378" t="n">
        <v>0</v>
      </c>
      <c r="L378" t="n">
        <v>0</v>
      </c>
      <c r="M378" t="n">
        <v>0</v>
      </c>
      <c r="N378" t="n">
        <v>0</v>
      </c>
      <c r="O378" t="n">
        <v>0</v>
      </c>
      <c r="P378" t="n">
        <v>0</v>
      </c>
      <c r="Q378" t="n">
        <v>0</v>
      </c>
      <c r="R378" s="2" t="inlineStr"/>
    </row>
    <row r="379" ht="15" customHeight="1">
      <c r="A379" t="inlineStr">
        <is>
          <t>A 55755-2025</t>
        </is>
      </c>
      <c r="B379" s="1" t="n">
        <v>45972.59224537037</v>
      </c>
      <c r="C379" s="1" t="n">
        <v>45976</v>
      </c>
      <c r="D379" t="inlineStr">
        <is>
          <t>NORRBOTTENS LÄN</t>
        </is>
      </c>
      <c r="E379" t="inlineStr">
        <is>
          <t>ARVIDSJAUR</t>
        </is>
      </c>
      <c r="F379" t="inlineStr">
        <is>
          <t>Sveaskog</t>
        </is>
      </c>
      <c r="G379" t="n">
        <v>18.9</v>
      </c>
      <c r="H379" t="n">
        <v>0</v>
      </c>
      <c r="I379" t="n">
        <v>0</v>
      </c>
      <c r="J379" t="n">
        <v>0</v>
      </c>
      <c r="K379" t="n">
        <v>0</v>
      </c>
      <c r="L379" t="n">
        <v>0</v>
      </c>
      <c r="M379" t="n">
        <v>0</v>
      </c>
      <c r="N379" t="n">
        <v>0</v>
      </c>
      <c r="O379" t="n">
        <v>0</v>
      </c>
      <c r="P379" t="n">
        <v>0</v>
      </c>
      <c r="Q379" t="n">
        <v>0</v>
      </c>
      <c r="R379" s="2" t="inlineStr"/>
    </row>
    <row r="380" ht="15" customHeight="1">
      <c r="A380" t="inlineStr">
        <is>
          <t>A 55795-2025</t>
        </is>
      </c>
      <c r="B380" s="1" t="n">
        <v>45972.65466435185</v>
      </c>
      <c r="C380" s="1" t="n">
        <v>45976</v>
      </c>
      <c r="D380" t="inlineStr">
        <is>
          <t>NORRBOTTENS LÄN</t>
        </is>
      </c>
      <c r="E380" t="inlineStr">
        <is>
          <t>ARVIDSJAUR</t>
        </is>
      </c>
      <c r="F380" t="inlineStr">
        <is>
          <t>Sveaskog</t>
        </is>
      </c>
      <c r="G380" t="n">
        <v>13.5</v>
      </c>
      <c r="H380" t="n">
        <v>0</v>
      </c>
      <c r="I380" t="n">
        <v>0</v>
      </c>
      <c r="J380" t="n">
        <v>0</v>
      </c>
      <c r="K380" t="n">
        <v>0</v>
      </c>
      <c r="L380" t="n">
        <v>0</v>
      </c>
      <c r="M380" t="n">
        <v>0</v>
      </c>
      <c r="N380" t="n">
        <v>0</v>
      </c>
      <c r="O380" t="n">
        <v>0</v>
      </c>
      <c r="P380" t="n">
        <v>0</v>
      </c>
      <c r="Q380" t="n">
        <v>0</v>
      </c>
      <c r="R380" s="2" t="inlineStr"/>
    </row>
    <row r="381" ht="15" customHeight="1">
      <c r="A381" t="inlineStr">
        <is>
          <t>A 49927-2025</t>
        </is>
      </c>
      <c r="B381" s="1" t="n">
        <v>45939</v>
      </c>
      <c r="C381" s="1" t="n">
        <v>45976</v>
      </c>
      <c r="D381" t="inlineStr">
        <is>
          <t>NORRBOTTENS LÄN</t>
        </is>
      </c>
      <c r="E381" t="inlineStr">
        <is>
          <t>ARVIDSJAUR</t>
        </is>
      </c>
      <c r="G381" t="n">
        <v>1.3</v>
      </c>
      <c r="H381" t="n">
        <v>0</v>
      </c>
      <c r="I381" t="n">
        <v>0</v>
      </c>
      <c r="J381" t="n">
        <v>0</v>
      </c>
      <c r="K381" t="n">
        <v>0</v>
      </c>
      <c r="L381" t="n">
        <v>0</v>
      </c>
      <c r="M381" t="n">
        <v>0</v>
      </c>
      <c r="N381" t="n">
        <v>0</v>
      </c>
      <c r="O381" t="n">
        <v>0</v>
      </c>
      <c r="P381" t="n">
        <v>0</v>
      </c>
      <c r="Q381" t="n">
        <v>0</v>
      </c>
      <c r="R381" s="2" t="inlineStr"/>
    </row>
    <row r="382" ht="15" customHeight="1">
      <c r="A382" t="inlineStr">
        <is>
          <t>A 4934-2024</t>
        </is>
      </c>
      <c r="B382" s="1" t="n">
        <v>45329</v>
      </c>
      <c r="C382" s="1" t="n">
        <v>45976</v>
      </c>
      <c r="D382" t="inlineStr">
        <is>
          <t>NORRBOTTENS LÄN</t>
        </is>
      </c>
      <c r="E382" t="inlineStr">
        <is>
          <t>ARVIDSJAUR</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56651-2025</t>
        </is>
      </c>
      <c r="B383" s="1" t="n">
        <v>45975.64247685186</v>
      </c>
      <c r="C383" s="1" t="n">
        <v>45976</v>
      </c>
      <c r="D383" t="inlineStr">
        <is>
          <t>NORRBOTTENS LÄN</t>
        </is>
      </c>
      <c r="E383" t="inlineStr">
        <is>
          <t>ARVIDSJAUR</t>
        </is>
      </c>
      <c r="F383" t="inlineStr">
        <is>
          <t>Sveaskog</t>
        </is>
      </c>
      <c r="G383" t="n">
        <v>11.3</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45976</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48005-2025</t>
        </is>
      </c>
      <c r="B385" s="1" t="n">
        <v>45932.63599537037</v>
      </c>
      <c r="C385" s="1" t="n">
        <v>45976</v>
      </c>
      <c r="D385" t="inlineStr">
        <is>
          <t>NORRBOTTENS LÄN</t>
        </is>
      </c>
      <c r="E385" t="inlineStr">
        <is>
          <t>ARVIDSJAUR</t>
        </is>
      </c>
      <c r="F385" t="inlineStr">
        <is>
          <t>Sveaskog</t>
        </is>
      </c>
      <c r="G385" t="n">
        <v>24.3</v>
      </c>
      <c r="H385" t="n">
        <v>0</v>
      </c>
      <c r="I385" t="n">
        <v>0</v>
      </c>
      <c r="J385" t="n">
        <v>0</v>
      </c>
      <c r="K385" t="n">
        <v>0</v>
      </c>
      <c r="L385" t="n">
        <v>0</v>
      </c>
      <c r="M385" t="n">
        <v>0</v>
      </c>
      <c r="N385" t="n">
        <v>0</v>
      </c>
      <c r="O385" t="n">
        <v>0</v>
      </c>
      <c r="P385" t="n">
        <v>0</v>
      </c>
      <c r="Q385" t="n">
        <v>0</v>
      </c>
      <c r="R385" s="2" t="inlineStr"/>
    </row>
    <row r="386" ht="15" customHeight="1">
      <c r="A386" t="inlineStr">
        <is>
          <t>A 48326-2025</t>
        </is>
      </c>
      <c r="B386" s="1" t="n">
        <v>45933</v>
      </c>
      <c r="C386" s="1" t="n">
        <v>45976</v>
      </c>
      <c r="D386" t="inlineStr">
        <is>
          <t>NORRBOTTENS LÄN</t>
        </is>
      </c>
      <c r="E386" t="inlineStr">
        <is>
          <t>ARVIDSJAUR</t>
        </is>
      </c>
      <c r="G386" t="n">
        <v>3.8</v>
      </c>
      <c r="H386" t="n">
        <v>0</v>
      </c>
      <c r="I386" t="n">
        <v>0</v>
      </c>
      <c r="J386" t="n">
        <v>0</v>
      </c>
      <c r="K386" t="n">
        <v>0</v>
      </c>
      <c r="L386" t="n">
        <v>0</v>
      </c>
      <c r="M386" t="n">
        <v>0</v>
      </c>
      <c r="N386" t="n">
        <v>0</v>
      </c>
      <c r="O386" t="n">
        <v>0</v>
      </c>
      <c r="P386" t="n">
        <v>0</v>
      </c>
      <c r="Q386" t="n">
        <v>0</v>
      </c>
      <c r="R386" s="2" t="inlineStr"/>
    </row>
    <row r="387" ht="15" customHeight="1">
      <c r="A387" t="inlineStr">
        <is>
          <t>A 48331-2025</t>
        </is>
      </c>
      <c r="B387" s="1" t="n">
        <v>45933</v>
      </c>
      <c r="C387" s="1" t="n">
        <v>45976</v>
      </c>
      <c r="D387" t="inlineStr">
        <is>
          <t>NORRBOTTENS LÄN</t>
        </is>
      </c>
      <c r="E387" t="inlineStr">
        <is>
          <t>ARVIDSJAUR</t>
        </is>
      </c>
      <c r="G387" t="n">
        <v>3.3</v>
      </c>
      <c r="H387" t="n">
        <v>0</v>
      </c>
      <c r="I387" t="n">
        <v>0</v>
      </c>
      <c r="J387" t="n">
        <v>0</v>
      </c>
      <c r="K387" t="n">
        <v>0</v>
      </c>
      <c r="L387" t="n">
        <v>0</v>
      </c>
      <c r="M387" t="n">
        <v>0</v>
      </c>
      <c r="N387" t="n">
        <v>0</v>
      </c>
      <c r="O387" t="n">
        <v>0</v>
      </c>
      <c r="P387" t="n">
        <v>0</v>
      </c>
      <c r="Q387" t="n">
        <v>0</v>
      </c>
      <c r="R387" s="2" t="inlineStr"/>
    </row>
    <row r="388" ht="15" customHeight="1">
      <c r="A388" t="inlineStr">
        <is>
          <t>A 28357-2025</t>
        </is>
      </c>
      <c r="B388" s="1" t="n">
        <v>45818</v>
      </c>
      <c r="C388" s="1" t="n">
        <v>45976</v>
      </c>
      <c r="D388" t="inlineStr">
        <is>
          <t>NORRBOTTENS LÄN</t>
        </is>
      </c>
      <c r="E388" t="inlineStr">
        <is>
          <t>ARVIDSJAUR</t>
        </is>
      </c>
      <c r="G388" t="n">
        <v>0.9</v>
      </c>
      <c r="H388" t="n">
        <v>0</v>
      </c>
      <c r="I388" t="n">
        <v>0</v>
      </c>
      <c r="J388" t="n">
        <v>0</v>
      </c>
      <c r="K388" t="n">
        <v>0</v>
      </c>
      <c r="L388" t="n">
        <v>0</v>
      </c>
      <c r="M388" t="n">
        <v>0</v>
      </c>
      <c r="N388" t="n">
        <v>0</v>
      </c>
      <c r="O388" t="n">
        <v>0</v>
      </c>
      <c r="P388" t="n">
        <v>0</v>
      </c>
      <c r="Q388" t="n">
        <v>0</v>
      </c>
      <c r="R388" s="2" t="inlineStr"/>
    </row>
    <row r="389" ht="15" customHeight="1">
      <c r="A389" t="inlineStr">
        <is>
          <t>A 28353-2025</t>
        </is>
      </c>
      <c r="B389" s="1" t="n">
        <v>45818</v>
      </c>
      <c r="C389" s="1" t="n">
        <v>45976</v>
      </c>
      <c r="D389" t="inlineStr">
        <is>
          <t>NORRBOTTENS LÄN</t>
        </is>
      </c>
      <c r="E389" t="inlineStr">
        <is>
          <t>ARVIDSJAUR</t>
        </is>
      </c>
      <c r="G389" t="n">
        <v>0.9</v>
      </c>
      <c r="H389" t="n">
        <v>0</v>
      </c>
      <c r="I389" t="n">
        <v>0</v>
      </c>
      <c r="J389" t="n">
        <v>0</v>
      </c>
      <c r="K389" t="n">
        <v>0</v>
      </c>
      <c r="L389" t="n">
        <v>0</v>
      </c>
      <c r="M389" t="n">
        <v>0</v>
      </c>
      <c r="N389" t="n">
        <v>0</v>
      </c>
      <c r="O389" t="n">
        <v>0</v>
      </c>
      <c r="P389" t="n">
        <v>0</v>
      </c>
      <c r="Q389" t="n">
        <v>0</v>
      </c>
      <c r="R389" s="2" t="inlineStr"/>
    </row>
    <row r="390" ht="15" customHeight="1">
      <c r="A390" t="inlineStr">
        <is>
          <t>A 28356-2025</t>
        </is>
      </c>
      <c r="B390" s="1" t="n">
        <v>45818</v>
      </c>
      <c r="C390" s="1" t="n">
        <v>45976</v>
      </c>
      <c r="D390" t="inlineStr">
        <is>
          <t>NORRBOTTENS LÄN</t>
        </is>
      </c>
      <c r="E390" t="inlineStr">
        <is>
          <t>ARVIDSJAUR</t>
        </is>
      </c>
      <c r="G390" t="n">
        <v>1.1</v>
      </c>
      <c r="H390" t="n">
        <v>0</v>
      </c>
      <c r="I390" t="n">
        <v>0</v>
      </c>
      <c r="J390" t="n">
        <v>0</v>
      </c>
      <c r="K390" t="n">
        <v>0</v>
      </c>
      <c r="L390" t="n">
        <v>0</v>
      </c>
      <c r="M390" t="n">
        <v>0</v>
      </c>
      <c r="N390" t="n">
        <v>0</v>
      </c>
      <c r="O390" t="n">
        <v>0</v>
      </c>
      <c r="P390" t="n">
        <v>0</v>
      </c>
      <c r="Q390" t="n">
        <v>0</v>
      </c>
      <c r="R390" s="2" t="inlineStr"/>
    </row>
    <row r="391" ht="15" customHeight="1">
      <c r="A391" t="inlineStr">
        <is>
          <t>A 54341-2024</t>
        </is>
      </c>
      <c r="B391" s="1" t="n">
        <v>45617</v>
      </c>
      <c r="C391" s="1" t="n">
        <v>45976</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28352-2025</t>
        </is>
      </c>
      <c r="B392" s="1" t="n">
        <v>45818</v>
      </c>
      <c r="C392" s="1" t="n">
        <v>45976</v>
      </c>
      <c r="D392" t="inlineStr">
        <is>
          <t>NORRBOTTENS LÄN</t>
        </is>
      </c>
      <c r="E392" t="inlineStr">
        <is>
          <t>ARVIDSJAUR</t>
        </is>
      </c>
      <c r="G392" t="n">
        <v>7.5</v>
      </c>
      <c r="H392" t="n">
        <v>0</v>
      </c>
      <c r="I392" t="n">
        <v>0</v>
      </c>
      <c r="J392" t="n">
        <v>0</v>
      </c>
      <c r="K392" t="n">
        <v>0</v>
      </c>
      <c r="L392" t="n">
        <v>0</v>
      </c>
      <c r="M392" t="n">
        <v>0</v>
      </c>
      <c r="N392" t="n">
        <v>0</v>
      </c>
      <c r="O392" t="n">
        <v>0</v>
      </c>
      <c r="P392" t="n">
        <v>0</v>
      </c>
      <c r="Q392" t="n">
        <v>0</v>
      </c>
      <c r="R392" s="2" t="inlineStr"/>
    </row>
    <row r="393" ht="15" customHeight="1">
      <c r="A393" t="inlineStr">
        <is>
          <t>A 56430-2025</t>
        </is>
      </c>
      <c r="B393" s="1" t="n">
        <v>45975.34607638889</v>
      </c>
      <c r="C393" s="1" t="n">
        <v>45976</v>
      </c>
      <c r="D393" t="inlineStr">
        <is>
          <t>NORRBOTTENS LÄN</t>
        </is>
      </c>
      <c r="E393" t="inlineStr">
        <is>
          <t>ARVIDSJAUR</t>
        </is>
      </c>
      <c r="G393" t="n">
        <v>7.5</v>
      </c>
      <c r="H393" t="n">
        <v>0</v>
      </c>
      <c r="I393" t="n">
        <v>0</v>
      </c>
      <c r="J393" t="n">
        <v>0</v>
      </c>
      <c r="K393" t="n">
        <v>0</v>
      </c>
      <c r="L393" t="n">
        <v>0</v>
      </c>
      <c r="M393" t="n">
        <v>0</v>
      </c>
      <c r="N393" t="n">
        <v>0</v>
      </c>
      <c r="O393" t="n">
        <v>0</v>
      </c>
      <c r="P393" t="n">
        <v>0</v>
      </c>
      <c r="Q393" t="n">
        <v>0</v>
      </c>
      <c r="R393" s="2" t="inlineStr"/>
    </row>
    <row r="394" ht="15" customHeight="1">
      <c r="A394" t="inlineStr">
        <is>
          <t>A 56657-2025</t>
        </is>
      </c>
      <c r="B394" s="1" t="n">
        <v>45975.65388888889</v>
      </c>
      <c r="C394" s="1" t="n">
        <v>45976</v>
      </c>
      <c r="D394" t="inlineStr">
        <is>
          <t>NORRBOTTENS LÄN</t>
        </is>
      </c>
      <c r="E394" t="inlineStr">
        <is>
          <t>ARVIDSJAUR</t>
        </is>
      </c>
      <c r="F394" t="inlineStr">
        <is>
          <t>Sveaskog</t>
        </is>
      </c>
      <c r="G394" t="n">
        <v>5.5</v>
      </c>
      <c r="H394" t="n">
        <v>0</v>
      </c>
      <c r="I394" t="n">
        <v>0</v>
      </c>
      <c r="J394" t="n">
        <v>0</v>
      </c>
      <c r="K394" t="n">
        <v>0</v>
      </c>
      <c r="L394" t="n">
        <v>0</v>
      </c>
      <c r="M394" t="n">
        <v>0</v>
      </c>
      <c r="N394" t="n">
        <v>0</v>
      </c>
      <c r="O394" t="n">
        <v>0</v>
      </c>
      <c r="P394" t="n">
        <v>0</v>
      </c>
      <c r="Q394" t="n">
        <v>0</v>
      </c>
      <c r="R394" s="2" t="inlineStr"/>
    </row>
    <row r="395" ht="15" customHeight="1">
      <c r="A395" t="inlineStr">
        <is>
          <t>A 29674-2024</t>
        </is>
      </c>
      <c r="B395" s="1" t="n">
        <v>45484.94219907407</v>
      </c>
      <c r="C395" s="1" t="n">
        <v>45976</v>
      </c>
      <c r="D395" t="inlineStr">
        <is>
          <t>NORRBOTTENS LÄN</t>
        </is>
      </c>
      <c r="E395" t="inlineStr">
        <is>
          <t>ARVIDSJAUR</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29681-2024</t>
        </is>
      </c>
      <c r="B396" s="1" t="n">
        <v>45484.94334490741</v>
      </c>
      <c r="C396" s="1" t="n">
        <v>45976</v>
      </c>
      <c r="D396" t="inlineStr">
        <is>
          <t>NORRBOTTENS LÄN</t>
        </is>
      </c>
      <c r="E396" t="inlineStr">
        <is>
          <t>ARVIDSJAUR</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56520-2025</t>
        </is>
      </c>
      <c r="B397" s="1" t="n">
        <v>45975.46047453704</v>
      </c>
      <c r="C397" s="1" t="n">
        <v>45976</v>
      </c>
      <c r="D397" t="inlineStr">
        <is>
          <t>NORRBOTTENS LÄN</t>
        </is>
      </c>
      <c r="E397" t="inlineStr">
        <is>
          <t>ARVIDSJAUR</t>
        </is>
      </c>
      <c r="F397" t="inlineStr">
        <is>
          <t>Sveaskog</t>
        </is>
      </c>
      <c r="G397" t="n">
        <v>14.9</v>
      </c>
      <c r="H397" t="n">
        <v>0</v>
      </c>
      <c r="I397" t="n">
        <v>0</v>
      </c>
      <c r="J397" t="n">
        <v>0</v>
      </c>
      <c r="K397" t="n">
        <v>0</v>
      </c>
      <c r="L397" t="n">
        <v>0</v>
      </c>
      <c r="M397" t="n">
        <v>0</v>
      </c>
      <c r="N397" t="n">
        <v>0</v>
      </c>
      <c r="O397" t="n">
        <v>0</v>
      </c>
      <c r="P397" t="n">
        <v>0</v>
      </c>
      <c r="Q397" t="n">
        <v>0</v>
      </c>
      <c r="R397" s="2" t="inlineStr"/>
    </row>
    <row r="398" ht="15" customHeight="1">
      <c r="A398" t="inlineStr">
        <is>
          <t>A 56606-2025</t>
        </is>
      </c>
      <c r="B398" s="1" t="n">
        <v>45975.58065972223</v>
      </c>
      <c r="C398" s="1" t="n">
        <v>45976</v>
      </c>
      <c r="D398" t="inlineStr">
        <is>
          <t>NORRBOTTENS LÄN</t>
        </is>
      </c>
      <c r="E398" t="inlineStr">
        <is>
          <t>ARVIDSJAUR</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56652-2025</t>
        </is>
      </c>
      <c r="B399" s="1" t="n">
        <v>45975.64438657407</v>
      </c>
      <c r="C399" s="1" t="n">
        <v>45976</v>
      </c>
      <c r="D399" t="inlineStr">
        <is>
          <t>NORRBOTTENS LÄN</t>
        </is>
      </c>
      <c r="E399" t="inlineStr">
        <is>
          <t>ARVIDSJAUR</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27944-2024</t>
        </is>
      </c>
      <c r="B400" s="1" t="n">
        <v>45476</v>
      </c>
      <c r="C400" s="1" t="n">
        <v>45976</v>
      </c>
      <c r="D400" t="inlineStr">
        <is>
          <t>NORRBOTTENS LÄN</t>
        </is>
      </c>
      <c r="E400" t="inlineStr">
        <is>
          <t>ARVIDSJAUR</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34510-2021</t>
        </is>
      </c>
      <c r="B401" s="1" t="n">
        <v>44382</v>
      </c>
      <c r="C401" s="1" t="n">
        <v>45976</v>
      </c>
      <c r="D401" t="inlineStr">
        <is>
          <t>NORRBOTTENS LÄN</t>
        </is>
      </c>
      <c r="E401" t="inlineStr">
        <is>
          <t>ARVIDSJAUR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56173-2025</t>
        </is>
      </c>
      <c r="B402" s="1" t="n">
        <v>45974.39626157407</v>
      </c>
      <c r="C402" s="1" t="n">
        <v>45976</v>
      </c>
      <c r="D402" t="inlineStr">
        <is>
          <t>NORRBOTTENS LÄN</t>
        </is>
      </c>
      <c r="E402" t="inlineStr">
        <is>
          <t>ARVIDSJAUR</t>
        </is>
      </c>
      <c r="F402" t="inlineStr">
        <is>
          <t>Sveaskog</t>
        </is>
      </c>
      <c r="G402" t="n">
        <v>6.9</v>
      </c>
      <c r="H402" t="n">
        <v>0</v>
      </c>
      <c r="I402" t="n">
        <v>0</v>
      </c>
      <c r="J402" t="n">
        <v>0</v>
      </c>
      <c r="K402" t="n">
        <v>0</v>
      </c>
      <c r="L402" t="n">
        <v>0</v>
      </c>
      <c r="M402" t="n">
        <v>0</v>
      </c>
      <c r="N402" t="n">
        <v>0</v>
      </c>
      <c r="O402" t="n">
        <v>0</v>
      </c>
      <c r="P402" t="n">
        <v>0</v>
      </c>
      <c r="Q402" t="n">
        <v>0</v>
      </c>
      <c r="R402" s="2" t="inlineStr"/>
    </row>
    <row r="403" ht="15" customHeight="1">
      <c r="A403" t="inlineStr">
        <is>
          <t>A 28954-2025</t>
        </is>
      </c>
      <c r="B403" s="1" t="n">
        <v>45821.28777777778</v>
      </c>
      <c r="C403" s="1" t="n">
        <v>45976</v>
      </c>
      <c r="D403" t="inlineStr">
        <is>
          <t>NORRBOTTENS LÄN</t>
        </is>
      </c>
      <c r="E403" t="inlineStr">
        <is>
          <t>ARVIDSJAUR</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28892-2025</t>
        </is>
      </c>
      <c r="B404" s="1" t="n">
        <v>45820.63246527778</v>
      </c>
      <c r="C404" s="1" t="n">
        <v>45976</v>
      </c>
      <c r="D404" t="inlineStr">
        <is>
          <t>NORRBOTTENS LÄN</t>
        </is>
      </c>
      <c r="E404" t="inlineStr">
        <is>
          <t>ARVIDSJAUR</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28894-2025</t>
        </is>
      </c>
      <c r="B405" s="1" t="n">
        <v>45820.63534722223</v>
      </c>
      <c r="C405" s="1" t="n">
        <v>45976</v>
      </c>
      <c r="D405" t="inlineStr">
        <is>
          <t>NORRBOTTENS LÄN</t>
        </is>
      </c>
      <c r="E405" t="inlineStr">
        <is>
          <t>ARVIDSJAUR</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56168-2025</t>
        </is>
      </c>
      <c r="B406" s="1" t="n">
        <v>45974.38932870371</v>
      </c>
      <c r="C406" s="1" t="n">
        <v>45976</v>
      </c>
      <c r="D406" t="inlineStr">
        <is>
          <t>NORRBOTTENS LÄN</t>
        </is>
      </c>
      <c r="E406" t="inlineStr">
        <is>
          <t>ARVIDSJAUR</t>
        </is>
      </c>
      <c r="F406" t="inlineStr">
        <is>
          <t>Sveaskog</t>
        </is>
      </c>
      <c r="G406" t="n">
        <v>14.4</v>
      </c>
      <c r="H406" t="n">
        <v>0</v>
      </c>
      <c r="I406" t="n">
        <v>0</v>
      </c>
      <c r="J406" t="n">
        <v>0</v>
      </c>
      <c r="K406" t="n">
        <v>0</v>
      </c>
      <c r="L406" t="n">
        <v>0</v>
      </c>
      <c r="M406" t="n">
        <v>0</v>
      </c>
      <c r="N406" t="n">
        <v>0</v>
      </c>
      <c r="O406" t="n">
        <v>0</v>
      </c>
      <c r="P406" t="n">
        <v>0</v>
      </c>
      <c r="Q406" t="n">
        <v>0</v>
      </c>
      <c r="R406" s="2" t="inlineStr"/>
    </row>
    <row r="407" ht="15" customHeight="1">
      <c r="A407" t="inlineStr">
        <is>
          <t>A 48312-2025</t>
        </is>
      </c>
      <c r="B407" s="1" t="n">
        <v>45933</v>
      </c>
      <c r="C407" s="1" t="n">
        <v>45976</v>
      </c>
      <c r="D407" t="inlineStr">
        <is>
          <t>NORRBOTTENS LÄN</t>
        </is>
      </c>
      <c r="E407" t="inlineStr">
        <is>
          <t>ARVIDSJAUR</t>
        </is>
      </c>
      <c r="G407" t="n">
        <v>1.9</v>
      </c>
      <c r="H407" t="n">
        <v>0</v>
      </c>
      <c r="I407" t="n">
        <v>0</v>
      </c>
      <c r="J407" t="n">
        <v>0</v>
      </c>
      <c r="K407" t="n">
        <v>0</v>
      </c>
      <c r="L407" t="n">
        <v>0</v>
      </c>
      <c r="M407" t="n">
        <v>0</v>
      </c>
      <c r="N407" t="n">
        <v>0</v>
      </c>
      <c r="O407" t="n">
        <v>0</v>
      </c>
      <c r="P407" t="n">
        <v>0</v>
      </c>
      <c r="Q407" t="n">
        <v>0</v>
      </c>
      <c r="R407" s="2" t="inlineStr"/>
    </row>
    <row r="408" ht="15" customHeight="1">
      <c r="A408" t="inlineStr">
        <is>
          <t>A 48301-2025</t>
        </is>
      </c>
      <c r="B408" s="1" t="n">
        <v>45933</v>
      </c>
      <c r="C408" s="1" t="n">
        <v>45976</v>
      </c>
      <c r="D408" t="inlineStr">
        <is>
          <t>NORRBOTTENS LÄN</t>
        </is>
      </c>
      <c r="E408" t="inlineStr">
        <is>
          <t>ARVIDSJAUR</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29518-2025</t>
        </is>
      </c>
      <c r="B409" s="1" t="n">
        <v>45825.32150462963</v>
      </c>
      <c r="C409" s="1" t="n">
        <v>45976</v>
      </c>
      <c r="D409" t="inlineStr">
        <is>
          <t>NORRBOTTENS LÄN</t>
        </is>
      </c>
      <c r="E409" t="inlineStr">
        <is>
          <t>ARVIDSJAUR</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56174-2025</t>
        </is>
      </c>
      <c r="B410" s="1" t="n">
        <v>45974.39755787037</v>
      </c>
      <c r="C410" s="1" t="n">
        <v>45976</v>
      </c>
      <c r="D410" t="inlineStr">
        <is>
          <t>NORRBOTTENS LÄN</t>
        </is>
      </c>
      <c r="E410" t="inlineStr">
        <is>
          <t>ARVIDSJAUR</t>
        </is>
      </c>
      <c r="G410" t="n">
        <v>4</v>
      </c>
      <c r="H410" t="n">
        <v>0</v>
      </c>
      <c r="I410" t="n">
        <v>0</v>
      </c>
      <c r="J410" t="n">
        <v>0</v>
      </c>
      <c r="K410" t="n">
        <v>0</v>
      </c>
      <c r="L410" t="n">
        <v>0</v>
      </c>
      <c r="M410" t="n">
        <v>0</v>
      </c>
      <c r="N410" t="n">
        <v>0</v>
      </c>
      <c r="O410" t="n">
        <v>0</v>
      </c>
      <c r="P410" t="n">
        <v>0</v>
      </c>
      <c r="Q410" t="n">
        <v>0</v>
      </c>
      <c r="R410" s="2" t="inlineStr"/>
    </row>
    <row r="411" ht="15" customHeight="1">
      <c r="A411" t="inlineStr">
        <is>
          <t>A 29516-2025</t>
        </is>
      </c>
      <c r="B411" s="1" t="n">
        <v>45825.31756944444</v>
      </c>
      <c r="C411" s="1" t="n">
        <v>45976</v>
      </c>
      <c r="D411" t="inlineStr">
        <is>
          <t>NORRBOTTENS LÄN</t>
        </is>
      </c>
      <c r="E411" t="inlineStr">
        <is>
          <t>ARVIDSJAUR</t>
        </is>
      </c>
      <c r="F411" t="inlineStr">
        <is>
          <t>Sveaskog</t>
        </is>
      </c>
      <c r="G411" t="n">
        <v>17.1</v>
      </c>
      <c r="H411" t="n">
        <v>0</v>
      </c>
      <c r="I411" t="n">
        <v>0</v>
      </c>
      <c r="J411" t="n">
        <v>0</v>
      </c>
      <c r="K411" t="n">
        <v>0</v>
      </c>
      <c r="L411" t="n">
        <v>0</v>
      </c>
      <c r="M411" t="n">
        <v>0</v>
      </c>
      <c r="N411" t="n">
        <v>0</v>
      </c>
      <c r="O411" t="n">
        <v>0</v>
      </c>
      <c r="P411" t="n">
        <v>0</v>
      </c>
      <c r="Q411" t="n">
        <v>0</v>
      </c>
      <c r="R411" s="2" t="inlineStr"/>
    </row>
    <row r="412" ht="15" customHeight="1">
      <c r="A412" t="inlineStr">
        <is>
          <t>A 29514-2025</t>
        </is>
      </c>
      <c r="B412" s="1" t="n">
        <v>45825.3119212963</v>
      </c>
      <c r="C412" s="1" t="n">
        <v>45976</v>
      </c>
      <c r="D412" t="inlineStr">
        <is>
          <t>NORRBOTTENS LÄN</t>
        </is>
      </c>
      <c r="E412" t="inlineStr">
        <is>
          <t>ARVIDSJAUR</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48286-2025</t>
        </is>
      </c>
      <c r="B413" s="1" t="n">
        <v>45933</v>
      </c>
      <c r="C413" s="1" t="n">
        <v>45976</v>
      </c>
      <c r="D413" t="inlineStr">
        <is>
          <t>NORRBOTTENS LÄN</t>
        </is>
      </c>
      <c r="E413" t="inlineStr">
        <is>
          <t>ARVIDSJAUR</t>
        </is>
      </c>
      <c r="G413" t="n">
        <v>1.1</v>
      </c>
      <c r="H413" t="n">
        <v>0</v>
      </c>
      <c r="I413" t="n">
        <v>0</v>
      </c>
      <c r="J413" t="n">
        <v>0</v>
      </c>
      <c r="K413" t="n">
        <v>0</v>
      </c>
      <c r="L413" t="n">
        <v>0</v>
      </c>
      <c r="M413" t="n">
        <v>0</v>
      </c>
      <c r="N413" t="n">
        <v>0</v>
      </c>
      <c r="O413" t="n">
        <v>0</v>
      </c>
      <c r="P413" t="n">
        <v>0</v>
      </c>
      <c r="Q413" t="n">
        <v>0</v>
      </c>
      <c r="R413" s="2" t="inlineStr"/>
    </row>
    <row r="414" ht="15" customHeight="1">
      <c r="A414" t="inlineStr">
        <is>
          <t>A 29504-2025</t>
        </is>
      </c>
      <c r="B414" s="1" t="n">
        <v>45825</v>
      </c>
      <c r="C414" s="1" t="n">
        <v>45976</v>
      </c>
      <c r="D414" t="inlineStr">
        <is>
          <t>NORRBOTTENS LÄN</t>
        </is>
      </c>
      <c r="E414" t="inlineStr">
        <is>
          <t>ARVIDSJAUR</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29241-2025</t>
        </is>
      </c>
      <c r="B415" s="1" t="n">
        <v>45824</v>
      </c>
      <c r="C415" s="1" t="n">
        <v>45976</v>
      </c>
      <c r="D415" t="inlineStr">
        <is>
          <t>NORRBOTTENS LÄN</t>
        </is>
      </c>
      <c r="E415" t="inlineStr">
        <is>
          <t>ARVIDSJAUR</t>
        </is>
      </c>
      <c r="G415" t="n">
        <v>2.1</v>
      </c>
      <c r="H415" t="n">
        <v>0</v>
      </c>
      <c r="I415" t="n">
        <v>0</v>
      </c>
      <c r="J415" t="n">
        <v>0</v>
      </c>
      <c r="K415" t="n">
        <v>0</v>
      </c>
      <c r="L415" t="n">
        <v>0</v>
      </c>
      <c r="M415" t="n">
        <v>0</v>
      </c>
      <c r="N415" t="n">
        <v>0</v>
      </c>
      <c r="O415" t="n">
        <v>0</v>
      </c>
      <c r="P415" t="n">
        <v>0</v>
      </c>
      <c r="Q415" t="n">
        <v>0</v>
      </c>
      <c r="R415" s="2" t="inlineStr"/>
    </row>
    <row r="416" ht="15" customHeight="1">
      <c r="A416" t="inlineStr">
        <is>
          <t>A 56630-2025</t>
        </is>
      </c>
      <c r="B416" s="1" t="n">
        <v>45975.61517361111</v>
      </c>
      <c r="C416" s="1" t="n">
        <v>45976</v>
      </c>
      <c r="D416" t="inlineStr">
        <is>
          <t>NORRBOTTENS LÄN</t>
        </is>
      </c>
      <c r="E416" t="inlineStr">
        <is>
          <t>ARVIDSJAUR</t>
        </is>
      </c>
      <c r="G416" t="n">
        <v>7.2</v>
      </c>
      <c r="H416" t="n">
        <v>0</v>
      </c>
      <c r="I416" t="n">
        <v>0</v>
      </c>
      <c r="J416" t="n">
        <v>0</v>
      </c>
      <c r="K416" t="n">
        <v>0</v>
      </c>
      <c r="L416" t="n">
        <v>0</v>
      </c>
      <c r="M416" t="n">
        <v>0</v>
      </c>
      <c r="N416" t="n">
        <v>0</v>
      </c>
      <c r="O416" t="n">
        <v>0</v>
      </c>
      <c r="P416" t="n">
        <v>0</v>
      </c>
      <c r="Q416" t="n">
        <v>0</v>
      </c>
      <c r="R416" s="2" t="inlineStr"/>
    </row>
    <row r="417" ht="15" customHeight="1">
      <c r="A417" t="inlineStr">
        <is>
          <t>A 48008-2025</t>
        </is>
      </c>
      <c r="B417" s="1" t="n">
        <v>45932.64015046296</v>
      </c>
      <c r="C417" s="1" t="n">
        <v>45976</v>
      </c>
      <c r="D417" t="inlineStr">
        <is>
          <t>NORRBOTTENS LÄN</t>
        </is>
      </c>
      <c r="E417" t="inlineStr">
        <is>
          <t>ARVIDSJAUR</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36815-2024</t>
        </is>
      </c>
      <c r="B418" s="1" t="n">
        <v>45538</v>
      </c>
      <c r="C418" s="1" t="n">
        <v>45976</v>
      </c>
      <c r="D418" t="inlineStr">
        <is>
          <t>NORRBOTTENS LÄN</t>
        </is>
      </c>
      <c r="E418" t="inlineStr">
        <is>
          <t>ARVIDSJAUR</t>
        </is>
      </c>
      <c r="G418" t="n">
        <v>6</v>
      </c>
      <c r="H418" t="n">
        <v>0</v>
      </c>
      <c r="I418" t="n">
        <v>0</v>
      </c>
      <c r="J418" t="n">
        <v>0</v>
      </c>
      <c r="K418" t="n">
        <v>0</v>
      </c>
      <c r="L418" t="n">
        <v>0</v>
      </c>
      <c r="M418" t="n">
        <v>0</v>
      </c>
      <c r="N418" t="n">
        <v>0</v>
      </c>
      <c r="O418" t="n">
        <v>0</v>
      </c>
      <c r="P418" t="n">
        <v>0</v>
      </c>
      <c r="Q418" t="n">
        <v>0</v>
      </c>
      <c r="R418" s="2" t="inlineStr"/>
    </row>
    <row r="419" ht="15" customHeight="1">
      <c r="A419" t="inlineStr">
        <is>
          <t>A 58942-2024</t>
        </is>
      </c>
      <c r="B419" s="1" t="n">
        <v>45636</v>
      </c>
      <c r="C419" s="1" t="n">
        <v>45976</v>
      </c>
      <c r="D419" t="inlineStr">
        <is>
          <t>NORRBOTTENS LÄN</t>
        </is>
      </c>
      <c r="E419" t="inlineStr">
        <is>
          <t>ARVIDSJAUR</t>
        </is>
      </c>
      <c r="F419" t="inlineStr">
        <is>
          <t>Sveaskog</t>
        </is>
      </c>
      <c r="G419" t="n">
        <v>5.9</v>
      </c>
      <c r="H419" t="n">
        <v>0</v>
      </c>
      <c r="I419" t="n">
        <v>0</v>
      </c>
      <c r="J419" t="n">
        <v>0</v>
      </c>
      <c r="K419" t="n">
        <v>0</v>
      </c>
      <c r="L419" t="n">
        <v>0</v>
      </c>
      <c r="M419" t="n">
        <v>0</v>
      </c>
      <c r="N419" t="n">
        <v>0</v>
      </c>
      <c r="O419" t="n">
        <v>0</v>
      </c>
      <c r="P419" t="n">
        <v>0</v>
      </c>
      <c r="Q419" t="n">
        <v>0</v>
      </c>
      <c r="R419" s="2" t="inlineStr"/>
    </row>
    <row r="420" ht="15" customHeight="1">
      <c r="A420" t="inlineStr">
        <is>
          <t>A 56529-2025</t>
        </is>
      </c>
      <c r="B420" s="1" t="n">
        <v>45975.46728009259</v>
      </c>
      <c r="C420" s="1" t="n">
        <v>45976</v>
      </c>
      <c r="D420" t="inlineStr">
        <is>
          <t>NORRBOTTENS LÄN</t>
        </is>
      </c>
      <c r="E420" t="inlineStr">
        <is>
          <t>ARVIDSJAUR</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30383-2025</t>
        </is>
      </c>
      <c r="B421" s="1" t="n">
        <v>45827.57081018519</v>
      </c>
      <c r="C421" s="1" t="n">
        <v>45976</v>
      </c>
      <c r="D421" t="inlineStr">
        <is>
          <t>NORRBOTTENS LÄN</t>
        </is>
      </c>
      <c r="E421" t="inlineStr">
        <is>
          <t>ARVIDSJAUR</t>
        </is>
      </c>
      <c r="G421" t="n">
        <v>20</v>
      </c>
      <c r="H421" t="n">
        <v>0</v>
      </c>
      <c r="I421" t="n">
        <v>0</v>
      </c>
      <c r="J421" t="n">
        <v>0</v>
      </c>
      <c r="K421" t="n">
        <v>0</v>
      </c>
      <c r="L421" t="n">
        <v>0</v>
      </c>
      <c r="M421" t="n">
        <v>0</v>
      </c>
      <c r="N421" t="n">
        <v>0</v>
      </c>
      <c r="O421" t="n">
        <v>0</v>
      </c>
      <c r="P421" t="n">
        <v>0</v>
      </c>
      <c r="Q421" t="n">
        <v>0</v>
      </c>
      <c r="R421" s="2" t="inlineStr"/>
    </row>
    <row r="422" ht="15" customHeight="1">
      <c r="A422" t="inlineStr">
        <is>
          <t>A 61133-2022</t>
        </is>
      </c>
      <c r="B422" s="1" t="n">
        <v>44915.44876157407</v>
      </c>
      <c r="C422" s="1" t="n">
        <v>45976</v>
      </c>
      <c r="D422" t="inlineStr">
        <is>
          <t>NORRBOTTENS LÄN</t>
        </is>
      </c>
      <c r="E422" t="inlineStr">
        <is>
          <t>ARVIDSJAUR</t>
        </is>
      </c>
      <c r="F422" t="inlineStr">
        <is>
          <t>Sveaskog</t>
        </is>
      </c>
      <c r="G422" t="n">
        <v>7.6</v>
      </c>
      <c r="H422" t="n">
        <v>0</v>
      </c>
      <c r="I422" t="n">
        <v>0</v>
      </c>
      <c r="J422" t="n">
        <v>0</v>
      </c>
      <c r="K422" t="n">
        <v>0</v>
      </c>
      <c r="L422" t="n">
        <v>0</v>
      </c>
      <c r="M422" t="n">
        <v>0</v>
      </c>
      <c r="N422" t="n">
        <v>0</v>
      </c>
      <c r="O422" t="n">
        <v>0</v>
      </c>
      <c r="P422" t="n">
        <v>0</v>
      </c>
      <c r="Q422" t="n">
        <v>0</v>
      </c>
      <c r="R422" s="2" t="inlineStr"/>
    </row>
    <row r="423" ht="15" customHeight="1">
      <c r="A423" t="inlineStr">
        <is>
          <t>A 56283-2025</t>
        </is>
      </c>
      <c r="B423" s="1" t="n">
        <v>45974.59386574074</v>
      </c>
      <c r="C423" s="1" t="n">
        <v>45976</v>
      </c>
      <c r="D423" t="inlineStr">
        <is>
          <t>NORRBOTTENS LÄN</t>
        </is>
      </c>
      <c r="E423" t="inlineStr">
        <is>
          <t>ARVIDSJAUR</t>
        </is>
      </c>
      <c r="G423" t="n">
        <v>4.4</v>
      </c>
      <c r="H423" t="n">
        <v>0</v>
      </c>
      <c r="I423" t="n">
        <v>0</v>
      </c>
      <c r="J423" t="n">
        <v>0</v>
      </c>
      <c r="K423" t="n">
        <v>0</v>
      </c>
      <c r="L423" t="n">
        <v>0</v>
      </c>
      <c r="M423" t="n">
        <v>0</v>
      </c>
      <c r="N423" t="n">
        <v>0</v>
      </c>
      <c r="O423" t="n">
        <v>0</v>
      </c>
      <c r="P423" t="n">
        <v>0</v>
      </c>
      <c r="Q423" t="n">
        <v>0</v>
      </c>
      <c r="R423" s="2" t="inlineStr"/>
    </row>
    <row r="424" ht="15" customHeight="1">
      <c r="A424" t="inlineStr">
        <is>
          <t>A 56588-2025</t>
        </is>
      </c>
      <c r="B424" s="1" t="n">
        <v>45975.56208333333</v>
      </c>
      <c r="C424" s="1" t="n">
        <v>45976</v>
      </c>
      <c r="D424" t="inlineStr">
        <is>
          <t>NORRBOTTENS LÄN</t>
        </is>
      </c>
      <c r="E424" t="inlineStr">
        <is>
          <t>ARVIDSJAUR</t>
        </is>
      </c>
      <c r="F424" t="inlineStr">
        <is>
          <t>Sveaskog</t>
        </is>
      </c>
      <c r="G424" t="n">
        <v>12.8</v>
      </c>
      <c r="H424" t="n">
        <v>0</v>
      </c>
      <c r="I424" t="n">
        <v>0</v>
      </c>
      <c r="J424" t="n">
        <v>0</v>
      </c>
      <c r="K424" t="n">
        <v>0</v>
      </c>
      <c r="L424" t="n">
        <v>0</v>
      </c>
      <c r="M424" t="n">
        <v>0</v>
      </c>
      <c r="N424" t="n">
        <v>0</v>
      </c>
      <c r="O424" t="n">
        <v>0</v>
      </c>
      <c r="P424" t="n">
        <v>0</v>
      </c>
      <c r="Q424" t="n">
        <v>0</v>
      </c>
      <c r="R424" s="2" t="inlineStr"/>
    </row>
    <row r="425" ht="15" customHeight="1">
      <c r="A425" t="inlineStr">
        <is>
          <t>A 48461-2024</t>
        </is>
      </c>
      <c r="B425" s="1" t="n">
        <v>45590</v>
      </c>
      <c r="C425" s="1" t="n">
        <v>45976</v>
      </c>
      <c r="D425" t="inlineStr">
        <is>
          <t>NORRBOTTENS LÄN</t>
        </is>
      </c>
      <c r="E425" t="inlineStr">
        <is>
          <t>ARVIDSJAUR</t>
        </is>
      </c>
      <c r="G425" t="n">
        <v>3.1</v>
      </c>
      <c r="H425" t="n">
        <v>0</v>
      </c>
      <c r="I425" t="n">
        <v>0</v>
      </c>
      <c r="J425" t="n">
        <v>0</v>
      </c>
      <c r="K425" t="n">
        <v>0</v>
      </c>
      <c r="L425" t="n">
        <v>0</v>
      </c>
      <c r="M425" t="n">
        <v>0</v>
      </c>
      <c r="N425" t="n">
        <v>0</v>
      </c>
      <c r="O425" t="n">
        <v>0</v>
      </c>
      <c r="P425" t="n">
        <v>0</v>
      </c>
      <c r="Q425" t="n">
        <v>0</v>
      </c>
      <c r="R425" s="2" t="inlineStr"/>
    </row>
    <row r="426" ht="15" customHeight="1">
      <c r="A426" t="inlineStr">
        <is>
          <t>A 10664-2023</t>
        </is>
      </c>
      <c r="B426" s="1" t="n">
        <v>44988</v>
      </c>
      <c r="C426" s="1" t="n">
        <v>45976</v>
      </c>
      <c r="D426" t="inlineStr">
        <is>
          <t>NORRBOTTENS LÄN</t>
        </is>
      </c>
      <c r="E426" t="inlineStr">
        <is>
          <t>ARVIDSJAUR</t>
        </is>
      </c>
      <c r="F426" t="inlineStr">
        <is>
          <t>Sveaskog</t>
        </is>
      </c>
      <c r="G426" t="n">
        <v>4.7</v>
      </c>
      <c r="H426" t="n">
        <v>0</v>
      </c>
      <c r="I426" t="n">
        <v>0</v>
      </c>
      <c r="J426" t="n">
        <v>0</v>
      </c>
      <c r="K426" t="n">
        <v>0</v>
      </c>
      <c r="L426" t="n">
        <v>0</v>
      </c>
      <c r="M426" t="n">
        <v>0</v>
      </c>
      <c r="N426" t="n">
        <v>0</v>
      </c>
      <c r="O426" t="n">
        <v>0</v>
      </c>
      <c r="P426" t="n">
        <v>0</v>
      </c>
      <c r="Q426" t="n">
        <v>0</v>
      </c>
      <c r="R426" s="2" t="inlineStr"/>
    </row>
    <row r="427" ht="15" customHeight="1">
      <c r="A427" t="inlineStr">
        <is>
          <t>A 50119-2024</t>
        </is>
      </c>
      <c r="B427" s="1" t="n">
        <v>45600.41550925926</v>
      </c>
      <c r="C427" s="1" t="n">
        <v>45976</v>
      </c>
      <c r="D427" t="inlineStr">
        <is>
          <t>NORRBOTTENS LÄN</t>
        </is>
      </c>
      <c r="E427" t="inlineStr">
        <is>
          <t>ARVIDSJAUR</t>
        </is>
      </c>
      <c r="F427" t="inlineStr">
        <is>
          <t>Sveaskog</t>
        </is>
      </c>
      <c r="G427" t="n">
        <v>5.7</v>
      </c>
      <c r="H427" t="n">
        <v>0</v>
      </c>
      <c r="I427" t="n">
        <v>0</v>
      </c>
      <c r="J427" t="n">
        <v>0</v>
      </c>
      <c r="K427" t="n">
        <v>0</v>
      </c>
      <c r="L427" t="n">
        <v>0</v>
      </c>
      <c r="M427" t="n">
        <v>0</v>
      </c>
      <c r="N427" t="n">
        <v>0</v>
      </c>
      <c r="O427" t="n">
        <v>0</v>
      </c>
      <c r="P427" t="n">
        <v>0</v>
      </c>
      <c r="Q427" t="n">
        <v>0</v>
      </c>
      <c r="R427" s="2" t="inlineStr"/>
    </row>
    <row r="428" ht="15" customHeight="1">
      <c r="A428" t="inlineStr">
        <is>
          <t>A 39328-2023</t>
        </is>
      </c>
      <c r="B428" s="1" t="n">
        <v>45166</v>
      </c>
      <c r="C428" s="1" t="n">
        <v>45976</v>
      </c>
      <c r="D428" t="inlineStr">
        <is>
          <t>NORRBOTTENS LÄN</t>
        </is>
      </c>
      <c r="E428" t="inlineStr">
        <is>
          <t>ARVIDSJAUR</t>
        </is>
      </c>
      <c r="F428" t="inlineStr">
        <is>
          <t>Sveaskog</t>
        </is>
      </c>
      <c r="G428" t="n">
        <v>23</v>
      </c>
      <c r="H428" t="n">
        <v>0</v>
      </c>
      <c r="I428" t="n">
        <v>0</v>
      </c>
      <c r="J428" t="n">
        <v>0</v>
      </c>
      <c r="K428" t="n">
        <v>0</v>
      </c>
      <c r="L428" t="n">
        <v>0</v>
      </c>
      <c r="M428" t="n">
        <v>0</v>
      </c>
      <c r="N428" t="n">
        <v>0</v>
      </c>
      <c r="O428" t="n">
        <v>0</v>
      </c>
      <c r="P428" t="n">
        <v>0</v>
      </c>
      <c r="Q428" t="n">
        <v>0</v>
      </c>
      <c r="R428" s="2" t="inlineStr"/>
    </row>
    <row r="429" ht="15" customHeight="1">
      <c r="A429" t="inlineStr">
        <is>
          <t>A 26686-2024</t>
        </is>
      </c>
      <c r="B429" s="1" t="n">
        <v>45470.35486111111</v>
      </c>
      <c r="C429" s="1" t="n">
        <v>45976</v>
      </c>
      <c r="D429" t="inlineStr">
        <is>
          <t>NORRBOTTENS LÄN</t>
        </is>
      </c>
      <c r="E429" t="inlineStr">
        <is>
          <t>ARVIDSJAUR</t>
        </is>
      </c>
      <c r="F429" t="inlineStr">
        <is>
          <t>Sveaskog</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40940-2024</t>
        </is>
      </c>
      <c r="B430" s="1" t="n">
        <v>45558.64387731482</v>
      </c>
      <c r="C430" s="1" t="n">
        <v>45976</v>
      </c>
      <c r="D430" t="inlineStr">
        <is>
          <t>NORRBOTTENS LÄN</t>
        </is>
      </c>
      <c r="E430" t="inlineStr">
        <is>
          <t>ARVIDSJAUR</t>
        </is>
      </c>
      <c r="F430" t="inlineStr">
        <is>
          <t>Sveaskog</t>
        </is>
      </c>
      <c r="G430" t="n">
        <v>15.4</v>
      </c>
      <c r="H430" t="n">
        <v>0</v>
      </c>
      <c r="I430" t="n">
        <v>0</v>
      </c>
      <c r="J430" t="n">
        <v>0</v>
      </c>
      <c r="K430" t="n">
        <v>0</v>
      </c>
      <c r="L430" t="n">
        <v>0</v>
      </c>
      <c r="M430" t="n">
        <v>0</v>
      </c>
      <c r="N430" t="n">
        <v>0</v>
      </c>
      <c r="O430" t="n">
        <v>0</v>
      </c>
      <c r="P430" t="n">
        <v>0</v>
      </c>
      <c r="Q430" t="n">
        <v>0</v>
      </c>
      <c r="R430" s="2" t="inlineStr"/>
    </row>
    <row r="431" ht="15" customHeight="1">
      <c r="A431" t="inlineStr">
        <is>
          <t>A 33222-2025</t>
        </is>
      </c>
      <c r="B431" s="1" t="n">
        <v>45840</v>
      </c>
      <c r="C431" s="1" t="n">
        <v>45976</v>
      </c>
      <c r="D431" t="inlineStr">
        <is>
          <t>NORRBOTTENS LÄN</t>
        </is>
      </c>
      <c r="E431" t="inlineStr">
        <is>
          <t>ARVIDSJAUR</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33174-2025</t>
        </is>
      </c>
      <c r="B432" s="1" t="n">
        <v>45840.585625</v>
      </c>
      <c r="C432" s="1" t="n">
        <v>45976</v>
      </c>
      <c r="D432" t="inlineStr">
        <is>
          <t>NORRBOTTENS LÄN</t>
        </is>
      </c>
      <c r="E432" t="inlineStr">
        <is>
          <t>ARVIDSJAUR</t>
        </is>
      </c>
      <c r="F432" t="inlineStr">
        <is>
          <t>Sveaskog</t>
        </is>
      </c>
      <c r="G432" t="n">
        <v>26.3</v>
      </c>
      <c r="H432" t="n">
        <v>0</v>
      </c>
      <c r="I432" t="n">
        <v>0</v>
      </c>
      <c r="J432" t="n">
        <v>0</v>
      </c>
      <c r="K432" t="n">
        <v>0</v>
      </c>
      <c r="L432" t="n">
        <v>0</v>
      </c>
      <c r="M432" t="n">
        <v>0</v>
      </c>
      <c r="N432" t="n">
        <v>0</v>
      </c>
      <c r="O432" t="n">
        <v>0</v>
      </c>
      <c r="P432" t="n">
        <v>0</v>
      </c>
      <c r="Q432" t="n">
        <v>0</v>
      </c>
      <c r="R432" s="2" t="inlineStr"/>
    </row>
    <row r="433" ht="15" customHeight="1">
      <c r="A433" t="inlineStr">
        <is>
          <t>A 32990-2025</t>
        </is>
      </c>
      <c r="B433" s="1" t="n">
        <v>45840.3191087963</v>
      </c>
      <c r="C433" s="1" t="n">
        <v>45976</v>
      </c>
      <c r="D433" t="inlineStr">
        <is>
          <t>NORRBOTTENS LÄN</t>
        </is>
      </c>
      <c r="E433" t="inlineStr">
        <is>
          <t>ARVIDSJAUR</t>
        </is>
      </c>
      <c r="G433" t="n">
        <v>3</v>
      </c>
      <c r="H433" t="n">
        <v>0</v>
      </c>
      <c r="I433" t="n">
        <v>0</v>
      </c>
      <c r="J433" t="n">
        <v>0</v>
      </c>
      <c r="K433" t="n">
        <v>0</v>
      </c>
      <c r="L433" t="n">
        <v>0</v>
      </c>
      <c r="M433" t="n">
        <v>0</v>
      </c>
      <c r="N433" t="n">
        <v>0</v>
      </c>
      <c r="O433" t="n">
        <v>0</v>
      </c>
      <c r="P433" t="n">
        <v>0</v>
      </c>
      <c r="Q433" t="n">
        <v>0</v>
      </c>
      <c r="R433" s="2" t="inlineStr"/>
    </row>
    <row r="434" ht="15" customHeight="1">
      <c r="A434" t="inlineStr">
        <is>
          <t>A 44179-2023</t>
        </is>
      </c>
      <c r="B434" s="1" t="n">
        <v>45188.51991898148</v>
      </c>
      <c r="C434" s="1" t="n">
        <v>45976</v>
      </c>
      <c r="D434" t="inlineStr">
        <is>
          <t>NORRBOTTENS LÄN</t>
        </is>
      </c>
      <c r="E434" t="inlineStr">
        <is>
          <t>ARVIDSJAUR</t>
        </is>
      </c>
      <c r="F434" t="inlineStr">
        <is>
          <t>Sveaskog</t>
        </is>
      </c>
      <c r="G434" t="n">
        <v>7.3</v>
      </c>
      <c r="H434" t="n">
        <v>0</v>
      </c>
      <c r="I434" t="n">
        <v>0</v>
      </c>
      <c r="J434" t="n">
        <v>0</v>
      </c>
      <c r="K434" t="n">
        <v>0</v>
      </c>
      <c r="L434" t="n">
        <v>0</v>
      </c>
      <c r="M434" t="n">
        <v>0</v>
      </c>
      <c r="N434" t="n">
        <v>0</v>
      </c>
      <c r="O434" t="n">
        <v>0</v>
      </c>
      <c r="P434" t="n">
        <v>0</v>
      </c>
      <c r="Q434" t="n">
        <v>0</v>
      </c>
      <c r="R434" s="2" t="inlineStr"/>
    </row>
    <row r="435" ht="15" customHeight="1">
      <c r="A435" t="inlineStr">
        <is>
          <t>A 33302-2025</t>
        </is>
      </c>
      <c r="B435" s="1" t="n">
        <v>45841</v>
      </c>
      <c r="C435" s="1" t="n">
        <v>45976</v>
      </c>
      <c r="D435" t="inlineStr">
        <is>
          <t>NORRBOTTENS LÄN</t>
        </is>
      </c>
      <c r="E435" t="inlineStr">
        <is>
          <t>ARVIDSJAUR</t>
        </is>
      </c>
      <c r="F435" t="inlineStr">
        <is>
          <t>Sveaskog</t>
        </is>
      </c>
      <c r="G435" t="n">
        <v>11.1</v>
      </c>
      <c r="H435" t="n">
        <v>0</v>
      </c>
      <c r="I435" t="n">
        <v>0</v>
      </c>
      <c r="J435" t="n">
        <v>0</v>
      </c>
      <c r="K435" t="n">
        <v>0</v>
      </c>
      <c r="L435" t="n">
        <v>0</v>
      </c>
      <c r="M435" t="n">
        <v>0</v>
      </c>
      <c r="N435" t="n">
        <v>0</v>
      </c>
      <c r="O435" t="n">
        <v>0</v>
      </c>
      <c r="P435" t="n">
        <v>0</v>
      </c>
      <c r="Q435" t="n">
        <v>0</v>
      </c>
      <c r="R435" s="2" t="inlineStr"/>
    </row>
    <row r="436" ht="15" customHeight="1">
      <c r="A436" t="inlineStr">
        <is>
          <t>A 33084-2024</t>
        </is>
      </c>
      <c r="B436" s="1" t="n">
        <v>45517</v>
      </c>
      <c r="C436" s="1" t="n">
        <v>45976</v>
      </c>
      <c r="D436" t="inlineStr">
        <is>
          <t>NORRBOTTENS LÄN</t>
        </is>
      </c>
      <c r="E436" t="inlineStr">
        <is>
          <t>ARVIDSJAUR</t>
        </is>
      </c>
      <c r="G436" t="n">
        <v>0.5</v>
      </c>
      <c r="H436" t="n">
        <v>0</v>
      </c>
      <c r="I436" t="n">
        <v>0</v>
      </c>
      <c r="J436" t="n">
        <v>0</v>
      </c>
      <c r="K436" t="n">
        <v>0</v>
      </c>
      <c r="L436" t="n">
        <v>0</v>
      </c>
      <c r="M436" t="n">
        <v>0</v>
      </c>
      <c r="N436" t="n">
        <v>0</v>
      </c>
      <c r="O436" t="n">
        <v>0</v>
      </c>
      <c r="P436" t="n">
        <v>0</v>
      </c>
      <c r="Q436" t="n">
        <v>0</v>
      </c>
      <c r="R436" s="2" t="inlineStr"/>
    </row>
    <row r="437" ht="15" customHeight="1">
      <c r="A437" t="inlineStr">
        <is>
          <t>A 37649-2024</t>
        </is>
      </c>
      <c r="B437" s="1" t="n">
        <v>45541</v>
      </c>
      <c r="C437" s="1" t="n">
        <v>45976</v>
      </c>
      <c r="D437" t="inlineStr">
        <is>
          <t>NORRBOTTENS LÄN</t>
        </is>
      </c>
      <c r="E437" t="inlineStr">
        <is>
          <t>ARVIDSJAUR</t>
        </is>
      </c>
      <c r="F437" t="inlineStr">
        <is>
          <t>Allmännings- och besparingsskogar</t>
        </is>
      </c>
      <c r="G437" t="n">
        <v>6.1</v>
      </c>
      <c r="H437" t="n">
        <v>0</v>
      </c>
      <c r="I437" t="n">
        <v>0</v>
      </c>
      <c r="J437" t="n">
        <v>0</v>
      </c>
      <c r="K437" t="n">
        <v>0</v>
      </c>
      <c r="L437" t="n">
        <v>0</v>
      </c>
      <c r="M437" t="n">
        <v>0</v>
      </c>
      <c r="N437" t="n">
        <v>0</v>
      </c>
      <c r="O437" t="n">
        <v>0</v>
      </c>
      <c r="P437" t="n">
        <v>0</v>
      </c>
      <c r="Q437" t="n">
        <v>0</v>
      </c>
      <c r="R437" s="2" t="inlineStr"/>
      <c r="U437">
        <f>HYPERLINK("https://klasma.github.io/Logging_2505/knärot/A 37649-2024 karta knärot.png", "A 37649-2024")</f>
        <v/>
      </c>
      <c r="V437">
        <f>HYPERLINK("https://klasma.github.io/Logging_2505/klagomål/A 37649-2024 FSC-klagomål.docx", "A 37649-2024")</f>
        <v/>
      </c>
      <c r="W437">
        <f>HYPERLINK("https://klasma.github.io/Logging_2505/klagomålsmail/A 37649-2024 FSC-klagomål mail.docx", "A 37649-2024")</f>
        <v/>
      </c>
      <c r="X437">
        <f>HYPERLINK("https://klasma.github.io/Logging_2505/tillsyn/A 37649-2024 tillsynsbegäran.docx", "A 37649-2024")</f>
        <v/>
      </c>
      <c r="Y437">
        <f>HYPERLINK("https://klasma.github.io/Logging_2505/tillsynsmail/A 37649-2024 tillsynsbegäran mail.docx", "A 37649-2024")</f>
        <v/>
      </c>
    </row>
    <row r="438" ht="15" customHeight="1">
      <c r="A438" t="inlineStr">
        <is>
          <t>A 50109-2024</t>
        </is>
      </c>
      <c r="B438" s="1" t="n">
        <v>45600</v>
      </c>
      <c r="C438" s="1" t="n">
        <v>45976</v>
      </c>
      <c r="D438" t="inlineStr">
        <is>
          <t>NORRBOTTENS LÄN</t>
        </is>
      </c>
      <c r="E438" t="inlineStr">
        <is>
          <t>ARVIDSJAUR</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49170-2024</t>
        </is>
      </c>
      <c r="B439" s="1" t="n">
        <v>45595.305</v>
      </c>
      <c r="C439" s="1" t="n">
        <v>45976</v>
      </c>
      <c r="D439" t="inlineStr">
        <is>
          <t>NORRBOTTENS LÄN</t>
        </is>
      </c>
      <c r="E439" t="inlineStr">
        <is>
          <t>ARVIDSJAUR</t>
        </is>
      </c>
      <c r="F439" t="inlineStr">
        <is>
          <t>Sveaskog</t>
        </is>
      </c>
      <c r="G439" t="n">
        <v>10.6</v>
      </c>
      <c r="H439" t="n">
        <v>0</v>
      </c>
      <c r="I439" t="n">
        <v>0</v>
      </c>
      <c r="J439" t="n">
        <v>0</v>
      </c>
      <c r="K439" t="n">
        <v>0</v>
      </c>
      <c r="L439" t="n">
        <v>0</v>
      </c>
      <c r="M439" t="n">
        <v>0</v>
      </c>
      <c r="N439" t="n">
        <v>0</v>
      </c>
      <c r="O439" t="n">
        <v>0</v>
      </c>
      <c r="P439" t="n">
        <v>0</v>
      </c>
      <c r="Q439" t="n">
        <v>0</v>
      </c>
      <c r="R439" s="2" t="inlineStr"/>
    </row>
    <row r="440" ht="15" customHeight="1">
      <c r="A440" t="inlineStr">
        <is>
          <t>A 26689-2024</t>
        </is>
      </c>
      <c r="B440" s="1" t="n">
        <v>45470.35973379629</v>
      </c>
      <c r="C440" s="1" t="n">
        <v>45976</v>
      </c>
      <c r="D440" t="inlineStr">
        <is>
          <t>NORRBOTTENS LÄN</t>
        </is>
      </c>
      <c r="E440" t="inlineStr">
        <is>
          <t>ARVIDSJAUR</t>
        </is>
      </c>
      <c r="F440" t="inlineStr">
        <is>
          <t>Sveaskog</t>
        </is>
      </c>
      <c r="G440" t="n">
        <v>11.8</v>
      </c>
      <c r="H440" t="n">
        <v>0</v>
      </c>
      <c r="I440" t="n">
        <v>0</v>
      </c>
      <c r="J440" t="n">
        <v>0</v>
      </c>
      <c r="K440" t="n">
        <v>0</v>
      </c>
      <c r="L440" t="n">
        <v>0</v>
      </c>
      <c r="M440" t="n">
        <v>0</v>
      </c>
      <c r="N440" t="n">
        <v>0</v>
      </c>
      <c r="O440" t="n">
        <v>0</v>
      </c>
      <c r="P440" t="n">
        <v>0</v>
      </c>
      <c r="Q440" t="n">
        <v>0</v>
      </c>
      <c r="R440" s="2" t="inlineStr"/>
    </row>
    <row r="441" ht="15" customHeight="1">
      <c r="A441" t="inlineStr">
        <is>
          <t>A 35670-2025</t>
        </is>
      </c>
      <c r="B441" s="1" t="n">
        <v>45859.61556712963</v>
      </c>
      <c r="C441" s="1" t="n">
        <v>45976</v>
      </c>
      <c r="D441" t="inlineStr">
        <is>
          <t>NORRBOTTENS LÄN</t>
        </is>
      </c>
      <c r="E441" t="inlineStr">
        <is>
          <t>ARVIDSJAUR</t>
        </is>
      </c>
      <c r="G441" t="n">
        <v>0.8</v>
      </c>
      <c r="H441" t="n">
        <v>0</v>
      </c>
      <c r="I441" t="n">
        <v>0</v>
      </c>
      <c r="J441" t="n">
        <v>0</v>
      </c>
      <c r="K441" t="n">
        <v>0</v>
      </c>
      <c r="L441" t="n">
        <v>0</v>
      </c>
      <c r="M441" t="n">
        <v>0</v>
      </c>
      <c r="N441" t="n">
        <v>0</v>
      </c>
      <c r="O441" t="n">
        <v>0</v>
      </c>
      <c r="P441" t="n">
        <v>0</v>
      </c>
      <c r="Q441" t="n">
        <v>0</v>
      </c>
      <c r="R441" s="2" t="inlineStr"/>
    </row>
    <row r="442" ht="15" customHeight="1">
      <c r="A442" t="inlineStr">
        <is>
          <t>A 48048-2022</t>
        </is>
      </c>
      <c r="B442" s="1" t="n">
        <v>44855</v>
      </c>
      <c r="C442" s="1" t="n">
        <v>45976</v>
      </c>
      <c r="D442" t="inlineStr">
        <is>
          <t>NORRBOTTENS LÄN</t>
        </is>
      </c>
      <c r="E442" t="inlineStr">
        <is>
          <t>ARVIDSJAUR</t>
        </is>
      </c>
      <c r="G442" t="n">
        <v>3.2</v>
      </c>
      <c r="H442" t="n">
        <v>0</v>
      </c>
      <c r="I442" t="n">
        <v>0</v>
      </c>
      <c r="J442" t="n">
        <v>0</v>
      </c>
      <c r="K442" t="n">
        <v>0</v>
      </c>
      <c r="L442" t="n">
        <v>0</v>
      </c>
      <c r="M442" t="n">
        <v>0</v>
      </c>
      <c r="N442" t="n">
        <v>0</v>
      </c>
      <c r="O442" t="n">
        <v>0</v>
      </c>
      <c r="P442" t="n">
        <v>0</v>
      </c>
      <c r="Q442" t="n">
        <v>0</v>
      </c>
      <c r="R442" s="2" t="inlineStr"/>
    </row>
    <row r="443" ht="15" customHeight="1">
      <c r="A443" t="inlineStr">
        <is>
          <t>A 36403-2023</t>
        </is>
      </c>
      <c r="B443" s="1" t="n">
        <v>45152</v>
      </c>
      <c r="C443" s="1" t="n">
        <v>45976</v>
      </c>
      <c r="D443" t="inlineStr">
        <is>
          <t>NORRBOTTENS LÄN</t>
        </is>
      </c>
      <c r="E443" t="inlineStr">
        <is>
          <t>ARVIDSJAUR</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36443-2023</t>
        </is>
      </c>
      <c r="B444" s="1" t="n">
        <v>45152</v>
      </c>
      <c r="C444" s="1" t="n">
        <v>45976</v>
      </c>
      <c r="D444" t="inlineStr">
        <is>
          <t>NORRBOTTENS LÄN</t>
        </is>
      </c>
      <c r="E444" t="inlineStr">
        <is>
          <t>ARVIDSJAUR</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22996-2024</t>
        </is>
      </c>
      <c r="B445" s="1" t="n">
        <v>45450</v>
      </c>
      <c r="C445" s="1" t="n">
        <v>45976</v>
      </c>
      <c r="D445" t="inlineStr">
        <is>
          <t>NORRBOTTENS LÄN</t>
        </is>
      </c>
      <c r="E445" t="inlineStr">
        <is>
          <t>ARVIDSJAUR</t>
        </is>
      </c>
      <c r="F445" t="inlineStr">
        <is>
          <t>Sveaskog</t>
        </is>
      </c>
      <c r="G445" t="n">
        <v>8.9</v>
      </c>
      <c r="H445" t="n">
        <v>0</v>
      </c>
      <c r="I445" t="n">
        <v>0</v>
      </c>
      <c r="J445" t="n">
        <v>0</v>
      </c>
      <c r="K445" t="n">
        <v>0</v>
      </c>
      <c r="L445" t="n">
        <v>0</v>
      </c>
      <c r="M445" t="n">
        <v>0</v>
      </c>
      <c r="N445" t="n">
        <v>0</v>
      </c>
      <c r="O445" t="n">
        <v>0</v>
      </c>
      <c r="P445" t="n">
        <v>0</v>
      </c>
      <c r="Q445" t="n">
        <v>0</v>
      </c>
      <c r="R445" s="2" t="inlineStr"/>
    </row>
    <row r="446" ht="15" customHeight="1">
      <c r="A446" t="inlineStr">
        <is>
          <t>A 23736-2024</t>
        </is>
      </c>
      <c r="B446" s="1" t="n">
        <v>45454</v>
      </c>
      <c r="C446" s="1" t="n">
        <v>45976</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54311-2023</t>
        </is>
      </c>
      <c r="B447" s="1" t="n">
        <v>45225</v>
      </c>
      <c r="C447" s="1" t="n">
        <v>45976</v>
      </c>
      <c r="D447" t="inlineStr">
        <is>
          <t>NORRBOTTENS LÄN</t>
        </is>
      </c>
      <c r="E447" t="inlineStr">
        <is>
          <t>ARVIDSJAUR</t>
        </is>
      </c>
      <c r="G447" t="n">
        <v>1.4</v>
      </c>
      <c r="H447" t="n">
        <v>0</v>
      </c>
      <c r="I447" t="n">
        <v>0</v>
      </c>
      <c r="J447" t="n">
        <v>0</v>
      </c>
      <c r="K447" t="n">
        <v>0</v>
      </c>
      <c r="L447" t="n">
        <v>0</v>
      </c>
      <c r="M447" t="n">
        <v>0</v>
      </c>
      <c r="N447" t="n">
        <v>0</v>
      </c>
      <c r="O447" t="n">
        <v>0</v>
      </c>
      <c r="P447" t="n">
        <v>0</v>
      </c>
      <c r="Q447" t="n">
        <v>0</v>
      </c>
      <c r="R447" s="2" t="inlineStr"/>
    </row>
    <row r="448" ht="15" customHeight="1">
      <c r="A448" t="inlineStr">
        <is>
          <t>A 26673-2023</t>
        </is>
      </c>
      <c r="B448" s="1" t="n">
        <v>45093</v>
      </c>
      <c r="C448" s="1" t="n">
        <v>45976</v>
      </c>
      <c r="D448" t="inlineStr">
        <is>
          <t>NORRBOTTENS LÄN</t>
        </is>
      </c>
      <c r="E448" t="inlineStr">
        <is>
          <t>ARVIDSJAUR</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36489-2025</t>
        </is>
      </c>
      <c r="B449" s="1" t="n">
        <v>45869.52704861111</v>
      </c>
      <c r="C449" s="1" t="n">
        <v>45976</v>
      </c>
      <c r="D449" t="inlineStr">
        <is>
          <t>NORRBOTTENS LÄN</t>
        </is>
      </c>
      <c r="E449" t="inlineStr">
        <is>
          <t>ARVIDSJAUR</t>
        </is>
      </c>
      <c r="F449" t="inlineStr">
        <is>
          <t>Sveaskog</t>
        </is>
      </c>
      <c r="G449" t="n">
        <v>5</v>
      </c>
      <c r="H449" t="n">
        <v>0</v>
      </c>
      <c r="I449" t="n">
        <v>0</v>
      </c>
      <c r="J449" t="n">
        <v>0</v>
      </c>
      <c r="K449" t="n">
        <v>0</v>
      </c>
      <c r="L449" t="n">
        <v>0</v>
      </c>
      <c r="M449" t="n">
        <v>0</v>
      </c>
      <c r="N449" t="n">
        <v>0</v>
      </c>
      <c r="O449" t="n">
        <v>0</v>
      </c>
      <c r="P449" t="n">
        <v>0</v>
      </c>
      <c r="Q449" t="n">
        <v>0</v>
      </c>
      <c r="R449" s="2" t="inlineStr"/>
    </row>
    <row r="450" ht="15" customHeight="1">
      <c r="A450" t="inlineStr">
        <is>
          <t>A 39436-2024</t>
        </is>
      </c>
      <c r="B450" s="1" t="n">
        <v>45551</v>
      </c>
      <c r="C450" s="1" t="n">
        <v>45976</v>
      </c>
      <c r="D450" t="inlineStr">
        <is>
          <t>NORRBOTTENS LÄN</t>
        </is>
      </c>
      <c r="E450" t="inlineStr">
        <is>
          <t>ARVIDSJAUR</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39439-2024</t>
        </is>
      </c>
      <c r="B451" s="1" t="n">
        <v>45551.60893518518</v>
      </c>
      <c r="C451" s="1" t="n">
        <v>45976</v>
      </c>
      <c r="D451" t="inlineStr">
        <is>
          <t>NORRBOTTENS LÄN</t>
        </is>
      </c>
      <c r="E451" t="inlineStr">
        <is>
          <t>ARVIDSJAUR</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37483-2024</t>
        </is>
      </c>
      <c r="B452" s="1" t="n">
        <v>45541.33534722222</v>
      </c>
      <c r="C452" s="1" t="n">
        <v>45976</v>
      </c>
      <c r="D452" t="inlineStr">
        <is>
          <t>NORRBOTTENS LÄN</t>
        </is>
      </c>
      <c r="E452" t="inlineStr">
        <is>
          <t>ARVIDSJAUR</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26819-2024</t>
        </is>
      </c>
      <c r="B453" s="1" t="n">
        <v>45470.55719907407</v>
      </c>
      <c r="C453" s="1" t="n">
        <v>45976</v>
      </c>
      <c r="D453" t="inlineStr">
        <is>
          <t>NORRBOTTENS LÄN</t>
        </is>
      </c>
      <c r="E453" t="inlineStr">
        <is>
          <t>ARVIDSJAUR</t>
        </is>
      </c>
      <c r="F453" t="inlineStr">
        <is>
          <t>Sveaskog</t>
        </is>
      </c>
      <c r="G453" t="n">
        <v>6.5</v>
      </c>
      <c r="H453" t="n">
        <v>0</v>
      </c>
      <c r="I453" t="n">
        <v>0</v>
      </c>
      <c r="J453" t="n">
        <v>0</v>
      </c>
      <c r="K453" t="n">
        <v>0</v>
      </c>
      <c r="L453" t="n">
        <v>0</v>
      </c>
      <c r="M453" t="n">
        <v>0</v>
      </c>
      <c r="N453" t="n">
        <v>0</v>
      </c>
      <c r="O453" t="n">
        <v>0</v>
      </c>
      <c r="P453" t="n">
        <v>0</v>
      </c>
      <c r="Q453" t="n">
        <v>0</v>
      </c>
      <c r="R453" s="2" t="inlineStr"/>
    </row>
    <row r="454" ht="15" customHeight="1">
      <c r="A454" t="inlineStr">
        <is>
          <t>A 36954-2023</t>
        </is>
      </c>
      <c r="B454" s="1" t="n">
        <v>45154</v>
      </c>
      <c r="C454" s="1" t="n">
        <v>45976</v>
      </c>
      <c r="D454" t="inlineStr">
        <is>
          <t>NORRBOTTENS LÄN</t>
        </is>
      </c>
      <c r="E454" t="inlineStr">
        <is>
          <t>ARVIDSJAUR</t>
        </is>
      </c>
      <c r="G454" t="n">
        <v>3.7</v>
      </c>
      <c r="H454" t="n">
        <v>0</v>
      </c>
      <c r="I454" t="n">
        <v>0</v>
      </c>
      <c r="J454" t="n">
        <v>0</v>
      </c>
      <c r="K454" t="n">
        <v>0</v>
      </c>
      <c r="L454" t="n">
        <v>0</v>
      </c>
      <c r="M454" t="n">
        <v>0</v>
      </c>
      <c r="N454" t="n">
        <v>0</v>
      </c>
      <c r="O454" t="n">
        <v>0</v>
      </c>
      <c r="P454" t="n">
        <v>0</v>
      </c>
      <c r="Q454" t="n">
        <v>0</v>
      </c>
      <c r="R454" s="2" t="inlineStr"/>
    </row>
    <row r="455" ht="15" customHeight="1">
      <c r="A455" t="inlineStr">
        <is>
          <t>A 10845-2025</t>
        </is>
      </c>
      <c r="B455" s="1" t="n">
        <v>45722</v>
      </c>
      <c r="C455" s="1" t="n">
        <v>45976</v>
      </c>
      <c r="D455" t="inlineStr">
        <is>
          <t>NORRBOTTENS LÄN</t>
        </is>
      </c>
      <c r="E455" t="inlineStr">
        <is>
          <t>ARVIDSJAUR</t>
        </is>
      </c>
      <c r="G455" t="n">
        <v>5.3</v>
      </c>
      <c r="H455" t="n">
        <v>0</v>
      </c>
      <c r="I455" t="n">
        <v>0</v>
      </c>
      <c r="J455" t="n">
        <v>0</v>
      </c>
      <c r="K455" t="n">
        <v>0</v>
      </c>
      <c r="L455" t="n">
        <v>0</v>
      </c>
      <c r="M455" t="n">
        <v>0</v>
      </c>
      <c r="N455" t="n">
        <v>0</v>
      </c>
      <c r="O455" t="n">
        <v>0</v>
      </c>
      <c r="P455" t="n">
        <v>0</v>
      </c>
      <c r="Q455" t="n">
        <v>0</v>
      </c>
      <c r="R455" s="2" t="inlineStr"/>
    </row>
    <row r="456" ht="15" customHeight="1">
      <c r="A456" t="inlineStr">
        <is>
          <t>A 53878-2024</t>
        </is>
      </c>
      <c r="B456" s="1" t="n">
        <v>45614</v>
      </c>
      <c r="C456" s="1" t="n">
        <v>45976</v>
      </c>
      <c r="D456" t="inlineStr">
        <is>
          <t>NORRBOTTENS LÄN</t>
        </is>
      </c>
      <c r="E456" t="inlineStr">
        <is>
          <t>ARVIDSJAUR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24836-2024</t>
        </is>
      </c>
      <c r="B457" s="1" t="n">
        <v>45461</v>
      </c>
      <c r="C457" s="1" t="n">
        <v>45976</v>
      </c>
      <c r="D457" t="inlineStr">
        <is>
          <t>NORRBOTTENS LÄN</t>
        </is>
      </c>
      <c r="E457" t="inlineStr">
        <is>
          <t>ARVIDSJAUR</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48616-2024</t>
        </is>
      </c>
      <c r="B458" s="1" t="n">
        <v>45593.45395833333</v>
      </c>
      <c r="C458" s="1" t="n">
        <v>45976</v>
      </c>
      <c r="D458" t="inlineStr">
        <is>
          <t>NORRBOTTENS LÄN</t>
        </is>
      </c>
      <c r="E458" t="inlineStr">
        <is>
          <t>ARVIDSJAUR</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5702-2024</t>
        </is>
      </c>
      <c r="B459" s="1" t="n">
        <v>45334</v>
      </c>
      <c r="C459" s="1" t="n">
        <v>45976</v>
      </c>
      <c r="D459" t="inlineStr">
        <is>
          <t>NORRBOTTENS LÄN</t>
        </is>
      </c>
      <c r="E459" t="inlineStr">
        <is>
          <t>ARVIDSJAUR</t>
        </is>
      </c>
      <c r="G459" t="n">
        <v>1</v>
      </c>
      <c r="H459" t="n">
        <v>0</v>
      </c>
      <c r="I459" t="n">
        <v>0</v>
      </c>
      <c r="J459" t="n">
        <v>0</v>
      </c>
      <c r="K459" t="n">
        <v>0</v>
      </c>
      <c r="L459" t="n">
        <v>0</v>
      </c>
      <c r="M459" t="n">
        <v>0</v>
      </c>
      <c r="N459" t="n">
        <v>0</v>
      </c>
      <c r="O459" t="n">
        <v>0</v>
      </c>
      <c r="P459" t="n">
        <v>0</v>
      </c>
      <c r="Q459" t="n">
        <v>0</v>
      </c>
      <c r="R459" s="2" t="inlineStr"/>
    </row>
    <row r="460" ht="15" customHeight="1">
      <c r="A460" t="inlineStr">
        <is>
          <t>A 56980-2024</t>
        </is>
      </c>
      <c r="B460" s="1" t="n">
        <v>45628</v>
      </c>
      <c r="C460" s="1" t="n">
        <v>45976</v>
      </c>
      <c r="D460" t="inlineStr">
        <is>
          <t>NORRBOTTENS LÄN</t>
        </is>
      </c>
      <c r="E460" t="inlineStr">
        <is>
          <t>ARVIDSJAUR</t>
        </is>
      </c>
      <c r="F460" t="inlineStr">
        <is>
          <t>Övriga Aktiebolag</t>
        </is>
      </c>
      <c r="G460" t="n">
        <v>5.1</v>
      </c>
      <c r="H460" t="n">
        <v>0</v>
      </c>
      <c r="I460" t="n">
        <v>0</v>
      </c>
      <c r="J460" t="n">
        <v>0</v>
      </c>
      <c r="K460" t="n">
        <v>0</v>
      </c>
      <c r="L460" t="n">
        <v>0</v>
      </c>
      <c r="M460" t="n">
        <v>0</v>
      </c>
      <c r="N460" t="n">
        <v>0</v>
      </c>
      <c r="O460" t="n">
        <v>0</v>
      </c>
      <c r="P460" t="n">
        <v>0</v>
      </c>
      <c r="Q460" t="n">
        <v>0</v>
      </c>
      <c r="R460" s="2" t="inlineStr"/>
    </row>
    <row r="461">
      <c r="A461" t="inlineStr">
        <is>
          <t>A 25913-2024</t>
        </is>
      </c>
      <c r="B461" s="1" t="n">
        <v>45467</v>
      </c>
      <c r="C461" s="1" t="n">
        <v>45976</v>
      </c>
      <c r="D461" t="inlineStr">
        <is>
          <t>NORRBOTTENS LÄN</t>
        </is>
      </c>
      <c r="E461" t="inlineStr">
        <is>
          <t>ARVIDSJAUR</t>
        </is>
      </c>
      <c r="G461" t="n">
        <v>4.8</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2025-11-15T10:13:21Z</dcterms:created>
  <dcterms:modified xmlns:dcterms="http://purl.org/dc/terms/" xmlns:xsi="http://www.w3.org/2001/XMLSchema-instance" xsi:type="dcterms:W3CDTF">2025-11-15T10:13:22Z</dcterms:modified>
</cp:coreProperties>
</file>