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45473</v>
      </c>
      <c r="D2" t="inlineStr">
        <is>
          <t>NORRBOTTENS LÄN</t>
        </is>
      </c>
      <c r="E2" t="inlineStr">
        <is>
          <t>ARVIDSJAUR</t>
        </is>
      </c>
      <c r="F2" t="inlineStr">
        <is>
          <t>Sveaskog</t>
        </is>
      </c>
      <c r="G2" t="n">
        <v>34</v>
      </c>
      <c r="H2" t="n">
        <v>6</v>
      </c>
      <c r="I2" t="n">
        <v>5</v>
      </c>
      <c r="J2" t="n">
        <v>19</v>
      </c>
      <c r="K2" t="n">
        <v>4</v>
      </c>
      <c r="L2" t="n">
        <v>0</v>
      </c>
      <c r="M2" t="n">
        <v>0</v>
      </c>
      <c r="N2" t="n">
        <v>0</v>
      </c>
      <c r="O2" t="n">
        <v>23</v>
      </c>
      <c r="P2" t="n">
        <v>4</v>
      </c>
      <c r="Q2" t="n">
        <v>31</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45473</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45473</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45473</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45473</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45473</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45473</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45473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45473</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45473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45473</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45473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45473</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45473</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25530-2024</t>
        </is>
      </c>
      <c r="B16" s="1" t="n">
        <v>45463</v>
      </c>
      <c r="C16" s="1" t="n">
        <v>45473</v>
      </c>
      <c r="D16" t="inlineStr">
        <is>
          <t>NORRBOTTENS LÄN</t>
        </is>
      </c>
      <c r="E16" t="inlineStr">
        <is>
          <t>ARVIDSJAUR</t>
        </is>
      </c>
      <c r="F16" t="inlineStr">
        <is>
          <t>Sveaskog</t>
        </is>
      </c>
      <c r="G16" t="n">
        <v>6.1</v>
      </c>
      <c r="H16" t="n">
        <v>1</v>
      </c>
      <c r="I16" t="n">
        <v>1</v>
      </c>
      <c r="J16" t="n">
        <v>7</v>
      </c>
      <c r="K16" t="n">
        <v>0</v>
      </c>
      <c r="L16" t="n">
        <v>0</v>
      </c>
      <c r="M16" t="n">
        <v>0</v>
      </c>
      <c r="N16" t="n">
        <v>0</v>
      </c>
      <c r="O16" t="n">
        <v>7</v>
      </c>
      <c r="P16" t="n">
        <v>0</v>
      </c>
      <c r="Q16" t="n">
        <v>8</v>
      </c>
      <c r="R16" s="2" t="inlineStr">
        <is>
          <t>Blågrå svartspik
Dvärgbägarlav
Garnlav
Kolflarnlav
Vedflamlav
Vedtrappmossa
Vitgrynig nållav
Plattlummer</t>
        </is>
      </c>
      <c r="S16">
        <f>HYPERLINK("https://klasma.github.io/Logging_2505/artfynd/A 25530-2024 artfynd.xlsx", "A 25530-2024")</f>
        <v/>
      </c>
      <c r="T16">
        <f>HYPERLINK("https://klasma.github.io/Logging_2505/kartor/A 25530-2024 karta.png", "A 25530-2024")</f>
        <v/>
      </c>
      <c r="V16">
        <f>HYPERLINK("https://klasma.github.io/Logging_2505/klagomål/A 25530-2024 FSC-klagomål.docx", "A 25530-2024")</f>
        <v/>
      </c>
      <c r="W16">
        <f>HYPERLINK("https://klasma.github.io/Logging_2505/klagomålsmail/A 25530-2024 FSC-klagomål mail.docx", "A 25530-2024")</f>
        <v/>
      </c>
      <c r="X16">
        <f>HYPERLINK("https://klasma.github.io/Logging_2505/tillsyn/A 25530-2024 tillsynsbegäran.docx", "A 25530-2024")</f>
        <v/>
      </c>
      <c r="Y16">
        <f>HYPERLINK("https://klasma.github.io/Logging_2505/tillsynsmail/A 25530-2024 tillsynsbegäran mail.docx", "A 25530-2024")</f>
        <v/>
      </c>
    </row>
    <row r="17" ht="15" customHeight="1">
      <c r="A17" t="inlineStr">
        <is>
          <t>A 29315-2023</t>
        </is>
      </c>
      <c r="B17" s="1" t="n">
        <v>45105</v>
      </c>
      <c r="C17" s="1" t="n">
        <v>45473</v>
      </c>
      <c r="D17" t="inlineStr">
        <is>
          <t>NORRBOTTENS LÄN</t>
        </is>
      </c>
      <c r="E17" t="inlineStr">
        <is>
          <t>ARVIDSJAUR</t>
        </is>
      </c>
      <c r="G17" t="n">
        <v>9.800000000000001</v>
      </c>
      <c r="H17" t="n">
        <v>2</v>
      </c>
      <c r="I17" t="n">
        <v>0</v>
      </c>
      <c r="J17" t="n">
        <v>7</v>
      </c>
      <c r="K17" t="n">
        <v>0</v>
      </c>
      <c r="L17" t="n">
        <v>0</v>
      </c>
      <c r="M17" t="n">
        <v>0</v>
      </c>
      <c r="N17" t="n">
        <v>0</v>
      </c>
      <c r="O17" t="n">
        <v>7</v>
      </c>
      <c r="P17" t="n">
        <v>0</v>
      </c>
      <c r="Q17" t="n">
        <v>7</v>
      </c>
      <c r="R17" s="2" t="inlineStr">
        <is>
          <t>Gammelgransskål
Garnlav
Granticka
Harticka
Spillkråka
Tretåig hackspett
Ullticka</t>
        </is>
      </c>
      <c r="S17">
        <f>HYPERLINK("https://klasma.github.io/Logging_2505/artfynd/A 29315-2023 artfynd.xlsx", "A 29315-2023")</f>
        <v/>
      </c>
      <c r="T17">
        <f>HYPERLINK("https://klasma.github.io/Logging_2505/kartor/A 29315-2023 karta.png", "A 29315-2023")</f>
        <v/>
      </c>
      <c r="V17">
        <f>HYPERLINK("https://klasma.github.io/Logging_2505/klagomål/A 29315-2023 FSC-klagomål.docx", "A 29315-2023")</f>
        <v/>
      </c>
      <c r="W17">
        <f>HYPERLINK("https://klasma.github.io/Logging_2505/klagomålsmail/A 29315-2023 FSC-klagomål mail.docx", "A 29315-2023")</f>
        <v/>
      </c>
      <c r="X17">
        <f>HYPERLINK("https://klasma.github.io/Logging_2505/tillsyn/A 29315-2023 tillsynsbegäran.docx", "A 29315-2023")</f>
        <v/>
      </c>
      <c r="Y17">
        <f>HYPERLINK("https://klasma.github.io/Logging_2505/tillsynsmail/A 29315-2023 tillsynsbegäran mail.docx", "A 29315-2023")</f>
        <v/>
      </c>
      <c r="Z17">
        <f>HYPERLINK("https://klasma.github.io/Logging_2505/fåglar/A 29315-2023 prioriterade fågelarter.docx", "A 29315-2023")</f>
        <v/>
      </c>
    </row>
    <row r="18" ht="15" customHeight="1">
      <c r="A18" t="inlineStr">
        <is>
          <t>A 27740-2022</t>
        </is>
      </c>
      <c r="B18" s="1" t="n">
        <v>44743</v>
      </c>
      <c r="C18" s="1" t="n">
        <v>45473</v>
      </c>
      <c r="D18" t="inlineStr">
        <is>
          <t>NORRBOTTENS LÄN</t>
        </is>
      </c>
      <c r="E18" t="inlineStr">
        <is>
          <t>ARVIDSJAUR</t>
        </is>
      </c>
      <c r="F18" t="inlineStr">
        <is>
          <t>Sveaskog</t>
        </is>
      </c>
      <c r="G18" t="n">
        <v>17.1</v>
      </c>
      <c r="H18" t="n">
        <v>0</v>
      </c>
      <c r="I18" t="n">
        <v>0</v>
      </c>
      <c r="J18" t="n">
        <v>3</v>
      </c>
      <c r="K18" t="n">
        <v>3</v>
      </c>
      <c r="L18" t="n">
        <v>0</v>
      </c>
      <c r="M18" t="n">
        <v>0</v>
      </c>
      <c r="N18" t="n">
        <v>0</v>
      </c>
      <c r="O18" t="n">
        <v>6</v>
      </c>
      <c r="P18" t="n">
        <v>3</v>
      </c>
      <c r="Q18" t="n">
        <v>6</v>
      </c>
      <c r="R18" s="2" t="inlineStr">
        <is>
          <t>Fläckporing
Spadskinn
Tajgataggsvamp
Skrovlig taggsvamp
Talltaggsvamp
Vaddporing</t>
        </is>
      </c>
      <c r="S18">
        <f>HYPERLINK("https://klasma.github.io/Logging_2505/artfynd/A 27740-2022 artfynd.xlsx", "A 27740-2022")</f>
        <v/>
      </c>
      <c r="T18">
        <f>HYPERLINK("https://klasma.github.io/Logging_2505/kartor/A 27740-2022 karta.png", "A 27740-2022")</f>
        <v/>
      </c>
      <c r="V18">
        <f>HYPERLINK("https://klasma.github.io/Logging_2505/klagomål/A 27740-2022 FSC-klagomål.docx", "A 27740-2022")</f>
        <v/>
      </c>
      <c r="W18">
        <f>HYPERLINK("https://klasma.github.io/Logging_2505/klagomålsmail/A 27740-2022 FSC-klagomål mail.docx", "A 27740-2022")</f>
        <v/>
      </c>
      <c r="X18">
        <f>HYPERLINK("https://klasma.github.io/Logging_2505/tillsyn/A 27740-2022 tillsynsbegäran.docx", "A 27740-2022")</f>
        <v/>
      </c>
      <c r="Y18">
        <f>HYPERLINK("https://klasma.github.io/Logging_2505/tillsynsmail/A 27740-2022 tillsynsbegäran mail.docx", "A 27740-2022")</f>
        <v/>
      </c>
    </row>
    <row r="19" ht="15" customHeight="1">
      <c r="A19" t="inlineStr">
        <is>
          <t>A 51132-2022</t>
        </is>
      </c>
      <c r="B19" s="1" t="n">
        <v>44868</v>
      </c>
      <c r="C19" s="1" t="n">
        <v>45473</v>
      </c>
      <c r="D19" t="inlineStr">
        <is>
          <t>NORRBOTTENS LÄN</t>
        </is>
      </c>
      <c r="E19" t="inlineStr">
        <is>
          <t>ARVIDSJAUR</t>
        </is>
      </c>
      <c r="F19" t="inlineStr">
        <is>
          <t>Sveaskog</t>
        </is>
      </c>
      <c r="G19" t="n">
        <v>13.7</v>
      </c>
      <c r="H19" t="n">
        <v>0</v>
      </c>
      <c r="I19" t="n">
        <v>2</v>
      </c>
      <c r="J19" t="n">
        <v>3</v>
      </c>
      <c r="K19" t="n">
        <v>1</v>
      </c>
      <c r="L19" t="n">
        <v>0</v>
      </c>
      <c r="M19" t="n">
        <v>0</v>
      </c>
      <c r="N19" t="n">
        <v>0</v>
      </c>
      <c r="O19" t="n">
        <v>4</v>
      </c>
      <c r="P19" t="n">
        <v>1</v>
      </c>
      <c r="Q19" t="n">
        <v>6</v>
      </c>
      <c r="R19" s="2" t="inlineStr">
        <is>
          <t>Gräddporing
Knottrig blåslav
Kolflarnlav
Nordtagging
Dropptaggsvamp
Vedticka</t>
        </is>
      </c>
      <c r="S19">
        <f>HYPERLINK("https://klasma.github.io/Logging_2505/artfynd/A 51132-2022 artfynd.xlsx", "A 51132-2022")</f>
        <v/>
      </c>
      <c r="T19">
        <f>HYPERLINK("https://klasma.github.io/Logging_2505/kartor/A 51132-2022 karta.png", "A 51132-2022")</f>
        <v/>
      </c>
      <c r="V19">
        <f>HYPERLINK("https://klasma.github.io/Logging_2505/klagomål/A 51132-2022 FSC-klagomål.docx", "A 51132-2022")</f>
        <v/>
      </c>
      <c r="W19">
        <f>HYPERLINK("https://klasma.github.io/Logging_2505/klagomålsmail/A 51132-2022 FSC-klagomål mail.docx", "A 51132-2022")</f>
        <v/>
      </c>
      <c r="X19">
        <f>HYPERLINK("https://klasma.github.io/Logging_2505/tillsyn/A 51132-2022 tillsynsbegäran.docx", "A 51132-2022")</f>
        <v/>
      </c>
      <c r="Y19">
        <f>HYPERLINK("https://klasma.github.io/Logging_2505/tillsynsmail/A 51132-2022 tillsynsbegäran mail.docx", "A 51132-2022")</f>
        <v/>
      </c>
    </row>
    <row r="20" ht="15" customHeight="1">
      <c r="A20" t="inlineStr">
        <is>
          <t>A 20810-2024</t>
        </is>
      </c>
      <c r="B20" s="1" t="n">
        <v>45439</v>
      </c>
      <c r="C20" s="1" t="n">
        <v>45473</v>
      </c>
      <c r="D20" t="inlineStr">
        <is>
          <t>NORRBOTTENS LÄN</t>
        </is>
      </c>
      <c r="E20" t="inlineStr">
        <is>
          <t>ARVIDSJAUR</t>
        </is>
      </c>
      <c r="G20" t="n">
        <v>27.6</v>
      </c>
      <c r="H20" t="n">
        <v>1</v>
      </c>
      <c r="I20" t="n">
        <v>1</v>
      </c>
      <c r="J20" t="n">
        <v>5</v>
      </c>
      <c r="K20" t="n">
        <v>0</v>
      </c>
      <c r="L20" t="n">
        <v>0</v>
      </c>
      <c r="M20" t="n">
        <v>0</v>
      </c>
      <c r="N20" t="n">
        <v>0</v>
      </c>
      <c r="O20" t="n">
        <v>5</v>
      </c>
      <c r="P20" t="n">
        <v>0</v>
      </c>
      <c r="Q20" t="n">
        <v>6</v>
      </c>
      <c r="R20" s="2" t="inlineStr">
        <is>
          <t>Gammelgransskål
Garnlav
Granticka
Tretåig hackspett
Ullticka
Trådticka</t>
        </is>
      </c>
      <c r="S20">
        <f>HYPERLINK("https://klasma.github.io/Logging_2505/artfynd/A 20810-2024 artfynd.xlsx", "A 20810-2024")</f>
        <v/>
      </c>
      <c r="T20">
        <f>HYPERLINK("https://klasma.github.io/Logging_2505/kartor/A 20810-2024 karta.png", "A 20810-2024")</f>
        <v/>
      </c>
      <c r="V20">
        <f>HYPERLINK("https://klasma.github.io/Logging_2505/klagomål/A 20810-2024 FSC-klagomål.docx", "A 20810-2024")</f>
        <v/>
      </c>
      <c r="W20">
        <f>HYPERLINK("https://klasma.github.io/Logging_2505/klagomålsmail/A 20810-2024 FSC-klagomål mail.docx", "A 20810-2024")</f>
        <v/>
      </c>
      <c r="X20">
        <f>HYPERLINK("https://klasma.github.io/Logging_2505/tillsyn/A 20810-2024 tillsynsbegäran.docx", "A 20810-2024")</f>
        <v/>
      </c>
      <c r="Y20">
        <f>HYPERLINK("https://klasma.github.io/Logging_2505/tillsynsmail/A 20810-2024 tillsynsbegäran mail.docx", "A 20810-2024")</f>
        <v/>
      </c>
      <c r="Z20">
        <f>HYPERLINK("https://klasma.github.io/Logging_2505/fåglar/A 20810-2024 prioriterade fågelarter.docx", "A 20810-2024")</f>
        <v/>
      </c>
    </row>
    <row r="21" ht="15" customHeight="1">
      <c r="A21" t="inlineStr">
        <is>
          <t>A 31593-2020</t>
        </is>
      </c>
      <c r="B21" s="1" t="n">
        <v>44013</v>
      </c>
      <c r="C21" s="1" t="n">
        <v>45473</v>
      </c>
      <c r="D21" t="inlineStr">
        <is>
          <t>NORRBOTTENS LÄN</t>
        </is>
      </c>
      <c r="E21" t="inlineStr">
        <is>
          <t>ARVIDSJAUR</t>
        </is>
      </c>
      <c r="F21" t="inlineStr">
        <is>
          <t>Sveaskog</t>
        </is>
      </c>
      <c r="G21" t="n">
        <v>4.3</v>
      </c>
      <c r="H21" t="n">
        <v>1</v>
      </c>
      <c r="I21" t="n">
        <v>0</v>
      </c>
      <c r="J21" t="n">
        <v>5</v>
      </c>
      <c r="K21" t="n">
        <v>0</v>
      </c>
      <c r="L21" t="n">
        <v>0</v>
      </c>
      <c r="M21" t="n">
        <v>0</v>
      </c>
      <c r="N21" t="n">
        <v>0</v>
      </c>
      <c r="O21" t="n">
        <v>5</v>
      </c>
      <c r="P21" t="n">
        <v>0</v>
      </c>
      <c r="Q21" t="n">
        <v>5</v>
      </c>
      <c r="R21" s="2" t="inlineStr">
        <is>
          <t>Dvärgbägarlav
Gammelgransskål
Garnlav
Granticka
Järpe</t>
        </is>
      </c>
      <c r="S21">
        <f>HYPERLINK("https://klasma.github.io/Logging_2505/artfynd/A 31593-2020 artfynd.xlsx", "A 31593-2020")</f>
        <v/>
      </c>
      <c r="T21">
        <f>HYPERLINK("https://klasma.github.io/Logging_2505/kartor/A 31593-2020 karta.png", "A 31593-2020")</f>
        <v/>
      </c>
      <c r="V21">
        <f>HYPERLINK("https://klasma.github.io/Logging_2505/klagomål/A 31593-2020 FSC-klagomål.docx", "A 31593-2020")</f>
        <v/>
      </c>
      <c r="W21">
        <f>HYPERLINK("https://klasma.github.io/Logging_2505/klagomålsmail/A 31593-2020 FSC-klagomål mail.docx", "A 31593-2020")</f>
        <v/>
      </c>
      <c r="X21">
        <f>HYPERLINK("https://klasma.github.io/Logging_2505/tillsyn/A 31593-2020 tillsynsbegäran.docx", "A 31593-2020")</f>
        <v/>
      </c>
      <c r="Y21">
        <f>HYPERLINK("https://klasma.github.io/Logging_2505/tillsynsmail/A 31593-2020 tillsynsbegäran mail.docx", "A 31593-2020")</f>
        <v/>
      </c>
      <c r="Z21">
        <f>HYPERLINK("https://klasma.github.io/Logging_2505/fåglar/A 31593-2020 prioriterade fågelarter.docx", "A 31593-2020")</f>
        <v/>
      </c>
    </row>
    <row r="22" ht="15" customHeight="1">
      <c r="A22" t="inlineStr">
        <is>
          <t>A 48650-2021</t>
        </is>
      </c>
      <c r="B22" s="1" t="n">
        <v>44452</v>
      </c>
      <c r="C22" s="1" t="n">
        <v>45473</v>
      </c>
      <c r="D22" t="inlineStr">
        <is>
          <t>NORRBOTTENS LÄN</t>
        </is>
      </c>
      <c r="E22" t="inlineStr">
        <is>
          <t>ARVIDSJAUR</t>
        </is>
      </c>
      <c r="G22" t="n">
        <v>18.2</v>
      </c>
      <c r="H22" t="n">
        <v>0</v>
      </c>
      <c r="I22" t="n">
        <v>2</v>
      </c>
      <c r="J22" t="n">
        <v>3</v>
      </c>
      <c r="K22" t="n">
        <v>0</v>
      </c>
      <c r="L22" t="n">
        <v>0</v>
      </c>
      <c r="M22" t="n">
        <v>0</v>
      </c>
      <c r="N22" t="n">
        <v>0</v>
      </c>
      <c r="O22" t="n">
        <v>3</v>
      </c>
      <c r="P22" t="n">
        <v>0</v>
      </c>
      <c r="Q22" t="n">
        <v>5</v>
      </c>
      <c r="R22" s="2" t="inlineStr">
        <is>
          <t>Lunglav
Rosenticka
Ullticka
Luddlav
Skinnlav</t>
        </is>
      </c>
      <c r="S22">
        <f>HYPERLINK("https://klasma.github.io/Logging_2505/artfynd/A 48650-2021 artfynd.xlsx", "A 48650-2021")</f>
        <v/>
      </c>
      <c r="T22">
        <f>HYPERLINK("https://klasma.github.io/Logging_2505/kartor/A 48650-2021 karta.png", "A 48650-2021")</f>
        <v/>
      </c>
      <c r="V22">
        <f>HYPERLINK("https://klasma.github.io/Logging_2505/klagomål/A 48650-2021 FSC-klagomål.docx", "A 48650-2021")</f>
        <v/>
      </c>
      <c r="W22">
        <f>HYPERLINK("https://klasma.github.io/Logging_2505/klagomålsmail/A 48650-2021 FSC-klagomål mail.docx", "A 48650-2021")</f>
        <v/>
      </c>
      <c r="X22">
        <f>HYPERLINK("https://klasma.github.io/Logging_2505/tillsyn/A 48650-2021 tillsynsbegäran.docx", "A 48650-2021")</f>
        <v/>
      </c>
      <c r="Y22">
        <f>HYPERLINK("https://klasma.github.io/Logging_2505/tillsynsmail/A 48650-2021 tillsynsbegäran mail.docx", "A 48650-2021")</f>
        <v/>
      </c>
    </row>
    <row r="23" ht="15" customHeight="1">
      <c r="A23" t="inlineStr">
        <is>
          <t>A 39293-2022</t>
        </is>
      </c>
      <c r="B23" s="1" t="n">
        <v>44817</v>
      </c>
      <c r="C23" s="1" t="n">
        <v>45473</v>
      </c>
      <c r="D23" t="inlineStr">
        <is>
          <t>NORRBOTTENS LÄN</t>
        </is>
      </c>
      <c r="E23" t="inlineStr">
        <is>
          <t>ARVIDSJAUR</t>
        </is>
      </c>
      <c r="G23" t="n">
        <v>8.6</v>
      </c>
      <c r="H23" t="n">
        <v>1</v>
      </c>
      <c r="I23" t="n">
        <v>1</v>
      </c>
      <c r="J23" t="n">
        <v>4</v>
      </c>
      <c r="K23" t="n">
        <v>0</v>
      </c>
      <c r="L23" t="n">
        <v>0</v>
      </c>
      <c r="M23" t="n">
        <v>0</v>
      </c>
      <c r="N23" t="n">
        <v>0</v>
      </c>
      <c r="O23" t="n">
        <v>4</v>
      </c>
      <c r="P23" t="n">
        <v>0</v>
      </c>
      <c r="Q23" t="n">
        <v>5</v>
      </c>
      <c r="R23" s="2" t="inlineStr">
        <is>
          <t>Gammelgransskål
Garnlav
Stjärntagging
Ullticka
Korallrot</t>
        </is>
      </c>
      <c r="S23">
        <f>HYPERLINK("https://klasma.github.io/Logging_2505/artfynd/A 39293-2022 artfynd.xlsx", "A 39293-2022")</f>
        <v/>
      </c>
      <c r="T23">
        <f>HYPERLINK("https://klasma.github.io/Logging_2505/kartor/A 39293-2022 karta.png", "A 39293-2022")</f>
        <v/>
      </c>
      <c r="V23">
        <f>HYPERLINK("https://klasma.github.io/Logging_2505/klagomål/A 39293-2022 FSC-klagomål.docx", "A 39293-2022")</f>
        <v/>
      </c>
      <c r="W23">
        <f>HYPERLINK("https://klasma.github.io/Logging_2505/klagomålsmail/A 39293-2022 FSC-klagomål mail.docx", "A 39293-2022")</f>
        <v/>
      </c>
      <c r="X23">
        <f>HYPERLINK("https://klasma.github.io/Logging_2505/tillsyn/A 39293-2022 tillsynsbegäran.docx", "A 39293-2022")</f>
        <v/>
      </c>
      <c r="Y23">
        <f>HYPERLINK("https://klasma.github.io/Logging_2505/tillsynsmail/A 39293-2022 tillsynsbegäran mail.docx", "A 39293-2022")</f>
        <v/>
      </c>
    </row>
    <row r="24" ht="15" customHeight="1">
      <c r="A24" t="inlineStr">
        <is>
          <t>A 39288-2022</t>
        </is>
      </c>
      <c r="B24" s="1" t="n">
        <v>44817</v>
      </c>
      <c r="C24" s="1" t="n">
        <v>45473</v>
      </c>
      <c r="D24" t="inlineStr">
        <is>
          <t>NORRBOTTENS LÄN</t>
        </is>
      </c>
      <c r="E24" t="inlineStr">
        <is>
          <t>ARVIDSJAUR</t>
        </is>
      </c>
      <c r="G24" t="n">
        <v>2</v>
      </c>
      <c r="H24" t="n">
        <v>1</v>
      </c>
      <c r="I24" t="n">
        <v>0</v>
      </c>
      <c r="J24" t="n">
        <v>4</v>
      </c>
      <c r="K24" t="n">
        <v>0</v>
      </c>
      <c r="L24" t="n">
        <v>0</v>
      </c>
      <c r="M24" t="n">
        <v>0</v>
      </c>
      <c r="N24" t="n">
        <v>0</v>
      </c>
      <c r="O24" t="n">
        <v>4</v>
      </c>
      <c r="P24" t="n">
        <v>0</v>
      </c>
      <c r="Q24" t="n">
        <v>4</v>
      </c>
      <c r="R24" s="2" t="inlineStr">
        <is>
          <t>Gammelgransskål
Garnlav
Granticka
Tretåig hackspett</t>
        </is>
      </c>
      <c r="S24">
        <f>HYPERLINK("https://klasma.github.io/Logging_2505/artfynd/A 39288-2022 artfynd.xlsx", "A 39288-2022")</f>
        <v/>
      </c>
      <c r="T24">
        <f>HYPERLINK("https://klasma.github.io/Logging_2505/kartor/A 39288-2022 karta.png", "A 39288-2022")</f>
        <v/>
      </c>
      <c r="V24">
        <f>HYPERLINK("https://klasma.github.io/Logging_2505/klagomål/A 39288-2022 FSC-klagomål.docx", "A 39288-2022")</f>
        <v/>
      </c>
      <c r="W24">
        <f>HYPERLINK("https://klasma.github.io/Logging_2505/klagomålsmail/A 39288-2022 FSC-klagomål mail.docx", "A 39288-2022")</f>
        <v/>
      </c>
      <c r="X24">
        <f>HYPERLINK("https://klasma.github.io/Logging_2505/tillsyn/A 39288-2022 tillsynsbegäran.docx", "A 39288-2022")</f>
        <v/>
      </c>
      <c r="Y24">
        <f>HYPERLINK("https://klasma.github.io/Logging_2505/tillsynsmail/A 39288-2022 tillsynsbegäran mail.docx", "A 39288-2022")</f>
        <v/>
      </c>
      <c r="Z24">
        <f>HYPERLINK("https://klasma.github.io/Logging_2505/fåglar/A 39288-2022 prioriterade fågelarter.docx", "A 39288-2022")</f>
        <v/>
      </c>
    </row>
    <row r="25" ht="15" customHeight="1">
      <c r="A25" t="inlineStr">
        <is>
          <t>A 29088-2023</t>
        </is>
      </c>
      <c r="B25" s="1" t="n">
        <v>45105</v>
      </c>
      <c r="C25" s="1" t="n">
        <v>45473</v>
      </c>
      <c r="D25" t="inlineStr">
        <is>
          <t>NORRBOTTENS LÄN</t>
        </is>
      </c>
      <c r="E25" t="inlineStr">
        <is>
          <t>ARVIDSJAUR</t>
        </is>
      </c>
      <c r="F25" t="inlineStr">
        <is>
          <t>Sveaskog</t>
        </is>
      </c>
      <c r="G25" t="n">
        <v>28</v>
      </c>
      <c r="H25" t="n">
        <v>1</v>
      </c>
      <c r="I25" t="n">
        <v>0</v>
      </c>
      <c r="J25" t="n">
        <v>3</v>
      </c>
      <c r="K25" t="n">
        <v>1</v>
      </c>
      <c r="L25" t="n">
        <v>0</v>
      </c>
      <c r="M25" t="n">
        <v>0</v>
      </c>
      <c r="N25" t="n">
        <v>0</v>
      </c>
      <c r="O25" t="n">
        <v>4</v>
      </c>
      <c r="P25" t="n">
        <v>1</v>
      </c>
      <c r="Q25" t="n">
        <v>4</v>
      </c>
      <c r="R25" s="2" t="inlineStr">
        <is>
          <t>Doftticka
Garnlav
Granticka
Lunglav</t>
        </is>
      </c>
      <c r="S25">
        <f>HYPERLINK("https://klasma.github.io/Logging_2505/artfynd/A 29088-2023 artfynd.xlsx", "A 29088-2023")</f>
        <v/>
      </c>
      <c r="T25">
        <f>HYPERLINK("https://klasma.github.io/Logging_2505/kartor/A 29088-2023 karta.png", "A 29088-2023")</f>
        <v/>
      </c>
      <c r="V25">
        <f>HYPERLINK("https://klasma.github.io/Logging_2505/klagomål/A 29088-2023 FSC-klagomål.docx", "A 29088-2023")</f>
        <v/>
      </c>
      <c r="W25">
        <f>HYPERLINK("https://klasma.github.io/Logging_2505/klagomålsmail/A 29088-2023 FSC-klagomål mail.docx", "A 29088-2023")</f>
        <v/>
      </c>
      <c r="X25">
        <f>HYPERLINK("https://klasma.github.io/Logging_2505/tillsyn/A 29088-2023 tillsynsbegäran.docx", "A 29088-2023")</f>
        <v/>
      </c>
      <c r="Y25">
        <f>HYPERLINK("https://klasma.github.io/Logging_2505/tillsynsmail/A 29088-2023 tillsynsbegäran mail.docx", "A 29088-2023")</f>
        <v/>
      </c>
    </row>
    <row r="26" ht="15" customHeight="1">
      <c r="A26" t="inlineStr">
        <is>
          <t>A 36411-2023</t>
        </is>
      </c>
      <c r="B26" s="1" t="n">
        <v>45152</v>
      </c>
      <c r="C26" s="1" t="n">
        <v>45473</v>
      </c>
      <c r="D26" t="inlineStr">
        <is>
          <t>NORRBOTTENS LÄN</t>
        </is>
      </c>
      <c r="E26" t="inlineStr">
        <is>
          <t>ARVIDSJAUR</t>
        </is>
      </c>
      <c r="F26" t="inlineStr">
        <is>
          <t>Sveaskog</t>
        </is>
      </c>
      <c r="G26" t="n">
        <v>11.4</v>
      </c>
      <c r="H26" t="n">
        <v>0</v>
      </c>
      <c r="I26" t="n">
        <v>0</v>
      </c>
      <c r="J26" t="n">
        <v>1</v>
      </c>
      <c r="K26" t="n">
        <v>3</v>
      </c>
      <c r="L26" t="n">
        <v>0</v>
      </c>
      <c r="M26" t="n">
        <v>0</v>
      </c>
      <c r="N26" t="n">
        <v>0</v>
      </c>
      <c r="O26" t="n">
        <v>4</v>
      </c>
      <c r="P26" t="n">
        <v>3</v>
      </c>
      <c r="Q26" t="n">
        <v>4</v>
      </c>
      <c r="R26" s="2" t="inlineStr">
        <is>
          <t>Fläckporing
Gräddporing
Smalfotad taggsvamp
Vaddporing</t>
        </is>
      </c>
      <c r="S26">
        <f>HYPERLINK("https://klasma.github.io/Logging_2505/artfynd/A 36411-2023 artfynd.xlsx", "A 36411-2023")</f>
        <v/>
      </c>
      <c r="T26">
        <f>HYPERLINK("https://klasma.github.io/Logging_2505/kartor/A 36411-2023 karta.png", "A 36411-2023")</f>
        <v/>
      </c>
      <c r="V26">
        <f>HYPERLINK("https://klasma.github.io/Logging_2505/klagomål/A 36411-2023 FSC-klagomål.docx", "A 36411-2023")</f>
        <v/>
      </c>
      <c r="W26">
        <f>HYPERLINK("https://klasma.github.io/Logging_2505/klagomålsmail/A 36411-2023 FSC-klagomål mail.docx", "A 36411-2023")</f>
        <v/>
      </c>
      <c r="X26">
        <f>HYPERLINK("https://klasma.github.io/Logging_2505/tillsyn/A 36411-2023 tillsynsbegäran.docx", "A 36411-2023")</f>
        <v/>
      </c>
      <c r="Y26">
        <f>HYPERLINK("https://klasma.github.io/Logging_2505/tillsynsmail/A 36411-2023 tillsynsbegäran mail.docx", "A 36411-2023")</f>
        <v/>
      </c>
    </row>
    <row r="27" ht="15" customHeight="1">
      <c r="A27" t="inlineStr">
        <is>
          <t>A 33453-2022</t>
        </is>
      </c>
      <c r="B27" s="1" t="n">
        <v>44788</v>
      </c>
      <c r="C27" s="1" t="n">
        <v>45473</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45473</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45473</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45473</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45473</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45473</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45473</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45473</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45473</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18136-2019</t>
        </is>
      </c>
      <c r="B36" s="1" t="n">
        <v>43556</v>
      </c>
      <c r="C36" s="1" t="n">
        <v>45473</v>
      </c>
      <c r="D36" t="inlineStr">
        <is>
          <t>NORRBOTTENS LÄN</t>
        </is>
      </c>
      <c r="E36" t="inlineStr">
        <is>
          <t>ARVIDSJAUR</t>
        </is>
      </c>
      <c r="G36" t="n">
        <v>4.8</v>
      </c>
      <c r="H36" t="n">
        <v>1</v>
      </c>
      <c r="I36" t="n">
        <v>0</v>
      </c>
      <c r="J36" t="n">
        <v>0</v>
      </c>
      <c r="K36" t="n">
        <v>0</v>
      </c>
      <c r="L36" t="n">
        <v>0</v>
      </c>
      <c r="M36" t="n">
        <v>1</v>
      </c>
      <c r="N36" t="n">
        <v>0</v>
      </c>
      <c r="O36" t="n">
        <v>1</v>
      </c>
      <c r="P36" t="n">
        <v>1</v>
      </c>
      <c r="Q36" t="n">
        <v>1</v>
      </c>
      <c r="R36" s="2" t="inlineStr">
        <is>
          <t>Ortolansparv</t>
        </is>
      </c>
      <c r="S36">
        <f>HYPERLINK("https://klasma.github.io/Logging_2505/artfynd/A 18136-2019 artfynd.xlsx", "A 18136-2019")</f>
        <v/>
      </c>
      <c r="T36">
        <f>HYPERLINK("https://klasma.github.io/Logging_2505/kartor/A 18136-2019 karta.png", "A 18136-2019")</f>
        <v/>
      </c>
      <c r="V36">
        <f>HYPERLINK("https://klasma.github.io/Logging_2505/klagomål/A 18136-2019 FSC-klagomål.docx", "A 18136-2019")</f>
        <v/>
      </c>
      <c r="W36">
        <f>HYPERLINK("https://klasma.github.io/Logging_2505/klagomålsmail/A 18136-2019 FSC-klagomål mail.docx", "A 18136-2019")</f>
        <v/>
      </c>
      <c r="X36">
        <f>HYPERLINK("https://klasma.github.io/Logging_2505/tillsyn/A 18136-2019 tillsynsbegäran.docx", "A 18136-2019")</f>
        <v/>
      </c>
      <c r="Y36">
        <f>HYPERLINK("https://klasma.github.io/Logging_2505/tillsynsmail/A 18136-2019 tillsynsbegäran mail.docx", "A 18136-2019")</f>
        <v/>
      </c>
      <c r="Z36">
        <f>HYPERLINK("https://klasma.github.io/Logging_2505/fåglar/A 18136-2019 prioriterade fågelarter.docx", "A 18136-2019")</f>
        <v/>
      </c>
    </row>
    <row r="37" ht="15" customHeight="1">
      <c r="A37" t="inlineStr">
        <is>
          <t>A 30414-2019</t>
        </is>
      </c>
      <c r="B37" s="1" t="n">
        <v>43635</v>
      </c>
      <c r="C37" s="1" t="n">
        <v>45473</v>
      </c>
      <c r="D37" t="inlineStr">
        <is>
          <t>NORRBOTTENS LÄN</t>
        </is>
      </c>
      <c r="E37" t="inlineStr">
        <is>
          <t>ARVIDSJAUR</t>
        </is>
      </c>
      <c r="F37" t="inlineStr">
        <is>
          <t>Sveaskog</t>
        </is>
      </c>
      <c r="G37" t="n">
        <v>4.3</v>
      </c>
      <c r="H37" t="n">
        <v>0</v>
      </c>
      <c r="I37" t="n">
        <v>0</v>
      </c>
      <c r="J37" t="n">
        <v>1</v>
      </c>
      <c r="K37" t="n">
        <v>0</v>
      </c>
      <c r="L37" t="n">
        <v>0</v>
      </c>
      <c r="M37" t="n">
        <v>0</v>
      </c>
      <c r="N37" t="n">
        <v>0</v>
      </c>
      <c r="O37" t="n">
        <v>1</v>
      </c>
      <c r="P37" t="n">
        <v>0</v>
      </c>
      <c r="Q37" t="n">
        <v>1</v>
      </c>
      <c r="R37" s="2" t="inlineStr">
        <is>
          <t>Motaggsvamp</t>
        </is>
      </c>
      <c r="S37">
        <f>HYPERLINK("https://klasma.github.io/Logging_2505/artfynd/A 30414-2019 artfynd.xlsx", "A 30414-2019")</f>
        <v/>
      </c>
      <c r="T37">
        <f>HYPERLINK("https://klasma.github.io/Logging_2505/kartor/A 30414-2019 karta.png", "A 30414-2019")</f>
        <v/>
      </c>
      <c r="V37">
        <f>HYPERLINK("https://klasma.github.io/Logging_2505/klagomål/A 30414-2019 FSC-klagomål.docx", "A 30414-2019")</f>
        <v/>
      </c>
      <c r="W37">
        <f>HYPERLINK("https://klasma.github.io/Logging_2505/klagomålsmail/A 30414-2019 FSC-klagomål mail.docx", "A 30414-2019")</f>
        <v/>
      </c>
      <c r="X37">
        <f>HYPERLINK("https://klasma.github.io/Logging_2505/tillsyn/A 30414-2019 tillsynsbegäran.docx", "A 30414-2019")</f>
        <v/>
      </c>
      <c r="Y37">
        <f>HYPERLINK("https://klasma.github.io/Logging_2505/tillsynsmail/A 30414-2019 tillsynsbegäran mail.docx", "A 30414-2019")</f>
        <v/>
      </c>
    </row>
    <row r="38" ht="15" customHeight="1">
      <c r="A38" t="inlineStr">
        <is>
          <t>A 31611-2019</t>
        </is>
      </c>
      <c r="B38" s="1" t="n">
        <v>43642</v>
      </c>
      <c r="C38" s="1" t="n">
        <v>45473</v>
      </c>
      <c r="D38" t="inlineStr">
        <is>
          <t>NORRBOTTENS LÄN</t>
        </is>
      </c>
      <c r="E38" t="inlineStr">
        <is>
          <t>ARVIDSJAUR</t>
        </is>
      </c>
      <c r="F38" t="inlineStr">
        <is>
          <t>Sveaskog</t>
        </is>
      </c>
      <c r="G38" t="n">
        <v>21.5</v>
      </c>
      <c r="H38" t="n">
        <v>0</v>
      </c>
      <c r="I38" t="n">
        <v>0</v>
      </c>
      <c r="J38" t="n">
        <v>1</v>
      </c>
      <c r="K38" t="n">
        <v>0</v>
      </c>
      <c r="L38" t="n">
        <v>0</v>
      </c>
      <c r="M38" t="n">
        <v>0</v>
      </c>
      <c r="N38" t="n">
        <v>0</v>
      </c>
      <c r="O38" t="n">
        <v>1</v>
      </c>
      <c r="P38" t="n">
        <v>0</v>
      </c>
      <c r="Q38" t="n">
        <v>1</v>
      </c>
      <c r="R38" s="2" t="inlineStr">
        <is>
          <t>Vaddporing</t>
        </is>
      </c>
      <c r="S38">
        <f>HYPERLINK("https://klasma.github.io/Logging_2505/artfynd/A 31611-2019 artfynd.xlsx", "A 31611-2019")</f>
        <v/>
      </c>
      <c r="T38">
        <f>HYPERLINK("https://klasma.github.io/Logging_2505/kartor/A 31611-2019 karta.png", "A 31611-2019")</f>
        <v/>
      </c>
      <c r="V38">
        <f>HYPERLINK("https://klasma.github.io/Logging_2505/klagomål/A 31611-2019 FSC-klagomål.docx", "A 31611-2019")</f>
        <v/>
      </c>
      <c r="W38">
        <f>HYPERLINK("https://klasma.github.io/Logging_2505/klagomålsmail/A 31611-2019 FSC-klagomål mail.docx", "A 31611-2019")</f>
        <v/>
      </c>
      <c r="X38">
        <f>HYPERLINK("https://klasma.github.io/Logging_2505/tillsyn/A 31611-2019 tillsynsbegäran.docx", "A 31611-2019")</f>
        <v/>
      </c>
      <c r="Y38">
        <f>HYPERLINK("https://klasma.github.io/Logging_2505/tillsynsmail/A 31611-2019 tillsynsbegäran mail.docx", "A 31611-2019")</f>
        <v/>
      </c>
    </row>
    <row r="39" ht="15" customHeight="1">
      <c r="A39" t="inlineStr">
        <is>
          <t>A 32173-2019</t>
        </is>
      </c>
      <c r="B39" s="1" t="n">
        <v>43643</v>
      </c>
      <c r="C39" s="1" t="n">
        <v>45473</v>
      </c>
      <c r="D39" t="inlineStr">
        <is>
          <t>NORRBOTTENS LÄN</t>
        </is>
      </c>
      <c r="E39" t="inlineStr">
        <is>
          <t>ARVIDSJAUR</t>
        </is>
      </c>
      <c r="F39" t="inlineStr">
        <is>
          <t>Sveaskog</t>
        </is>
      </c>
      <c r="G39" t="n">
        <v>6.1</v>
      </c>
      <c r="H39" t="n">
        <v>0</v>
      </c>
      <c r="I39" t="n">
        <v>0</v>
      </c>
      <c r="J39" t="n">
        <v>1</v>
      </c>
      <c r="K39" t="n">
        <v>0</v>
      </c>
      <c r="L39" t="n">
        <v>0</v>
      </c>
      <c r="M39" t="n">
        <v>0</v>
      </c>
      <c r="N39" t="n">
        <v>0</v>
      </c>
      <c r="O39" t="n">
        <v>1</v>
      </c>
      <c r="P39" t="n">
        <v>0</v>
      </c>
      <c r="Q39" t="n">
        <v>1</v>
      </c>
      <c r="R39" s="2" t="inlineStr">
        <is>
          <t>Motaggsvamp</t>
        </is>
      </c>
      <c r="S39">
        <f>HYPERLINK("https://klasma.github.io/Logging_2505/artfynd/A 32173-2019 artfynd.xlsx", "A 32173-2019")</f>
        <v/>
      </c>
      <c r="T39">
        <f>HYPERLINK("https://klasma.github.io/Logging_2505/kartor/A 32173-2019 karta.png", "A 32173-2019")</f>
        <v/>
      </c>
      <c r="V39">
        <f>HYPERLINK("https://klasma.github.io/Logging_2505/klagomål/A 32173-2019 FSC-klagomål.docx", "A 32173-2019")</f>
        <v/>
      </c>
      <c r="W39">
        <f>HYPERLINK("https://klasma.github.io/Logging_2505/klagomålsmail/A 32173-2019 FSC-klagomål mail.docx", "A 32173-2019")</f>
        <v/>
      </c>
      <c r="X39">
        <f>HYPERLINK("https://klasma.github.io/Logging_2505/tillsyn/A 32173-2019 tillsynsbegäran.docx", "A 32173-2019")</f>
        <v/>
      </c>
      <c r="Y39">
        <f>HYPERLINK("https://klasma.github.io/Logging_2505/tillsynsmail/A 32173-2019 tillsynsbegäran mail.docx", "A 32173-2019")</f>
        <v/>
      </c>
    </row>
    <row r="40" ht="15" customHeight="1">
      <c r="A40" t="inlineStr">
        <is>
          <t>A 57926-2021</t>
        </is>
      </c>
      <c r="B40" s="1" t="n">
        <v>44487</v>
      </c>
      <c r="C40" s="1" t="n">
        <v>45473</v>
      </c>
      <c r="D40" t="inlineStr">
        <is>
          <t>NORRBOTTENS LÄN</t>
        </is>
      </c>
      <c r="E40" t="inlineStr">
        <is>
          <t>ARVIDSJAUR</t>
        </is>
      </c>
      <c r="F40" t="inlineStr">
        <is>
          <t>Sveaskog</t>
        </is>
      </c>
      <c r="G40" t="n">
        <v>28.6</v>
      </c>
      <c r="H40" t="n">
        <v>0</v>
      </c>
      <c r="I40" t="n">
        <v>0</v>
      </c>
      <c r="J40" t="n">
        <v>1</v>
      </c>
      <c r="K40" t="n">
        <v>0</v>
      </c>
      <c r="L40" t="n">
        <v>0</v>
      </c>
      <c r="M40" t="n">
        <v>0</v>
      </c>
      <c r="N40" t="n">
        <v>0</v>
      </c>
      <c r="O40" t="n">
        <v>1</v>
      </c>
      <c r="P40" t="n">
        <v>0</v>
      </c>
      <c r="Q40" t="n">
        <v>1</v>
      </c>
      <c r="R40" s="2" t="inlineStr">
        <is>
          <t>Tallticka</t>
        </is>
      </c>
      <c r="S40">
        <f>HYPERLINK("https://klasma.github.io/Logging_2505/artfynd/A 57926-2021 artfynd.xlsx", "A 57926-2021")</f>
        <v/>
      </c>
      <c r="T40">
        <f>HYPERLINK("https://klasma.github.io/Logging_2505/kartor/A 57926-2021 karta.png", "A 57926-2021")</f>
        <v/>
      </c>
      <c r="V40">
        <f>HYPERLINK("https://klasma.github.io/Logging_2505/klagomål/A 57926-2021 FSC-klagomål.docx", "A 57926-2021")</f>
        <v/>
      </c>
      <c r="W40">
        <f>HYPERLINK("https://klasma.github.io/Logging_2505/klagomålsmail/A 57926-2021 FSC-klagomål mail.docx", "A 57926-2021")</f>
        <v/>
      </c>
      <c r="X40">
        <f>HYPERLINK("https://klasma.github.io/Logging_2505/tillsyn/A 57926-2021 tillsynsbegäran.docx", "A 57926-2021")</f>
        <v/>
      </c>
      <c r="Y40">
        <f>HYPERLINK("https://klasma.github.io/Logging_2505/tillsynsmail/A 57926-2021 tillsynsbegäran mail.docx", "A 57926-2021")</f>
        <v/>
      </c>
    </row>
    <row r="41" ht="15" customHeight="1">
      <c r="A41" t="inlineStr">
        <is>
          <t>A 57994-2021</t>
        </is>
      </c>
      <c r="B41" s="1" t="n">
        <v>44487</v>
      </c>
      <c r="C41" s="1" t="n">
        <v>45473</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42556-2022</t>
        </is>
      </c>
      <c r="B42" s="1" t="n">
        <v>44831</v>
      </c>
      <c r="C42" s="1" t="n">
        <v>45473</v>
      </c>
      <c r="D42" t="inlineStr">
        <is>
          <t>NORRBOTTENS LÄN</t>
        </is>
      </c>
      <c r="E42" t="inlineStr">
        <is>
          <t>ARVIDSJAUR</t>
        </is>
      </c>
      <c r="F42" t="inlineStr">
        <is>
          <t>Sveaskog</t>
        </is>
      </c>
      <c r="G42" t="n">
        <v>14.6</v>
      </c>
      <c r="H42" t="n">
        <v>0</v>
      </c>
      <c r="I42" t="n">
        <v>0</v>
      </c>
      <c r="J42" t="n">
        <v>1</v>
      </c>
      <c r="K42" t="n">
        <v>0</v>
      </c>
      <c r="L42" t="n">
        <v>0</v>
      </c>
      <c r="M42" t="n">
        <v>0</v>
      </c>
      <c r="N42" t="n">
        <v>0</v>
      </c>
      <c r="O42" t="n">
        <v>1</v>
      </c>
      <c r="P42" t="n">
        <v>0</v>
      </c>
      <c r="Q42" t="n">
        <v>1</v>
      </c>
      <c r="R42" s="2" t="inlineStr">
        <is>
          <t>Motaggsvamp</t>
        </is>
      </c>
      <c r="S42">
        <f>HYPERLINK("https://klasma.github.io/Logging_2505/artfynd/A 42556-2022 artfynd.xlsx", "A 42556-2022")</f>
        <v/>
      </c>
      <c r="T42">
        <f>HYPERLINK("https://klasma.github.io/Logging_2505/kartor/A 42556-2022 karta.png", "A 42556-2022")</f>
        <v/>
      </c>
      <c r="V42">
        <f>HYPERLINK("https://klasma.github.io/Logging_2505/klagomål/A 42556-2022 FSC-klagomål.docx", "A 42556-2022")</f>
        <v/>
      </c>
      <c r="W42">
        <f>HYPERLINK("https://klasma.github.io/Logging_2505/klagomålsmail/A 42556-2022 FSC-klagomål mail.docx", "A 42556-2022")</f>
        <v/>
      </c>
      <c r="X42">
        <f>HYPERLINK("https://klasma.github.io/Logging_2505/tillsyn/A 42556-2022 tillsynsbegäran.docx", "A 42556-2022")</f>
        <v/>
      </c>
      <c r="Y42">
        <f>HYPERLINK("https://klasma.github.io/Logging_2505/tillsynsmail/A 42556-2022 tillsynsbegäran mail.docx", "A 42556-2022")</f>
        <v/>
      </c>
    </row>
    <row r="43" ht="15" customHeight="1">
      <c r="A43" t="inlineStr">
        <is>
          <t>A 47954-2022</t>
        </is>
      </c>
      <c r="B43" s="1" t="n">
        <v>44855</v>
      </c>
      <c r="C43" s="1" t="n">
        <v>45473</v>
      </c>
      <c r="D43" t="inlineStr">
        <is>
          <t>NORRBOTTENS LÄN</t>
        </is>
      </c>
      <c r="E43" t="inlineStr">
        <is>
          <t>ARVIDSJAUR</t>
        </is>
      </c>
      <c r="F43" t="inlineStr">
        <is>
          <t>Sveaskog</t>
        </is>
      </c>
      <c r="G43" t="n">
        <v>3.3</v>
      </c>
      <c r="H43" t="n">
        <v>1</v>
      </c>
      <c r="I43" t="n">
        <v>0</v>
      </c>
      <c r="J43" t="n">
        <v>1</v>
      </c>
      <c r="K43" t="n">
        <v>0</v>
      </c>
      <c r="L43" t="n">
        <v>0</v>
      </c>
      <c r="M43" t="n">
        <v>0</v>
      </c>
      <c r="N43" t="n">
        <v>0</v>
      </c>
      <c r="O43" t="n">
        <v>1</v>
      </c>
      <c r="P43" t="n">
        <v>0</v>
      </c>
      <c r="Q43" t="n">
        <v>1</v>
      </c>
      <c r="R43" s="2" t="inlineStr">
        <is>
          <t>Spillkråka</t>
        </is>
      </c>
      <c r="S43">
        <f>HYPERLINK("https://klasma.github.io/Logging_2505/artfynd/A 47954-2022 artfynd.xlsx", "A 47954-2022")</f>
        <v/>
      </c>
      <c r="T43">
        <f>HYPERLINK("https://klasma.github.io/Logging_2505/kartor/A 47954-2022 karta.png", "A 47954-2022")</f>
        <v/>
      </c>
      <c r="V43">
        <f>HYPERLINK("https://klasma.github.io/Logging_2505/klagomål/A 47954-2022 FSC-klagomål.docx", "A 47954-2022")</f>
        <v/>
      </c>
      <c r="W43">
        <f>HYPERLINK("https://klasma.github.io/Logging_2505/klagomålsmail/A 47954-2022 FSC-klagomål mail.docx", "A 47954-2022")</f>
        <v/>
      </c>
      <c r="X43">
        <f>HYPERLINK("https://klasma.github.io/Logging_2505/tillsyn/A 47954-2022 tillsynsbegäran.docx", "A 47954-2022")</f>
        <v/>
      </c>
      <c r="Y43">
        <f>HYPERLINK("https://klasma.github.io/Logging_2505/tillsynsmail/A 47954-2022 tillsynsbegäran mail.docx", "A 47954-2022")</f>
        <v/>
      </c>
      <c r="Z43">
        <f>HYPERLINK("https://klasma.github.io/Logging_2505/fåglar/A 47954-2022 prioriterade fågelarter.docx", "A 47954-2022")</f>
        <v/>
      </c>
    </row>
    <row r="44" ht="15" customHeight="1">
      <c r="A44" t="inlineStr">
        <is>
          <t>A 2397-2023</t>
        </is>
      </c>
      <c r="B44" s="1" t="n">
        <v>44942</v>
      </c>
      <c r="C44" s="1" t="n">
        <v>45473</v>
      </c>
      <c r="D44" t="inlineStr">
        <is>
          <t>NORRBOTTENS LÄN</t>
        </is>
      </c>
      <c r="E44" t="inlineStr">
        <is>
          <t>ARVIDSJAUR</t>
        </is>
      </c>
      <c r="G44" t="n">
        <v>9.5</v>
      </c>
      <c r="H44" t="n">
        <v>0</v>
      </c>
      <c r="I44" t="n">
        <v>1</v>
      </c>
      <c r="J44" t="n">
        <v>0</v>
      </c>
      <c r="K44" t="n">
        <v>0</v>
      </c>
      <c r="L44" t="n">
        <v>0</v>
      </c>
      <c r="M44" t="n">
        <v>0</v>
      </c>
      <c r="N44" t="n">
        <v>0</v>
      </c>
      <c r="O44" t="n">
        <v>0</v>
      </c>
      <c r="P44" t="n">
        <v>0</v>
      </c>
      <c r="Q44" t="n">
        <v>1</v>
      </c>
      <c r="R44" s="2" t="inlineStr">
        <is>
          <t>Stuplav</t>
        </is>
      </c>
      <c r="S44">
        <f>HYPERLINK("https://klasma.github.io/Logging_2505/artfynd/A 2397-2023 artfynd.xlsx", "A 2397-2023")</f>
        <v/>
      </c>
      <c r="T44">
        <f>HYPERLINK("https://klasma.github.io/Logging_2505/kartor/A 2397-2023 karta.png", "A 2397-2023")</f>
        <v/>
      </c>
      <c r="V44">
        <f>HYPERLINK("https://klasma.github.io/Logging_2505/klagomål/A 2397-2023 FSC-klagomål.docx", "A 2397-2023")</f>
        <v/>
      </c>
      <c r="W44">
        <f>HYPERLINK("https://klasma.github.io/Logging_2505/klagomålsmail/A 2397-2023 FSC-klagomål mail.docx", "A 2397-2023")</f>
        <v/>
      </c>
      <c r="X44">
        <f>HYPERLINK("https://klasma.github.io/Logging_2505/tillsyn/A 2397-2023 tillsynsbegäran.docx", "A 2397-2023")</f>
        <v/>
      </c>
      <c r="Y44">
        <f>HYPERLINK("https://klasma.github.io/Logging_2505/tillsynsmail/A 2397-2023 tillsynsbegäran mail.docx", "A 2397-2023")</f>
        <v/>
      </c>
    </row>
    <row r="45" ht="15" customHeight="1">
      <c r="A45" t="inlineStr">
        <is>
          <t>A 29314-2023</t>
        </is>
      </c>
      <c r="B45" s="1" t="n">
        <v>45105</v>
      </c>
      <c r="C45" s="1" t="n">
        <v>45473</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38166-2023</t>
        </is>
      </c>
      <c r="B46" s="1" t="n">
        <v>45161</v>
      </c>
      <c r="C46" s="1" t="n">
        <v>45473</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38755-2023</t>
        </is>
      </c>
      <c r="B47" s="1" t="n">
        <v>45163</v>
      </c>
      <c r="C47" s="1" t="n">
        <v>45473</v>
      </c>
      <c r="D47" t="inlineStr">
        <is>
          <t>NORRBOTTENS LÄN</t>
        </is>
      </c>
      <c r="E47" t="inlineStr">
        <is>
          <t>ARVIDSJAUR</t>
        </is>
      </c>
      <c r="F47" t="inlineStr">
        <is>
          <t>Sveaskog</t>
        </is>
      </c>
      <c r="G47" t="n">
        <v>9.6</v>
      </c>
      <c r="H47" t="n">
        <v>1</v>
      </c>
      <c r="I47" t="n">
        <v>0</v>
      </c>
      <c r="J47" t="n">
        <v>1</v>
      </c>
      <c r="K47" t="n">
        <v>0</v>
      </c>
      <c r="L47" t="n">
        <v>0</v>
      </c>
      <c r="M47" t="n">
        <v>0</v>
      </c>
      <c r="N47" t="n">
        <v>0</v>
      </c>
      <c r="O47" t="n">
        <v>1</v>
      </c>
      <c r="P47" t="n">
        <v>0</v>
      </c>
      <c r="Q47" t="n">
        <v>1</v>
      </c>
      <c r="R47" s="2" t="inlineStr">
        <is>
          <t>Höstlåsbräken</t>
        </is>
      </c>
      <c r="S47">
        <f>HYPERLINK("https://klasma.github.io/Logging_2505/artfynd/A 38755-2023 artfynd.xlsx", "A 38755-2023")</f>
        <v/>
      </c>
      <c r="T47">
        <f>HYPERLINK("https://klasma.github.io/Logging_2505/kartor/A 38755-2023 karta.png", "A 38755-2023")</f>
        <v/>
      </c>
      <c r="V47">
        <f>HYPERLINK("https://klasma.github.io/Logging_2505/klagomål/A 38755-2023 FSC-klagomål.docx", "A 38755-2023")</f>
        <v/>
      </c>
      <c r="W47">
        <f>HYPERLINK("https://klasma.github.io/Logging_2505/klagomålsmail/A 38755-2023 FSC-klagomål mail.docx", "A 38755-2023")</f>
        <v/>
      </c>
      <c r="X47">
        <f>HYPERLINK("https://klasma.github.io/Logging_2505/tillsyn/A 38755-2023 tillsynsbegäran.docx", "A 38755-2023")</f>
        <v/>
      </c>
      <c r="Y47">
        <f>HYPERLINK("https://klasma.github.io/Logging_2505/tillsynsmail/A 38755-2023 tillsynsbegäran mail.docx", "A 38755-2023")</f>
        <v/>
      </c>
    </row>
    <row r="48" ht="15" customHeight="1">
      <c r="A48" t="inlineStr">
        <is>
          <t>A 20581-2019</t>
        </is>
      </c>
      <c r="B48" s="1" t="n">
        <v>43572</v>
      </c>
      <c r="C48" s="1" t="n">
        <v>45473</v>
      </c>
      <c r="D48" t="inlineStr">
        <is>
          <t>NORRBOTTENS LÄN</t>
        </is>
      </c>
      <c r="E48" t="inlineStr">
        <is>
          <t>ARVIDSJAUR</t>
        </is>
      </c>
      <c r="G48" t="n">
        <v>1</v>
      </c>
      <c r="H48" t="n">
        <v>0</v>
      </c>
      <c r="I48" t="n">
        <v>0</v>
      </c>
      <c r="J48" t="n">
        <v>0</v>
      </c>
      <c r="K48" t="n">
        <v>0</v>
      </c>
      <c r="L48" t="n">
        <v>0</v>
      </c>
      <c r="M48" t="n">
        <v>0</v>
      </c>
      <c r="N48" t="n">
        <v>0</v>
      </c>
      <c r="O48" t="n">
        <v>0</v>
      </c>
      <c r="P48" t="n">
        <v>0</v>
      </c>
      <c r="Q48" t="n">
        <v>0</v>
      </c>
      <c r="R48" s="2" t="inlineStr"/>
    </row>
    <row r="49" ht="15" customHeight="1">
      <c r="A49" t="inlineStr">
        <is>
          <t>A 24255-2019</t>
        </is>
      </c>
      <c r="B49" s="1" t="n">
        <v>43597</v>
      </c>
      <c r="C49" s="1" t="n">
        <v>45473</v>
      </c>
      <c r="D49" t="inlineStr">
        <is>
          <t>NORRBOTTENS LÄN</t>
        </is>
      </c>
      <c r="E49" t="inlineStr">
        <is>
          <t>ARVIDSJAUR</t>
        </is>
      </c>
      <c r="G49" t="n">
        <v>2.8</v>
      </c>
      <c r="H49" t="n">
        <v>0</v>
      </c>
      <c r="I49" t="n">
        <v>0</v>
      </c>
      <c r="J49" t="n">
        <v>0</v>
      </c>
      <c r="K49" t="n">
        <v>0</v>
      </c>
      <c r="L49" t="n">
        <v>0</v>
      </c>
      <c r="M49" t="n">
        <v>0</v>
      </c>
      <c r="N49" t="n">
        <v>0</v>
      </c>
      <c r="O49" t="n">
        <v>0</v>
      </c>
      <c r="P49" t="n">
        <v>0</v>
      </c>
      <c r="Q49" t="n">
        <v>0</v>
      </c>
      <c r="R49" s="2" t="inlineStr"/>
    </row>
    <row r="50" ht="15" customHeight="1">
      <c r="A50" t="inlineStr">
        <is>
          <t>A 25217-2019</t>
        </is>
      </c>
      <c r="B50" s="1" t="n">
        <v>43601</v>
      </c>
      <c r="C50" s="1" t="n">
        <v>45473</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24920-2019</t>
        </is>
      </c>
      <c r="B51" s="1" t="n">
        <v>43602</v>
      </c>
      <c r="C51" s="1" t="n">
        <v>45473</v>
      </c>
      <c r="D51" t="inlineStr">
        <is>
          <t>NORRBOTTENS LÄN</t>
        </is>
      </c>
      <c r="E51" t="inlineStr">
        <is>
          <t>ARVIDSJAUR</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24865-2019</t>
        </is>
      </c>
      <c r="B52" s="1" t="n">
        <v>43602</v>
      </c>
      <c r="C52" s="1" t="n">
        <v>45473</v>
      </c>
      <c r="D52" t="inlineStr">
        <is>
          <t>NORRBOTTENS LÄN</t>
        </is>
      </c>
      <c r="E52" t="inlineStr">
        <is>
          <t>ARVIDSJAUR</t>
        </is>
      </c>
      <c r="F52" t="inlineStr">
        <is>
          <t>Sveaskog</t>
        </is>
      </c>
      <c r="G52" t="n">
        <v>21.2</v>
      </c>
      <c r="H52" t="n">
        <v>0</v>
      </c>
      <c r="I52" t="n">
        <v>0</v>
      </c>
      <c r="J52" t="n">
        <v>0</v>
      </c>
      <c r="K52" t="n">
        <v>0</v>
      </c>
      <c r="L52" t="n">
        <v>0</v>
      </c>
      <c r="M52" t="n">
        <v>0</v>
      </c>
      <c r="N52" t="n">
        <v>0</v>
      </c>
      <c r="O52" t="n">
        <v>0</v>
      </c>
      <c r="P52" t="n">
        <v>0</v>
      </c>
      <c r="Q52" t="n">
        <v>0</v>
      </c>
      <c r="R52" s="2" t="inlineStr"/>
    </row>
    <row r="53" ht="15" customHeight="1">
      <c r="A53" t="inlineStr">
        <is>
          <t>A 24999-2019</t>
        </is>
      </c>
      <c r="B53" s="1" t="n">
        <v>43602</v>
      </c>
      <c r="C53" s="1" t="n">
        <v>45473</v>
      </c>
      <c r="D53" t="inlineStr">
        <is>
          <t>NORRBOTTENS LÄN</t>
        </is>
      </c>
      <c r="E53" t="inlineStr">
        <is>
          <t>ARVIDSJAUR</t>
        </is>
      </c>
      <c r="F53" t="inlineStr">
        <is>
          <t>Sveaskog</t>
        </is>
      </c>
      <c r="G53" t="n">
        <v>68.09999999999999</v>
      </c>
      <c r="H53" t="n">
        <v>0</v>
      </c>
      <c r="I53" t="n">
        <v>0</v>
      </c>
      <c r="J53" t="n">
        <v>0</v>
      </c>
      <c r="K53" t="n">
        <v>0</v>
      </c>
      <c r="L53" t="n">
        <v>0</v>
      </c>
      <c r="M53" t="n">
        <v>0</v>
      </c>
      <c r="N53" t="n">
        <v>0</v>
      </c>
      <c r="O53" t="n">
        <v>0</v>
      </c>
      <c r="P53" t="n">
        <v>0</v>
      </c>
      <c r="Q53" t="n">
        <v>0</v>
      </c>
      <c r="R53" s="2" t="inlineStr"/>
    </row>
    <row r="54" ht="15" customHeight="1">
      <c r="A54" t="inlineStr">
        <is>
          <t>A 24945-2019</t>
        </is>
      </c>
      <c r="B54" s="1" t="n">
        <v>43602</v>
      </c>
      <c r="C54" s="1" t="n">
        <v>45473</v>
      </c>
      <c r="D54" t="inlineStr">
        <is>
          <t>NORRBOTTENS LÄN</t>
        </is>
      </c>
      <c r="E54" t="inlineStr">
        <is>
          <t>ARVIDSJAUR</t>
        </is>
      </c>
      <c r="F54" t="inlineStr">
        <is>
          <t>Sveaskog</t>
        </is>
      </c>
      <c r="G54" t="n">
        <v>1.4</v>
      </c>
      <c r="H54" t="n">
        <v>0</v>
      </c>
      <c r="I54" t="n">
        <v>0</v>
      </c>
      <c r="J54" t="n">
        <v>0</v>
      </c>
      <c r="K54" t="n">
        <v>0</v>
      </c>
      <c r="L54" t="n">
        <v>0</v>
      </c>
      <c r="M54" t="n">
        <v>0</v>
      </c>
      <c r="N54" t="n">
        <v>0</v>
      </c>
      <c r="O54" t="n">
        <v>0</v>
      </c>
      <c r="P54" t="n">
        <v>0</v>
      </c>
      <c r="Q54" t="n">
        <v>0</v>
      </c>
      <c r="R54" s="2" t="inlineStr"/>
    </row>
    <row r="55" ht="15" customHeight="1">
      <c r="A55" t="inlineStr">
        <is>
          <t>A 24870-2019</t>
        </is>
      </c>
      <c r="B55" s="1" t="n">
        <v>43602</v>
      </c>
      <c r="C55" s="1" t="n">
        <v>45473</v>
      </c>
      <c r="D55" t="inlineStr">
        <is>
          <t>NORRBOTTENS LÄN</t>
        </is>
      </c>
      <c r="E55" t="inlineStr">
        <is>
          <t>ARVIDSJAUR</t>
        </is>
      </c>
      <c r="F55" t="inlineStr">
        <is>
          <t>Sveaskog</t>
        </is>
      </c>
      <c r="G55" t="n">
        <v>85.2</v>
      </c>
      <c r="H55" t="n">
        <v>0</v>
      </c>
      <c r="I55" t="n">
        <v>0</v>
      </c>
      <c r="J55" t="n">
        <v>0</v>
      </c>
      <c r="K55" t="n">
        <v>0</v>
      </c>
      <c r="L55" t="n">
        <v>0</v>
      </c>
      <c r="M55" t="n">
        <v>0</v>
      </c>
      <c r="N55" t="n">
        <v>0</v>
      </c>
      <c r="O55" t="n">
        <v>0</v>
      </c>
      <c r="P55" t="n">
        <v>0</v>
      </c>
      <c r="Q55" t="n">
        <v>0</v>
      </c>
      <c r="R55" s="2" t="inlineStr"/>
    </row>
    <row r="56" ht="15" customHeight="1">
      <c r="A56" t="inlineStr">
        <is>
          <t>A 25253-2019</t>
        </is>
      </c>
      <c r="B56" s="1" t="n">
        <v>43605</v>
      </c>
      <c r="C56" s="1" t="n">
        <v>45473</v>
      </c>
      <c r="D56" t="inlineStr">
        <is>
          <t>NORRBOTTENS LÄN</t>
        </is>
      </c>
      <c r="E56" t="inlineStr">
        <is>
          <t>ARVIDSJAUR</t>
        </is>
      </c>
      <c r="F56" t="inlineStr">
        <is>
          <t>Sveaskog</t>
        </is>
      </c>
      <c r="G56" t="n">
        <v>43.2</v>
      </c>
      <c r="H56" t="n">
        <v>0</v>
      </c>
      <c r="I56" t="n">
        <v>0</v>
      </c>
      <c r="J56" t="n">
        <v>0</v>
      </c>
      <c r="K56" t="n">
        <v>0</v>
      </c>
      <c r="L56" t="n">
        <v>0</v>
      </c>
      <c r="M56" t="n">
        <v>0</v>
      </c>
      <c r="N56" t="n">
        <v>0</v>
      </c>
      <c r="O56" t="n">
        <v>0</v>
      </c>
      <c r="P56" t="n">
        <v>0</v>
      </c>
      <c r="Q56" t="n">
        <v>0</v>
      </c>
      <c r="R56" s="2" t="inlineStr"/>
    </row>
    <row r="57" ht="15" customHeight="1">
      <c r="A57" t="inlineStr">
        <is>
          <t>A 25274-2019</t>
        </is>
      </c>
      <c r="B57" s="1" t="n">
        <v>43605</v>
      </c>
      <c r="C57" s="1" t="n">
        <v>45473</v>
      </c>
      <c r="D57" t="inlineStr">
        <is>
          <t>NORRBOTTENS LÄN</t>
        </is>
      </c>
      <c r="E57" t="inlineStr">
        <is>
          <t>ARVIDSJAUR</t>
        </is>
      </c>
      <c r="F57" t="inlineStr">
        <is>
          <t>Sveaskog</t>
        </is>
      </c>
      <c r="G57" t="n">
        <v>35.4</v>
      </c>
      <c r="H57" t="n">
        <v>0</v>
      </c>
      <c r="I57" t="n">
        <v>0</v>
      </c>
      <c r="J57" t="n">
        <v>0</v>
      </c>
      <c r="K57" t="n">
        <v>0</v>
      </c>
      <c r="L57" t="n">
        <v>0</v>
      </c>
      <c r="M57" t="n">
        <v>0</v>
      </c>
      <c r="N57" t="n">
        <v>0</v>
      </c>
      <c r="O57" t="n">
        <v>0</v>
      </c>
      <c r="P57" t="n">
        <v>0</v>
      </c>
      <c r="Q57" t="n">
        <v>0</v>
      </c>
      <c r="R57" s="2" t="inlineStr"/>
    </row>
    <row r="58" ht="15" customHeight="1">
      <c r="A58" t="inlineStr">
        <is>
          <t>A 25437-2019</t>
        </is>
      </c>
      <c r="B58" s="1" t="n">
        <v>43605</v>
      </c>
      <c r="C58" s="1" t="n">
        <v>45473</v>
      </c>
      <c r="D58" t="inlineStr">
        <is>
          <t>NORRBOTTENS LÄN</t>
        </is>
      </c>
      <c r="E58" t="inlineStr">
        <is>
          <t>ARVIDSJAUR</t>
        </is>
      </c>
      <c r="G58" t="n">
        <v>3.7</v>
      </c>
      <c r="H58" t="n">
        <v>0</v>
      </c>
      <c r="I58" t="n">
        <v>0</v>
      </c>
      <c r="J58" t="n">
        <v>0</v>
      </c>
      <c r="K58" t="n">
        <v>0</v>
      </c>
      <c r="L58" t="n">
        <v>0</v>
      </c>
      <c r="M58" t="n">
        <v>0</v>
      </c>
      <c r="N58" t="n">
        <v>0</v>
      </c>
      <c r="O58" t="n">
        <v>0</v>
      </c>
      <c r="P58" t="n">
        <v>0</v>
      </c>
      <c r="Q58" t="n">
        <v>0</v>
      </c>
      <c r="R58" s="2" t="inlineStr"/>
    </row>
    <row r="59" ht="15" customHeight="1">
      <c r="A59" t="inlineStr">
        <is>
          <t>A 27000-2019</t>
        </is>
      </c>
      <c r="B59" s="1" t="n">
        <v>43614</v>
      </c>
      <c r="C59" s="1" t="n">
        <v>45473</v>
      </c>
      <c r="D59" t="inlineStr">
        <is>
          <t>NORRBOTTENS LÄN</t>
        </is>
      </c>
      <c r="E59" t="inlineStr">
        <is>
          <t>ARVIDSJAUR</t>
        </is>
      </c>
      <c r="F59" t="inlineStr">
        <is>
          <t>Sveaskog</t>
        </is>
      </c>
      <c r="G59" t="n">
        <v>57.7</v>
      </c>
      <c r="H59" t="n">
        <v>0</v>
      </c>
      <c r="I59" t="n">
        <v>0</v>
      </c>
      <c r="J59" t="n">
        <v>0</v>
      </c>
      <c r="K59" t="n">
        <v>0</v>
      </c>
      <c r="L59" t="n">
        <v>0</v>
      </c>
      <c r="M59" t="n">
        <v>0</v>
      </c>
      <c r="N59" t="n">
        <v>0</v>
      </c>
      <c r="O59" t="n">
        <v>0</v>
      </c>
      <c r="P59" t="n">
        <v>0</v>
      </c>
      <c r="Q59" t="n">
        <v>0</v>
      </c>
      <c r="R59" s="2" t="inlineStr"/>
    </row>
    <row r="60" ht="15" customHeight="1">
      <c r="A60" t="inlineStr">
        <is>
          <t>A 27361-2019</t>
        </is>
      </c>
      <c r="B60" s="1" t="n">
        <v>43616</v>
      </c>
      <c r="C60" s="1" t="n">
        <v>45473</v>
      </c>
      <c r="D60" t="inlineStr">
        <is>
          <t>NORRBOTTENS LÄN</t>
        </is>
      </c>
      <c r="E60" t="inlineStr">
        <is>
          <t>ARVIDSJAUR</t>
        </is>
      </c>
      <c r="G60" t="n">
        <v>2.2</v>
      </c>
      <c r="H60" t="n">
        <v>0</v>
      </c>
      <c r="I60" t="n">
        <v>0</v>
      </c>
      <c r="J60" t="n">
        <v>0</v>
      </c>
      <c r="K60" t="n">
        <v>0</v>
      </c>
      <c r="L60" t="n">
        <v>0</v>
      </c>
      <c r="M60" t="n">
        <v>0</v>
      </c>
      <c r="N60" t="n">
        <v>0</v>
      </c>
      <c r="O60" t="n">
        <v>0</v>
      </c>
      <c r="P60" t="n">
        <v>0</v>
      </c>
      <c r="Q60" t="n">
        <v>0</v>
      </c>
      <c r="R60" s="2" t="inlineStr"/>
    </row>
    <row r="61" ht="15" customHeight="1">
      <c r="A61" t="inlineStr">
        <is>
          <t>A 30410-2019</t>
        </is>
      </c>
      <c r="B61" s="1" t="n">
        <v>43635</v>
      </c>
      <c r="C61" s="1" t="n">
        <v>45473</v>
      </c>
      <c r="D61" t="inlineStr">
        <is>
          <t>NORRBOTTENS LÄN</t>
        </is>
      </c>
      <c r="E61" t="inlineStr">
        <is>
          <t>ARVIDSJAUR</t>
        </is>
      </c>
      <c r="F61" t="inlineStr">
        <is>
          <t>Sveaskog</t>
        </is>
      </c>
      <c r="G61" t="n">
        <v>7.5</v>
      </c>
      <c r="H61" t="n">
        <v>0</v>
      </c>
      <c r="I61" t="n">
        <v>0</v>
      </c>
      <c r="J61" t="n">
        <v>0</v>
      </c>
      <c r="K61" t="n">
        <v>0</v>
      </c>
      <c r="L61" t="n">
        <v>0</v>
      </c>
      <c r="M61" t="n">
        <v>0</v>
      </c>
      <c r="N61" t="n">
        <v>0</v>
      </c>
      <c r="O61" t="n">
        <v>0</v>
      </c>
      <c r="P61" t="n">
        <v>0</v>
      </c>
      <c r="Q61" t="n">
        <v>0</v>
      </c>
      <c r="R61" s="2" t="inlineStr"/>
    </row>
    <row r="62" ht="15" customHeight="1">
      <c r="A62" t="inlineStr">
        <is>
          <t>A 32003-2019</t>
        </is>
      </c>
      <c r="B62" s="1" t="n">
        <v>43642</v>
      </c>
      <c r="C62" s="1" t="n">
        <v>45473</v>
      </c>
      <c r="D62" t="inlineStr">
        <is>
          <t>NORRBOTTENS LÄN</t>
        </is>
      </c>
      <c r="E62" t="inlineStr">
        <is>
          <t>ARVIDSJAUR</t>
        </is>
      </c>
      <c r="G62" t="n">
        <v>7</v>
      </c>
      <c r="H62" t="n">
        <v>0</v>
      </c>
      <c r="I62" t="n">
        <v>0</v>
      </c>
      <c r="J62" t="n">
        <v>0</v>
      </c>
      <c r="K62" t="n">
        <v>0</v>
      </c>
      <c r="L62" t="n">
        <v>0</v>
      </c>
      <c r="M62" t="n">
        <v>0</v>
      </c>
      <c r="N62" t="n">
        <v>0</v>
      </c>
      <c r="O62" t="n">
        <v>0</v>
      </c>
      <c r="P62" t="n">
        <v>0</v>
      </c>
      <c r="Q62" t="n">
        <v>0</v>
      </c>
      <c r="R62" s="2" t="inlineStr"/>
    </row>
    <row r="63" ht="15" customHeight="1">
      <c r="A63" t="inlineStr">
        <is>
          <t>A 33038-2019</t>
        </is>
      </c>
      <c r="B63" s="1" t="n">
        <v>43649</v>
      </c>
      <c r="C63" s="1" t="n">
        <v>45473</v>
      </c>
      <c r="D63" t="inlineStr">
        <is>
          <t>NORRBOTTENS LÄN</t>
        </is>
      </c>
      <c r="E63" t="inlineStr">
        <is>
          <t>ARVIDSJAUR</t>
        </is>
      </c>
      <c r="F63" t="inlineStr">
        <is>
          <t>Sveaskog</t>
        </is>
      </c>
      <c r="G63" t="n">
        <v>8.6</v>
      </c>
      <c r="H63" t="n">
        <v>0</v>
      </c>
      <c r="I63" t="n">
        <v>0</v>
      </c>
      <c r="J63" t="n">
        <v>0</v>
      </c>
      <c r="K63" t="n">
        <v>0</v>
      </c>
      <c r="L63" t="n">
        <v>0</v>
      </c>
      <c r="M63" t="n">
        <v>0</v>
      </c>
      <c r="N63" t="n">
        <v>0</v>
      </c>
      <c r="O63" t="n">
        <v>0</v>
      </c>
      <c r="P63" t="n">
        <v>0</v>
      </c>
      <c r="Q63" t="n">
        <v>0</v>
      </c>
      <c r="R63" s="2" t="inlineStr"/>
    </row>
    <row r="64" ht="15" customHeight="1">
      <c r="A64" t="inlineStr">
        <is>
          <t>A 34222-2019</t>
        </is>
      </c>
      <c r="B64" s="1" t="n">
        <v>43655</v>
      </c>
      <c r="C64" s="1" t="n">
        <v>45473</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37523-2019</t>
        </is>
      </c>
      <c r="B65" s="1" t="n">
        <v>43663</v>
      </c>
      <c r="C65" s="1" t="n">
        <v>45473</v>
      </c>
      <c r="D65" t="inlineStr">
        <is>
          <t>NORRBOTTENS LÄN</t>
        </is>
      </c>
      <c r="E65" t="inlineStr">
        <is>
          <t>ARVIDSJAUR</t>
        </is>
      </c>
      <c r="G65" t="n">
        <v>2.5</v>
      </c>
      <c r="H65" t="n">
        <v>0</v>
      </c>
      <c r="I65" t="n">
        <v>0</v>
      </c>
      <c r="J65" t="n">
        <v>0</v>
      </c>
      <c r="K65" t="n">
        <v>0</v>
      </c>
      <c r="L65" t="n">
        <v>0</v>
      </c>
      <c r="M65" t="n">
        <v>0</v>
      </c>
      <c r="N65" t="n">
        <v>0</v>
      </c>
      <c r="O65" t="n">
        <v>0</v>
      </c>
      <c r="P65" t="n">
        <v>0</v>
      </c>
      <c r="Q65" t="n">
        <v>0</v>
      </c>
      <c r="R65" s="2" t="inlineStr"/>
    </row>
    <row r="66" ht="15" customHeight="1">
      <c r="A66" t="inlineStr">
        <is>
          <t>A 36404-2019</t>
        </is>
      </c>
      <c r="B66" s="1" t="n">
        <v>43663</v>
      </c>
      <c r="C66" s="1" t="n">
        <v>45473</v>
      </c>
      <c r="D66" t="inlineStr">
        <is>
          <t>NORRBOTTENS LÄN</t>
        </is>
      </c>
      <c r="E66" t="inlineStr">
        <is>
          <t>ARVIDSJAUR</t>
        </is>
      </c>
      <c r="G66" t="n">
        <v>7.2</v>
      </c>
      <c r="H66" t="n">
        <v>0</v>
      </c>
      <c r="I66" t="n">
        <v>0</v>
      </c>
      <c r="J66" t="n">
        <v>0</v>
      </c>
      <c r="K66" t="n">
        <v>0</v>
      </c>
      <c r="L66" t="n">
        <v>0</v>
      </c>
      <c r="M66" t="n">
        <v>0</v>
      </c>
      <c r="N66" t="n">
        <v>0</v>
      </c>
      <c r="O66" t="n">
        <v>0</v>
      </c>
      <c r="P66" t="n">
        <v>0</v>
      </c>
      <c r="Q66" t="n">
        <v>0</v>
      </c>
      <c r="R66" s="2" t="inlineStr"/>
    </row>
    <row r="67" ht="15" customHeight="1">
      <c r="A67" t="inlineStr">
        <is>
          <t>A 36526-2019</t>
        </is>
      </c>
      <c r="B67" s="1" t="n">
        <v>43668</v>
      </c>
      <c r="C67" s="1" t="n">
        <v>45473</v>
      </c>
      <c r="D67" t="inlineStr">
        <is>
          <t>NORRBOTTENS LÄN</t>
        </is>
      </c>
      <c r="E67" t="inlineStr">
        <is>
          <t>ARVIDSJAUR</t>
        </is>
      </c>
      <c r="F67" t="inlineStr">
        <is>
          <t>Allmännings- och besparingsskogar</t>
        </is>
      </c>
      <c r="G67" t="n">
        <v>4.2</v>
      </c>
      <c r="H67" t="n">
        <v>0</v>
      </c>
      <c r="I67" t="n">
        <v>0</v>
      </c>
      <c r="J67" t="n">
        <v>0</v>
      </c>
      <c r="K67" t="n">
        <v>0</v>
      </c>
      <c r="L67" t="n">
        <v>0</v>
      </c>
      <c r="M67" t="n">
        <v>0</v>
      </c>
      <c r="N67" t="n">
        <v>0</v>
      </c>
      <c r="O67" t="n">
        <v>0</v>
      </c>
      <c r="P67" t="n">
        <v>0</v>
      </c>
      <c r="Q67" t="n">
        <v>0</v>
      </c>
      <c r="R67" s="2" t="inlineStr"/>
    </row>
    <row r="68" ht="15" customHeight="1">
      <c r="A68" t="inlineStr">
        <is>
          <t>A 38020-2019</t>
        </is>
      </c>
      <c r="B68" s="1" t="n">
        <v>43683</v>
      </c>
      <c r="C68" s="1" t="n">
        <v>45473</v>
      </c>
      <c r="D68" t="inlineStr">
        <is>
          <t>NORRBOTTENS LÄN</t>
        </is>
      </c>
      <c r="E68" t="inlineStr">
        <is>
          <t>ARVIDSJAUR</t>
        </is>
      </c>
      <c r="G68" t="n">
        <v>3</v>
      </c>
      <c r="H68" t="n">
        <v>0</v>
      </c>
      <c r="I68" t="n">
        <v>0</v>
      </c>
      <c r="J68" t="n">
        <v>0</v>
      </c>
      <c r="K68" t="n">
        <v>0</v>
      </c>
      <c r="L68" t="n">
        <v>0</v>
      </c>
      <c r="M68" t="n">
        <v>0</v>
      </c>
      <c r="N68" t="n">
        <v>0</v>
      </c>
      <c r="O68" t="n">
        <v>0</v>
      </c>
      <c r="P68" t="n">
        <v>0</v>
      </c>
      <c r="Q68" t="n">
        <v>0</v>
      </c>
      <c r="R68" s="2" t="inlineStr"/>
    </row>
    <row r="69" ht="15" customHeight="1">
      <c r="A69" t="inlineStr">
        <is>
          <t>A 38638-2019</t>
        </is>
      </c>
      <c r="B69" s="1" t="n">
        <v>43686</v>
      </c>
      <c r="C69" s="1" t="n">
        <v>45473</v>
      </c>
      <c r="D69" t="inlineStr">
        <is>
          <t>NORRBOTTENS LÄN</t>
        </is>
      </c>
      <c r="E69" t="inlineStr">
        <is>
          <t>ARVIDSJAUR</t>
        </is>
      </c>
      <c r="G69" t="n">
        <v>1</v>
      </c>
      <c r="H69" t="n">
        <v>0</v>
      </c>
      <c r="I69" t="n">
        <v>0</v>
      </c>
      <c r="J69" t="n">
        <v>0</v>
      </c>
      <c r="K69" t="n">
        <v>0</v>
      </c>
      <c r="L69" t="n">
        <v>0</v>
      </c>
      <c r="M69" t="n">
        <v>0</v>
      </c>
      <c r="N69" t="n">
        <v>0</v>
      </c>
      <c r="O69" t="n">
        <v>0</v>
      </c>
      <c r="P69" t="n">
        <v>0</v>
      </c>
      <c r="Q69" t="n">
        <v>0</v>
      </c>
      <c r="R69" s="2" t="inlineStr"/>
    </row>
    <row r="70" ht="15" customHeight="1">
      <c r="A70" t="inlineStr">
        <is>
          <t>A 40693-2019</t>
        </is>
      </c>
      <c r="B70" s="1" t="n">
        <v>43697</v>
      </c>
      <c r="C70" s="1" t="n">
        <v>45473</v>
      </c>
      <c r="D70" t="inlineStr">
        <is>
          <t>NORRBOTTENS LÄN</t>
        </is>
      </c>
      <c r="E70" t="inlineStr">
        <is>
          <t>ARVIDSJAUR</t>
        </is>
      </c>
      <c r="G70" t="n">
        <v>5</v>
      </c>
      <c r="H70" t="n">
        <v>0</v>
      </c>
      <c r="I70" t="n">
        <v>0</v>
      </c>
      <c r="J70" t="n">
        <v>0</v>
      </c>
      <c r="K70" t="n">
        <v>0</v>
      </c>
      <c r="L70" t="n">
        <v>0</v>
      </c>
      <c r="M70" t="n">
        <v>0</v>
      </c>
      <c r="N70" t="n">
        <v>0</v>
      </c>
      <c r="O70" t="n">
        <v>0</v>
      </c>
      <c r="P70" t="n">
        <v>0</v>
      </c>
      <c r="Q70" t="n">
        <v>0</v>
      </c>
      <c r="R70" s="2" t="inlineStr"/>
    </row>
    <row r="71" ht="15" customHeight="1">
      <c r="A71" t="inlineStr">
        <is>
          <t>A 44560-2019</t>
        </is>
      </c>
      <c r="B71" s="1" t="n">
        <v>43706</v>
      </c>
      <c r="C71" s="1" t="n">
        <v>45473</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44572-2019</t>
        </is>
      </c>
      <c r="B72" s="1" t="n">
        <v>43706</v>
      </c>
      <c r="C72" s="1" t="n">
        <v>45473</v>
      </c>
      <c r="D72" t="inlineStr">
        <is>
          <t>NORRBOTTENS LÄN</t>
        </is>
      </c>
      <c r="E72" t="inlineStr">
        <is>
          <t>ARVIDSJAUR</t>
        </is>
      </c>
      <c r="G72" t="n">
        <v>10.4</v>
      </c>
      <c r="H72" t="n">
        <v>0</v>
      </c>
      <c r="I72" t="n">
        <v>0</v>
      </c>
      <c r="J72" t="n">
        <v>0</v>
      </c>
      <c r="K72" t="n">
        <v>0</v>
      </c>
      <c r="L72" t="n">
        <v>0</v>
      </c>
      <c r="M72" t="n">
        <v>0</v>
      </c>
      <c r="N72" t="n">
        <v>0</v>
      </c>
      <c r="O72" t="n">
        <v>0</v>
      </c>
      <c r="P72" t="n">
        <v>0</v>
      </c>
      <c r="Q72" t="n">
        <v>0</v>
      </c>
      <c r="R72" s="2" t="inlineStr"/>
    </row>
    <row r="73" ht="15" customHeight="1">
      <c r="A73" t="inlineStr">
        <is>
          <t>A 44565-2019</t>
        </is>
      </c>
      <c r="B73" s="1" t="n">
        <v>43706</v>
      </c>
      <c r="C73" s="1" t="n">
        <v>45473</v>
      </c>
      <c r="D73" t="inlineStr">
        <is>
          <t>NORRBOTTENS LÄN</t>
        </is>
      </c>
      <c r="E73" t="inlineStr">
        <is>
          <t>ARVIDSJAUR</t>
        </is>
      </c>
      <c r="G73" t="n">
        <v>6.8</v>
      </c>
      <c r="H73" t="n">
        <v>0</v>
      </c>
      <c r="I73" t="n">
        <v>0</v>
      </c>
      <c r="J73" t="n">
        <v>0</v>
      </c>
      <c r="K73" t="n">
        <v>0</v>
      </c>
      <c r="L73" t="n">
        <v>0</v>
      </c>
      <c r="M73" t="n">
        <v>0</v>
      </c>
      <c r="N73" t="n">
        <v>0</v>
      </c>
      <c r="O73" t="n">
        <v>0</v>
      </c>
      <c r="P73" t="n">
        <v>0</v>
      </c>
      <c r="Q73" t="n">
        <v>0</v>
      </c>
      <c r="R73" s="2" t="inlineStr"/>
    </row>
    <row r="74" ht="15" customHeight="1">
      <c r="A74" t="inlineStr">
        <is>
          <t>A 43756-2019</t>
        </is>
      </c>
      <c r="B74" s="1" t="n">
        <v>43707</v>
      </c>
      <c r="C74" s="1" t="n">
        <v>45473</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46068-2019</t>
        </is>
      </c>
      <c r="B75" s="1" t="n">
        <v>43713</v>
      </c>
      <c r="C75" s="1" t="n">
        <v>45473</v>
      </c>
      <c r="D75" t="inlineStr">
        <is>
          <t>NORRBOTTENS LÄN</t>
        </is>
      </c>
      <c r="E75" t="inlineStr">
        <is>
          <t>ARVIDSJAUR</t>
        </is>
      </c>
      <c r="G75" t="n">
        <v>2.4</v>
      </c>
      <c r="H75" t="n">
        <v>0</v>
      </c>
      <c r="I75" t="n">
        <v>0</v>
      </c>
      <c r="J75" t="n">
        <v>0</v>
      </c>
      <c r="K75" t="n">
        <v>0</v>
      </c>
      <c r="L75" t="n">
        <v>0</v>
      </c>
      <c r="M75" t="n">
        <v>0</v>
      </c>
      <c r="N75" t="n">
        <v>0</v>
      </c>
      <c r="O75" t="n">
        <v>0</v>
      </c>
      <c r="P75" t="n">
        <v>0</v>
      </c>
      <c r="Q75" t="n">
        <v>0</v>
      </c>
      <c r="R75" s="2" t="inlineStr"/>
    </row>
    <row r="76" ht="15" customHeight="1">
      <c r="A76" t="inlineStr">
        <is>
          <t>A 46075-2019</t>
        </is>
      </c>
      <c r="B76" s="1" t="n">
        <v>43713</v>
      </c>
      <c r="C76" s="1" t="n">
        <v>45473</v>
      </c>
      <c r="D76" t="inlineStr">
        <is>
          <t>NORRBOTTENS LÄN</t>
        </is>
      </c>
      <c r="E76" t="inlineStr">
        <is>
          <t>ARVIDSJAUR</t>
        </is>
      </c>
      <c r="G76" t="n">
        <v>12.5</v>
      </c>
      <c r="H76" t="n">
        <v>0</v>
      </c>
      <c r="I76" t="n">
        <v>0</v>
      </c>
      <c r="J76" t="n">
        <v>0</v>
      </c>
      <c r="K76" t="n">
        <v>0</v>
      </c>
      <c r="L76" t="n">
        <v>0</v>
      </c>
      <c r="M76" t="n">
        <v>0</v>
      </c>
      <c r="N76" t="n">
        <v>0</v>
      </c>
      <c r="O76" t="n">
        <v>0</v>
      </c>
      <c r="P76" t="n">
        <v>0</v>
      </c>
      <c r="Q76" t="n">
        <v>0</v>
      </c>
      <c r="R76" s="2" t="inlineStr"/>
    </row>
    <row r="77" ht="15" customHeight="1">
      <c r="A77" t="inlineStr">
        <is>
          <t>A 46293-2019</t>
        </is>
      </c>
      <c r="B77" s="1" t="n">
        <v>43717</v>
      </c>
      <c r="C77" s="1" t="n">
        <v>45473</v>
      </c>
      <c r="D77" t="inlineStr">
        <is>
          <t>NORRBOTTENS LÄN</t>
        </is>
      </c>
      <c r="E77" t="inlineStr">
        <is>
          <t>ARVIDSJAUR</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46125-2019</t>
        </is>
      </c>
      <c r="B78" s="1" t="n">
        <v>43718</v>
      </c>
      <c r="C78" s="1" t="n">
        <v>45473</v>
      </c>
      <c r="D78" t="inlineStr">
        <is>
          <t>NORRBOTTENS LÄN</t>
        </is>
      </c>
      <c r="E78" t="inlineStr">
        <is>
          <t>ARVIDSJAUR</t>
        </is>
      </c>
      <c r="G78" t="n">
        <v>1.3</v>
      </c>
      <c r="H78" t="n">
        <v>0</v>
      </c>
      <c r="I78" t="n">
        <v>0</v>
      </c>
      <c r="J78" t="n">
        <v>0</v>
      </c>
      <c r="K78" t="n">
        <v>0</v>
      </c>
      <c r="L78" t="n">
        <v>0</v>
      </c>
      <c r="M78" t="n">
        <v>0</v>
      </c>
      <c r="N78" t="n">
        <v>0</v>
      </c>
      <c r="O78" t="n">
        <v>0</v>
      </c>
      <c r="P78" t="n">
        <v>0</v>
      </c>
      <c r="Q78" t="n">
        <v>0</v>
      </c>
      <c r="R78" s="2" t="inlineStr"/>
    </row>
    <row r="79" ht="15" customHeight="1">
      <c r="A79" t="inlineStr">
        <is>
          <t>A 46155-2019</t>
        </is>
      </c>
      <c r="B79" s="1" t="n">
        <v>43718</v>
      </c>
      <c r="C79" s="1" t="n">
        <v>45473</v>
      </c>
      <c r="D79" t="inlineStr">
        <is>
          <t>NORRBOTTENS LÄN</t>
        </is>
      </c>
      <c r="E79" t="inlineStr">
        <is>
          <t>ARVIDSJAUR</t>
        </is>
      </c>
      <c r="G79" t="n">
        <v>0.4</v>
      </c>
      <c r="H79" t="n">
        <v>0</v>
      </c>
      <c r="I79" t="n">
        <v>0</v>
      </c>
      <c r="J79" t="n">
        <v>0</v>
      </c>
      <c r="K79" t="n">
        <v>0</v>
      </c>
      <c r="L79" t="n">
        <v>0</v>
      </c>
      <c r="M79" t="n">
        <v>0</v>
      </c>
      <c r="N79" t="n">
        <v>0</v>
      </c>
      <c r="O79" t="n">
        <v>0</v>
      </c>
      <c r="P79" t="n">
        <v>0</v>
      </c>
      <c r="Q79" t="n">
        <v>0</v>
      </c>
      <c r="R79" s="2" t="inlineStr"/>
    </row>
    <row r="80" ht="15" customHeight="1">
      <c r="A80" t="inlineStr">
        <is>
          <t>A 48708-2019</t>
        </is>
      </c>
      <c r="B80" s="1" t="n">
        <v>43728</v>
      </c>
      <c r="C80" s="1" t="n">
        <v>45473</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48706-2019</t>
        </is>
      </c>
      <c r="B81" s="1" t="n">
        <v>43728</v>
      </c>
      <c r="C81" s="1" t="n">
        <v>45473</v>
      </c>
      <c r="D81" t="inlineStr">
        <is>
          <t>NORRBOTTENS LÄN</t>
        </is>
      </c>
      <c r="E81" t="inlineStr">
        <is>
          <t>ARVIDSJAUR</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49551-2019</t>
        </is>
      </c>
      <c r="B82" s="1" t="n">
        <v>43732</v>
      </c>
      <c r="C82" s="1" t="n">
        <v>45473</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51815-2019</t>
        </is>
      </c>
      <c r="B83" s="1" t="n">
        <v>43734</v>
      </c>
      <c r="C83" s="1" t="n">
        <v>45473</v>
      </c>
      <c r="D83" t="inlineStr">
        <is>
          <t>NORRBOTTENS LÄN</t>
        </is>
      </c>
      <c r="E83" t="inlineStr">
        <is>
          <t>ARVIDSJAUR</t>
        </is>
      </c>
      <c r="G83" t="n">
        <v>5.5</v>
      </c>
      <c r="H83" t="n">
        <v>0</v>
      </c>
      <c r="I83" t="n">
        <v>0</v>
      </c>
      <c r="J83" t="n">
        <v>0</v>
      </c>
      <c r="K83" t="n">
        <v>0</v>
      </c>
      <c r="L83" t="n">
        <v>0</v>
      </c>
      <c r="M83" t="n">
        <v>0</v>
      </c>
      <c r="N83" t="n">
        <v>0</v>
      </c>
      <c r="O83" t="n">
        <v>0</v>
      </c>
      <c r="P83" t="n">
        <v>0</v>
      </c>
      <c r="Q83" t="n">
        <v>0</v>
      </c>
      <c r="R83" s="2" t="inlineStr"/>
    </row>
    <row r="84" ht="15" customHeight="1">
      <c r="A84" t="inlineStr">
        <is>
          <t>A 52081-2019</t>
        </is>
      </c>
      <c r="B84" s="1" t="n">
        <v>43735</v>
      </c>
      <c r="C84" s="1" t="n">
        <v>45473</v>
      </c>
      <c r="D84" t="inlineStr">
        <is>
          <t>NORRBOTTENS LÄN</t>
        </is>
      </c>
      <c r="E84" t="inlineStr">
        <is>
          <t>ARVIDSJAUR</t>
        </is>
      </c>
      <c r="G84" t="n">
        <v>0.2</v>
      </c>
      <c r="H84" t="n">
        <v>0</v>
      </c>
      <c r="I84" t="n">
        <v>0</v>
      </c>
      <c r="J84" t="n">
        <v>0</v>
      </c>
      <c r="K84" t="n">
        <v>0</v>
      </c>
      <c r="L84" t="n">
        <v>0</v>
      </c>
      <c r="M84" t="n">
        <v>0</v>
      </c>
      <c r="N84" t="n">
        <v>0</v>
      </c>
      <c r="O84" t="n">
        <v>0</v>
      </c>
      <c r="P84" t="n">
        <v>0</v>
      </c>
      <c r="Q84" t="n">
        <v>0</v>
      </c>
      <c r="R84" s="2" t="inlineStr"/>
    </row>
    <row r="85" ht="15" customHeight="1">
      <c r="A85" t="inlineStr">
        <is>
          <t>A 50788-2019</t>
        </is>
      </c>
      <c r="B85" s="1" t="n">
        <v>43738</v>
      </c>
      <c r="C85" s="1" t="n">
        <v>45473</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53994-2019</t>
        </is>
      </c>
      <c r="B86" s="1" t="n">
        <v>43742</v>
      </c>
      <c r="C86" s="1" t="n">
        <v>45473</v>
      </c>
      <c r="D86" t="inlineStr">
        <is>
          <t>NORRBOTTENS LÄN</t>
        </is>
      </c>
      <c r="E86" t="inlineStr">
        <is>
          <t>ARVIDSJAUR</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54828-2019</t>
        </is>
      </c>
      <c r="B87" s="1" t="n">
        <v>43749</v>
      </c>
      <c r="C87" s="1" t="n">
        <v>45473</v>
      </c>
      <c r="D87" t="inlineStr">
        <is>
          <t>NORRBOTTENS LÄN</t>
        </is>
      </c>
      <c r="E87" t="inlineStr">
        <is>
          <t>ARVIDSJAUR</t>
        </is>
      </c>
      <c r="G87" t="n">
        <v>3.5</v>
      </c>
      <c r="H87" t="n">
        <v>0</v>
      </c>
      <c r="I87" t="n">
        <v>0</v>
      </c>
      <c r="J87" t="n">
        <v>0</v>
      </c>
      <c r="K87" t="n">
        <v>0</v>
      </c>
      <c r="L87" t="n">
        <v>0</v>
      </c>
      <c r="M87" t="n">
        <v>0</v>
      </c>
      <c r="N87" t="n">
        <v>0</v>
      </c>
      <c r="O87" t="n">
        <v>0</v>
      </c>
      <c r="P87" t="n">
        <v>0</v>
      </c>
      <c r="Q87" t="n">
        <v>0</v>
      </c>
      <c r="R87" s="2" t="inlineStr"/>
    </row>
    <row r="88" ht="15" customHeight="1">
      <c r="A88" t="inlineStr">
        <is>
          <t>A 54852-2019</t>
        </is>
      </c>
      <c r="B88" s="1" t="n">
        <v>43749</v>
      </c>
      <c r="C88" s="1" t="n">
        <v>45473</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55784-2019</t>
        </is>
      </c>
      <c r="B89" s="1" t="n">
        <v>43759</v>
      </c>
      <c r="C89" s="1" t="n">
        <v>45473</v>
      </c>
      <c r="D89" t="inlineStr">
        <is>
          <t>NORRBOTTENS LÄN</t>
        </is>
      </c>
      <c r="E89" t="inlineStr">
        <is>
          <t>ARVIDSJAUR</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58054-2019</t>
        </is>
      </c>
      <c r="B90" s="1" t="n">
        <v>43763</v>
      </c>
      <c r="C90" s="1" t="n">
        <v>45473</v>
      </c>
      <c r="D90" t="inlineStr">
        <is>
          <t>NORRBOTTENS LÄN</t>
        </is>
      </c>
      <c r="E90" t="inlineStr">
        <is>
          <t>ARVIDSJAUR</t>
        </is>
      </c>
      <c r="G90" t="n">
        <v>4.5</v>
      </c>
      <c r="H90" t="n">
        <v>0</v>
      </c>
      <c r="I90" t="n">
        <v>0</v>
      </c>
      <c r="J90" t="n">
        <v>0</v>
      </c>
      <c r="K90" t="n">
        <v>0</v>
      </c>
      <c r="L90" t="n">
        <v>0</v>
      </c>
      <c r="M90" t="n">
        <v>0</v>
      </c>
      <c r="N90" t="n">
        <v>0</v>
      </c>
      <c r="O90" t="n">
        <v>0</v>
      </c>
      <c r="P90" t="n">
        <v>0</v>
      </c>
      <c r="Q90" t="n">
        <v>0</v>
      </c>
      <c r="R90" s="2" t="inlineStr"/>
    </row>
    <row r="91" ht="15" customHeight="1">
      <c r="A91" t="inlineStr">
        <is>
          <t>A 58713-2019</t>
        </is>
      </c>
      <c r="B91" s="1" t="n">
        <v>43773</v>
      </c>
      <c r="C91" s="1" t="n">
        <v>45473</v>
      </c>
      <c r="D91" t="inlineStr">
        <is>
          <t>NORRBOTTENS LÄN</t>
        </is>
      </c>
      <c r="E91" t="inlineStr">
        <is>
          <t>ARVIDSJAUR</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58949-2019</t>
        </is>
      </c>
      <c r="B92" s="1" t="n">
        <v>43774</v>
      </c>
      <c r="C92" s="1" t="n">
        <v>45473</v>
      </c>
      <c r="D92" t="inlineStr">
        <is>
          <t>NORRBOTTENS LÄN</t>
        </is>
      </c>
      <c r="E92" t="inlineStr">
        <is>
          <t>ARVIDSJAUR</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59019-2019</t>
        </is>
      </c>
      <c r="B93" s="1" t="n">
        <v>43774</v>
      </c>
      <c r="C93" s="1" t="n">
        <v>45473</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62629-2019</t>
        </is>
      </c>
      <c r="B94" s="1" t="n">
        <v>43789</v>
      </c>
      <c r="C94" s="1" t="n">
        <v>45473</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938-2020</t>
        </is>
      </c>
      <c r="B95" s="1" t="n">
        <v>43818</v>
      </c>
      <c r="C95" s="1" t="n">
        <v>45473</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934-2020</t>
        </is>
      </c>
      <c r="B96" s="1" t="n">
        <v>43818</v>
      </c>
      <c r="C96" s="1" t="n">
        <v>45473</v>
      </c>
      <c r="D96" t="inlineStr">
        <is>
          <t>NORRBOTTENS LÄN</t>
        </is>
      </c>
      <c r="E96" t="inlineStr">
        <is>
          <t>ARVIDSJAUR</t>
        </is>
      </c>
      <c r="G96" t="n">
        <v>3.2</v>
      </c>
      <c r="H96" t="n">
        <v>0</v>
      </c>
      <c r="I96" t="n">
        <v>0</v>
      </c>
      <c r="J96" t="n">
        <v>0</v>
      </c>
      <c r="K96" t="n">
        <v>0</v>
      </c>
      <c r="L96" t="n">
        <v>0</v>
      </c>
      <c r="M96" t="n">
        <v>0</v>
      </c>
      <c r="N96" t="n">
        <v>0</v>
      </c>
      <c r="O96" t="n">
        <v>0</v>
      </c>
      <c r="P96" t="n">
        <v>0</v>
      </c>
      <c r="Q96" t="n">
        <v>0</v>
      </c>
      <c r="R96" s="2" t="inlineStr"/>
    </row>
    <row r="97" ht="15" customHeight="1">
      <c r="A97" t="inlineStr">
        <is>
          <t>A 1621-2020</t>
        </is>
      </c>
      <c r="B97" s="1" t="n">
        <v>43844</v>
      </c>
      <c r="C97" s="1" t="n">
        <v>45473</v>
      </c>
      <c r="D97" t="inlineStr">
        <is>
          <t>NORRBOTTENS LÄN</t>
        </is>
      </c>
      <c r="E97" t="inlineStr">
        <is>
          <t>ARVIDSJAUR</t>
        </is>
      </c>
      <c r="G97" t="n">
        <v>7.3</v>
      </c>
      <c r="H97" t="n">
        <v>0</v>
      </c>
      <c r="I97" t="n">
        <v>0</v>
      </c>
      <c r="J97" t="n">
        <v>0</v>
      </c>
      <c r="K97" t="n">
        <v>0</v>
      </c>
      <c r="L97" t="n">
        <v>0</v>
      </c>
      <c r="M97" t="n">
        <v>0</v>
      </c>
      <c r="N97" t="n">
        <v>0</v>
      </c>
      <c r="O97" t="n">
        <v>0</v>
      </c>
      <c r="P97" t="n">
        <v>0</v>
      </c>
      <c r="Q97" t="n">
        <v>0</v>
      </c>
      <c r="R97" s="2" t="inlineStr"/>
    </row>
    <row r="98" ht="15" customHeight="1">
      <c r="A98" t="inlineStr">
        <is>
          <t>A 3902-2020</t>
        </is>
      </c>
      <c r="B98" s="1" t="n">
        <v>43846</v>
      </c>
      <c r="C98" s="1" t="n">
        <v>45473</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4433-2020</t>
        </is>
      </c>
      <c r="B99" s="1" t="n">
        <v>43850</v>
      </c>
      <c r="C99" s="1" t="n">
        <v>45473</v>
      </c>
      <c r="D99" t="inlineStr">
        <is>
          <t>NORRBOTTENS LÄN</t>
        </is>
      </c>
      <c r="E99" t="inlineStr">
        <is>
          <t>ARVIDSJAUR</t>
        </is>
      </c>
      <c r="G99" t="n">
        <v>3.5</v>
      </c>
      <c r="H99" t="n">
        <v>0</v>
      </c>
      <c r="I99" t="n">
        <v>0</v>
      </c>
      <c r="J99" t="n">
        <v>0</v>
      </c>
      <c r="K99" t="n">
        <v>0</v>
      </c>
      <c r="L99" t="n">
        <v>0</v>
      </c>
      <c r="M99" t="n">
        <v>0</v>
      </c>
      <c r="N99" t="n">
        <v>0</v>
      </c>
      <c r="O99" t="n">
        <v>0</v>
      </c>
      <c r="P99" t="n">
        <v>0</v>
      </c>
      <c r="Q99" t="n">
        <v>0</v>
      </c>
      <c r="R99" s="2" t="inlineStr"/>
    </row>
    <row r="100" ht="15" customHeight="1">
      <c r="A100" t="inlineStr">
        <is>
          <t>A 4568-2020</t>
        </is>
      </c>
      <c r="B100" s="1" t="n">
        <v>43850</v>
      </c>
      <c r="C100" s="1" t="n">
        <v>45473</v>
      </c>
      <c r="D100" t="inlineStr">
        <is>
          <t>NORRBOTTENS LÄN</t>
        </is>
      </c>
      <c r="E100" t="inlineStr">
        <is>
          <t>ARVIDSJAUR</t>
        </is>
      </c>
      <c r="G100" t="n">
        <v>10.2</v>
      </c>
      <c r="H100" t="n">
        <v>0</v>
      </c>
      <c r="I100" t="n">
        <v>0</v>
      </c>
      <c r="J100" t="n">
        <v>0</v>
      </c>
      <c r="K100" t="n">
        <v>0</v>
      </c>
      <c r="L100" t="n">
        <v>0</v>
      </c>
      <c r="M100" t="n">
        <v>0</v>
      </c>
      <c r="N100" t="n">
        <v>0</v>
      </c>
      <c r="O100" t="n">
        <v>0</v>
      </c>
      <c r="P100" t="n">
        <v>0</v>
      </c>
      <c r="Q100" t="n">
        <v>0</v>
      </c>
      <c r="R100" s="2" t="inlineStr"/>
    </row>
    <row r="101" ht="15" customHeight="1">
      <c r="A101" t="inlineStr">
        <is>
          <t>A 9376-2020</t>
        </is>
      </c>
      <c r="B101" s="1" t="n">
        <v>43880</v>
      </c>
      <c r="C101" s="1" t="n">
        <v>45473</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9596-2020</t>
        </is>
      </c>
      <c r="B102" s="1" t="n">
        <v>43880</v>
      </c>
      <c r="C102" s="1" t="n">
        <v>45473</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9871-2020</t>
        </is>
      </c>
      <c r="B103" s="1" t="n">
        <v>43881</v>
      </c>
      <c r="C103" s="1" t="n">
        <v>45473</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13390-2020</t>
        </is>
      </c>
      <c r="B104" s="1" t="n">
        <v>43894</v>
      </c>
      <c r="C104" s="1" t="n">
        <v>45473</v>
      </c>
      <c r="D104" t="inlineStr">
        <is>
          <t>NORRBOTTENS LÄN</t>
        </is>
      </c>
      <c r="E104" t="inlineStr">
        <is>
          <t>ARVIDSJAUR</t>
        </is>
      </c>
      <c r="G104" t="n">
        <v>13.1</v>
      </c>
      <c r="H104" t="n">
        <v>0</v>
      </c>
      <c r="I104" t="n">
        <v>0</v>
      </c>
      <c r="J104" t="n">
        <v>0</v>
      </c>
      <c r="K104" t="n">
        <v>0</v>
      </c>
      <c r="L104" t="n">
        <v>0</v>
      </c>
      <c r="M104" t="n">
        <v>0</v>
      </c>
      <c r="N104" t="n">
        <v>0</v>
      </c>
      <c r="O104" t="n">
        <v>0</v>
      </c>
      <c r="P104" t="n">
        <v>0</v>
      </c>
      <c r="Q104" t="n">
        <v>0</v>
      </c>
      <c r="R104" s="2" t="inlineStr"/>
    </row>
    <row r="105" ht="15" customHeight="1">
      <c r="A105" t="inlineStr">
        <is>
          <t>A 14208-2020</t>
        </is>
      </c>
      <c r="B105" s="1" t="n">
        <v>43900</v>
      </c>
      <c r="C105" s="1" t="n">
        <v>45473</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14141-2020</t>
        </is>
      </c>
      <c r="B106" s="1" t="n">
        <v>43900</v>
      </c>
      <c r="C106" s="1" t="n">
        <v>45473</v>
      </c>
      <c r="D106" t="inlineStr">
        <is>
          <t>NORRBOTTENS LÄN</t>
        </is>
      </c>
      <c r="E106" t="inlineStr">
        <is>
          <t>ARVIDSJAUR</t>
        </is>
      </c>
      <c r="G106" t="n">
        <v>3.3</v>
      </c>
      <c r="H106" t="n">
        <v>0</v>
      </c>
      <c r="I106" t="n">
        <v>0</v>
      </c>
      <c r="J106" t="n">
        <v>0</v>
      </c>
      <c r="K106" t="n">
        <v>0</v>
      </c>
      <c r="L106" t="n">
        <v>0</v>
      </c>
      <c r="M106" t="n">
        <v>0</v>
      </c>
      <c r="N106" t="n">
        <v>0</v>
      </c>
      <c r="O106" t="n">
        <v>0</v>
      </c>
      <c r="P106" t="n">
        <v>0</v>
      </c>
      <c r="Q106" t="n">
        <v>0</v>
      </c>
      <c r="R106" s="2" t="inlineStr"/>
    </row>
    <row r="107" ht="15" customHeight="1">
      <c r="A107" t="inlineStr">
        <is>
          <t>A 20301-2020</t>
        </is>
      </c>
      <c r="B107" s="1" t="n">
        <v>43944</v>
      </c>
      <c r="C107" s="1" t="n">
        <v>45473</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22933-2020</t>
        </is>
      </c>
      <c r="B108" s="1" t="n">
        <v>43964</v>
      </c>
      <c r="C108" s="1" t="n">
        <v>45473</v>
      </c>
      <c r="D108" t="inlineStr">
        <is>
          <t>NORRBOTTENS LÄN</t>
        </is>
      </c>
      <c r="E108" t="inlineStr">
        <is>
          <t>ARVIDSJAUR</t>
        </is>
      </c>
      <c r="F108" t="inlineStr">
        <is>
          <t>Allmännings- och besparingsskogar</t>
        </is>
      </c>
      <c r="G108" t="n">
        <v>0.3</v>
      </c>
      <c r="H108" t="n">
        <v>0</v>
      </c>
      <c r="I108" t="n">
        <v>0</v>
      </c>
      <c r="J108" t="n">
        <v>0</v>
      </c>
      <c r="K108" t="n">
        <v>0</v>
      </c>
      <c r="L108" t="n">
        <v>0</v>
      </c>
      <c r="M108" t="n">
        <v>0</v>
      </c>
      <c r="N108" t="n">
        <v>0</v>
      </c>
      <c r="O108" t="n">
        <v>0</v>
      </c>
      <c r="P108" t="n">
        <v>0</v>
      </c>
      <c r="Q108" t="n">
        <v>0</v>
      </c>
      <c r="R108" s="2" t="inlineStr"/>
    </row>
    <row r="109" ht="15" customHeight="1">
      <c r="A109" t="inlineStr">
        <is>
          <t>A 22953-2020</t>
        </is>
      </c>
      <c r="B109" s="1" t="n">
        <v>43964</v>
      </c>
      <c r="C109" s="1" t="n">
        <v>45473</v>
      </c>
      <c r="D109" t="inlineStr">
        <is>
          <t>NORRBOTTENS LÄN</t>
        </is>
      </c>
      <c r="E109" t="inlineStr">
        <is>
          <t>ARVIDSJAUR</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24232-2020</t>
        </is>
      </c>
      <c r="B110" s="1" t="n">
        <v>43976</v>
      </c>
      <c r="C110" s="1" t="n">
        <v>45473</v>
      </c>
      <c r="D110" t="inlineStr">
        <is>
          <t>NORRBOTTENS LÄN</t>
        </is>
      </c>
      <c r="E110" t="inlineStr">
        <is>
          <t>ARVIDSJAUR</t>
        </is>
      </c>
      <c r="F110" t="inlineStr">
        <is>
          <t>Sveaskog</t>
        </is>
      </c>
      <c r="G110" t="n">
        <v>4</v>
      </c>
      <c r="H110" t="n">
        <v>0</v>
      </c>
      <c r="I110" t="n">
        <v>0</v>
      </c>
      <c r="J110" t="n">
        <v>0</v>
      </c>
      <c r="K110" t="n">
        <v>0</v>
      </c>
      <c r="L110" t="n">
        <v>0</v>
      </c>
      <c r="M110" t="n">
        <v>0</v>
      </c>
      <c r="N110" t="n">
        <v>0</v>
      </c>
      <c r="O110" t="n">
        <v>0</v>
      </c>
      <c r="P110" t="n">
        <v>0</v>
      </c>
      <c r="Q110" t="n">
        <v>0</v>
      </c>
      <c r="R110" s="2" t="inlineStr"/>
    </row>
    <row r="111" ht="15" customHeight="1">
      <c r="A111" t="inlineStr">
        <is>
          <t>A 26201-2020</t>
        </is>
      </c>
      <c r="B111" s="1" t="n">
        <v>43986</v>
      </c>
      <c r="C111" s="1" t="n">
        <v>45473</v>
      </c>
      <c r="D111" t="inlineStr">
        <is>
          <t>NORRBOTTENS LÄN</t>
        </is>
      </c>
      <c r="E111" t="inlineStr">
        <is>
          <t>ARVIDSJAUR</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31333-2020</t>
        </is>
      </c>
      <c r="B112" s="1" t="n">
        <v>44012</v>
      </c>
      <c r="C112" s="1" t="n">
        <v>45473</v>
      </c>
      <c r="D112" t="inlineStr">
        <is>
          <t>NORRBOTTENS LÄN</t>
        </is>
      </c>
      <c r="E112" t="inlineStr">
        <is>
          <t>ARVIDSJAUR</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32190-2020</t>
        </is>
      </c>
      <c r="B113" s="1" t="n">
        <v>44015</v>
      </c>
      <c r="C113" s="1" t="n">
        <v>45473</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33042-2020</t>
        </is>
      </c>
      <c r="B114" s="1" t="n">
        <v>44021</v>
      </c>
      <c r="C114" s="1" t="n">
        <v>45473</v>
      </c>
      <c r="D114" t="inlineStr">
        <is>
          <t>NORRBOTTENS LÄN</t>
        </is>
      </c>
      <c r="E114" t="inlineStr">
        <is>
          <t>ARVIDSJAUR</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35784-2020</t>
        </is>
      </c>
      <c r="B115" s="1" t="n">
        <v>44046</v>
      </c>
      <c r="C115" s="1" t="n">
        <v>45473</v>
      </c>
      <c r="D115" t="inlineStr">
        <is>
          <t>NORRBOTTENS LÄN</t>
        </is>
      </c>
      <c r="E115" t="inlineStr">
        <is>
          <t>ARVIDSJAUR</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37727-2020</t>
        </is>
      </c>
      <c r="B116" s="1" t="n">
        <v>44056</v>
      </c>
      <c r="C116" s="1" t="n">
        <v>45473</v>
      </c>
      <c r="D116" t="inlineStr">
        <is>
          <t>NORRBOTTENS LÄN</t>
        </is>
      </c>
      <c r="E116" t="inlineStr">
        <is>
          <t>ARVIDSJAUR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42684-2020</t>
        </is>
      </c>
      <c r="B117" s="1" t="n">
        <v>44075</v>
      </c>
      <c r="C117" s="1" t="n">
        <v>45473</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42394-2020</t>
        </is>
      </c>
      <c r="B118" s="1" t="n">
        <v>44076</v>
      </c>
      <c r="C118" s="1" t="n">
        <v>45473</v>
      </c>
      <c r="D118" t="inlineStr">
        <is>
          <t>NORRBOTTENS LÄN</t>
        </is>
      </c>
      <c r="E118" t="inlineStr">
        <is>
          <t>ARVIDSJAUR</t>
        </is>
      </c>
      <c r="F118" t="inlineStr">
        <is>
          <t>Sveaskog</t>
        </is>
      </c>
      <c r="G118" t="n">
        <v>5.2</v>
      </c>
      <c r="H118" t="n">
        <v>0</v>
      </c>
      <c r="I118" t="n">
        <v>0</v>
      </c>
      <c r="J118" t="n">
        <v>0</v>
      </c>
      <c r="K118" t="n">
        <v>0</v>
      </c>
      <c r="L118" t="n">
        <v>0</v>
      </c>
      <c r="M118" t="n">
        <v>0</v>
      </c>
      <c r="N118" t="n">
        <v>0</v>
      </c>
      <c r="O118" t="n">
        <v>0</v>
      </c>
      <c r="P118" t="n">
        <v>0</v>
      </c>
      <c r="Q118" t="n">
        <v>0</v>
      </c>
      <c r="R118" s="2" t="inlineStr"/>
    </row>
    <row r="119" ht="15" customHeight="1">
      <c r="A119" t="inlineStr">
        <is>
          <t>A 42227-2020</t>
        </is>
      </c>
      <c r="B119" s="1" t="n">
        <v>44076</v>
      </c>
      <c r="C119" s="1" t="n">
        <v>45473</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44087-2020</t>
        </is>
      </c>
      <c r="B120" s="1" t="n">
        <v>44081</v>
      </c>
      <c r="C120" s="1" t="n">
        <v>45473</v>
      </c>
      <c r="D120" t="inlineStr">
        <is>
          <t>NORRBOTTENS LÄN</t>
        </is>
      </c>
      <c r="E120" t="inlineStr">
        <is>
          <t>ARVIDSJAUR</t>
        </is>
      </c>
      <c r="G120" t="n">
        <v>3.5</v>
      </c>
      <c r="H120" t="n">
        <v>0</v>
      </c>
      <c r="I120" t="n">
        <v>0</v>
      </c>
      <c r="J120" t="n">
        <v>0</v>
      </c>
      <c r="K120" t="n">
        <v>0</v>
      </c>
      <c r="L120" t="n">
        <v>0</v>
      </c>
      <c r="M120" t="n">
        <v>0</v>
      </c>
      <c r="N120" t="n">
        <v>0</v>
      </c>
      <c r="O120" t="n">
        <v>0</v>
      </c>
      <c r="P120" t="n">
        <v>0</v>
      </c>
      <c r="Q120" t="n">
        <v>0</v>
      </c>
      <c r="R120" s="2" t="inlineStr"/>
    </row>
    <row r="121" ht="15" customHeight="1">
      <c r="A121" t="inlineStr">
        <is>
          <t>A 43475-2020</t>
        </is>
      </c>
      <c r="B121" s="1" t="n">
        <v>44082</v>
      </c>
      <c r="C121" s="1" t="n">
        <v>45473</v>
      </c>
      <c r="D121" t="inlineStr">
        <is>
          <t>NORRBOTTENS LÄN</t>
        </is>
      </c>
      <c r="E121" t="inlineStr">
        <is>
          <t>ARVIDSJAUR</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43753-2020</t>
        </is>
      </c>
      <c r="B122" s="1" t="n">
        <v>44082</v>
      </c>
      <c r="C122" s="1" t="n">
        <v>45473</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46904-2020</t>
        </is>
      </c>
      <c r="B123" s="1" t="n">
        <v>44089</v>
      </c>
      <c r="C123" s="1" t="n">
        <v>45473</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46333-2020</t>
        </is>
      </c>
      <c r="B124" s="1" t="n">
        <v>44092</v>
      </c>
      <c r="C124" s="1" t="n">
        <v>45473</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46330-2020</t>
        </is>
      </c>
      <c r="B125" s="1" t="n">
        <v>44092</v>
      </c>
      <c r="C125" s="1" t="n">
        <v>45473</v>
      </c>
      <c r="D125" t="inlineStr">
        <is>
          <t>NORRBOTTENS LÄN</t>
        </is>
      </c>
      <c r="E125" t="inlineStr">
        <is>
          <t>ARVIDSJAUR</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47189-2020</t>
        </is>
      </c>
      <c r="B126" s="1" t="n">
        <v>44092</v>
      </c>
      <c r="C126" s="1" t="n">
        <v>45473</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50667-2020</t>
        </is>
      </c>
      <c r="B127" s="1" t="n">
        <v>44111</v>
      </c>
      <c r="C127" s="1" t="n">
        <v>45473</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52459-2020</t>
        </is>
      </c>
      <c r="B128" s="1" t="n">
        <v>44116</v>
      </c>
      <c r="C128" s="1" t="n">
        <v>45473</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53398-2020</t>
        </is>
      </c>
      <c r="B129" s="1" t="n">
        <v>44123</v>
      </c>
      <c r="C129" s="1" t="n">
        <v>45473</v>
      </c>
      <c r="D129" t="inlineStr">
        <is>
          <t>NORRBOTTENS LÄN</t>
        </is>
      </c>
      <c r="E129" t="inlineStr">
        <is>
          <t>ARVIDSJAUR</t>
        </is>
      </c>
      <c r="F129" t="inlineStr">
        <is>
          <t>Sveaskog</t>
        </is>
      </c>
      <c r="G129" t="n">
        <v>4.3</v>
      </c>
      <c r="H129" t="n">
        <v>0</v>
      </c>
      <c r="I129" t="n">
        <v>0</v>
      </c>
      <c r="J129" t="n">
        <v>0</v>
      </c>
      <c r="K129" t="n">
        <v>0</v>
      </c>
      <c r="L129" t="n">
        <v>0</v>
      </c>
      <c r="M129" t="n">
        <v>0</v>
      </c>
      <c r="N129" t="n">
        <v>0</v>
      </c>
      <c r="O129" t="n">
        <v>0</v>
      </c>
      <c r="P129" t="n">
        <v>0</v>
      </c>
      <c r="Q129" t="n">
        <v>0</v>
      </c>
      <c r="R129" s="2" t="inlineStr"/>
    </row>
    <row r="130" ht="15" customHeight="1">
      <c r="A130" t="inlineStr">
        <is>
          <t>A 54842-2020</t>
        </is>
      </c>
      <c r="B130" s="1" t="n">
        <v>44126</v>
      </c>
      <c r="C130" s="1" t="n">
        <v>45473</v>
      </c>
      <c r="D130" t="inlineStr">
        <is>
          <t>NORRBOTTENS LÄN</t>
        </is>
      </c>
      <c r="E130" t="inlineStr">
        <is>
          <t>ARVIDSJAUR</t>
        </is>
      </c>
      <c r="G130" t="n">
        <v>4.1</v>
      </c>
      <c r="H130" t="n">
        <v>0</v>
      </c>
      <c r="I130" t="n">
        <v>0</v>
      </c>
      <c r="J130" t="n">
        <v>0</v>
      </c>
      <c r="K130" t="n">
        <v>0</v>
      </c>
      <c r="L130" t="n">
        <v>0</v>
      </c>
      <c r="M130" t="n">
        <v>0</v>
      </c>
      <c r="N130" t="n">
        <v>0</v>
      </c>
      <c r="O130" t="n">
        <v>0</v>
      </c>
      <c r="P130" t="n">
        <v>0</v>
      </c>
      <c r="Q130" t="n">
        <v>0</v>
      </c>
      <c r="R130" s="2" t="inlineStr"/>
    </row>
    <row r="131" ht="15" customHeight="1">
      <c r="A131" t="inlineStr">
        <is>
          <t>A 55542-2020</t>
        </is>
      </c>
      <c r="B131" s="1" t="n">
        <v>44131</v>
      </c>
      <c r="C131" s="1" t="n">
        <v>45473</v>
      </c>
      <c r="D131" t="inlineStr">
        <is>
          <t>NORRBOTTENS LÄN</t>
        </is>
      </c>
      <c r="E131" t="inlineStr">
        <is>
          <t>ARVIDSJAUR</t>
        </is>
      </c>
      <c r="F131" t="inlineStr">
        <is>
          <t>Sveaskog</t>
        </is>
      </c>
      <c r="G131" t="n">
        <v>9.6</v>
      </c>
      <c r="H131" t="n">
        <v>0</v>
      </c>
      <c r="I131" t="n">
        <v>0</v>
      </c>
      <c r="J131" t="n">
        <v>0</v>
      </c>
      <c r="K131" t="n">
        <v>0</v>
      </c>
      <c r="L131" t="n">
        <v>0</v>
      </c>
      <c r="M131" t="n">
        <v>0</v>
      </c>
      <c r="N131" t="n">
        <v>0</v>
      </c>
      <c r="O131" t="n">
        <v>0</v>
      </c>
      <c r="P131" t="n">
        <v>0</v>
      </c>
      <c r="Q131" t="n">
        <v>0</v>
      </c>
      <c r="R131" s="2" t="inlineStr"/>
    </row>
    <row r="132" ht="15" customHeight="1">
      <c r="A132" t="inlineStr">
        <is>
          <t>A 55702-2020</t>
        </is>
      </c>
      <c r="B132" s="1" t="n">
        <v>44132</v>
      </c>
      <c r="C132" s="1" t="n">
        <v>45473</v>
      </c>
      <c r="D132" t="inlineStr">
        <is>
          <t>NORRBOTTENS LÄN</t>
        </is>
      </c>
      <c r="E132" t="inlineStr">
        <is>
          <t>ARVIDSJAUR</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55830-2020</t>
        </is>
      </c>
      <c r="B133" s="1" t="n">
        <v>44132</v>
      </c>
      <c r="C133" s="1" t="n">
        <v>45473</v>
      </c>
      <c r="D133" t="inlineStr">
        <is>
          <t>NORRBOTTENS LÄN</t>
        </is>
      </c>
      <c r="E133" t="inlineStr">
        <is>
          <t>ARVIDSJAUR</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59922-2020</t>
        </is>
      </c>
      <c r="B134" s="1" t="n">
        <v>44148</v>
      </c>
      <c r="C134" s="1" t="n">
        <v>45473</v>
      </c>
      <c r="D134" t="inlineStr">
        <is>
          <t>NORRBOTTENS LÄN</t>
        </is>
      </c>
      <c r="E134" t="inlineStr">
        <is>
          <t>ARVIDSJAUR</t>
        </is>
      </c>
      <c r="G134" t="n">
        <v>16.1</v>
      </c>
      <c r="H134" t="n">
        <v>0</v>
      </c>
      <c r="I134" t="n">
        <v>0</v>
      </c>
      <c r="J134" t="n">
        <v>0</v>
      </c>
      <c r="K134" t="n">
        <v>0</v>
      </c>
      <c r="L134" t="n">
        <v>0</v>
      </c>
      <c r="M134" t="n">
        <v>0</v>
      </c>
      <c r="N134" t="n">
        <v>0</v>
      </c>
      <c r="O134" t="n">
        <v>0</v>
      </c>
      <c r="P134" t="n">
        <v>0</v>
      </c>
      <c r="Q134" t="n">
        <v>0</v>
      </c>
      <c r="R134" s="2" t="inlineStr"/>
    </row>
    <row r="135" ht="15" customHeight="1">
      <c r="A135" t="inlineStr">
        <is>
          <t>A 59929-2020</t>
        </is>
      </c>
      <c r="B135" s="1" t="n">
        <v>44148</v>
      </c>
      <c r="C135" s="1" t="n">
        <v>45473</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59926-2020</t>
        </is>
      </c>
      <c r="B136" s="1" t="n">
        <v>44151</v>
      </c>
      <c r="C136" s="1" t="n">
        <v>45473</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63638-2020</t>
        </is>
      </c>
      <c r="B137" s="1" t="n">
        <v>44162</v>
      </c>
      <c r="C137" s="1" t="n">
        <v>45473</v>
      </c>
      <c r="D137" t="inlineStr">
        <is>
          <t>NORRBOTTENS LÄN</t>
        </is>
      </c>
      <c r="E137" t="inlineStr">
        <is>
          <t>ARVIDSJAUR</t>
        </is>
      </c>
      <c r="G137" t="n">
        <v>5.1</v>
      </c>
      <c r="H137" t="n">
        <v>0</v>
      </c>
      <c r="I137" t="n">
        <v>0</v>
      </c>
      <c r="J137" t="n">
        <v>0</v>
      </c>
      <c r="K137" t="n">
        <v>0</v>
      </c>
      <c r="L137" t="n">
        <v>0</v>
      </c>
      <c r="M137" t="n">
        <v>0</v>
      </c>
      <c r="N137" t="n">
        <v>0</v>
      </c>
      <c r="O137" t="n">
        <v>0</v>
      </c>
      <c r="P137" t="n">
        <v>0</v>
      </c>
      <c r="Q137" t="n">
        <v>0</v>
      </c>
      <c r="R137" s="2" t="inlineStr"/>
    </row>
    <row r="138" ht="15" customHeight="1">
      <c r="A138" t="inlineStr">
        <is>
          <t>A 67384-2020</t>
        </is>
      </c>
      <c r="B138" s="1" t="n">
        <v>44179</v>
      </c>
      <c r="C138" s="1" t="n">
        <v>45473</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67127-2020</t>
        </is>
      </c>
      <c r="B139" s="1" t="n">
        <v>44180</v>
      </c>
      <c r="C139" s="1" t="n">
        <v>45473</v>
      </c>
      <c r="D139" t="inlineStr">
        <is>
          <t>NORRBOTTENS LÄN</t>
        </is>
      </c>
      <c r="E139" t="inlineStr">
        <is>
          <t>ARVIDSJAUR</t>
        </is>
      </c>
      <c r="F139" t="inlineStr">
        <is>
          <t>Sveaskog</t>
        </is>
      </c>
      <c r="G139" t="n">
        <v>6.5</v>
      </c>
      <c r="H139" t="n">
        <v>0</v>
      </c>
      <c r="I139" t="n">
        <v>0</v>
      </c>
      <c r="J139" t="n">
        <v>0</v>
      </c>
      <c r="K139" t="n">
        <v>0</v>
      </c>
      <c r="L139" t="n">
        <v>0</v>
      </c>
      <c r="M139" t="n">
        <v>0</v>
      </c>
      <c r="N139" t="n">
        <v>0</v>
      </c>
      <c r="O139" t="n">
        <v>0</v>
      </c>
      <c r="P139" t="n">
        <v>0</v>
      </c>
      <c r="Q139" t="n">
        <v>0</v>
      </c>
      <c r="R139" s="2" t="inlineStr"/>
    </row>
    <row r="140" ht="15" customHeight="1">
      <c r="A140" t="inlineStr">
        <is>
          <t>A 2748-2021</t>
        </is>
      </c>
      <c r="B140" s="1" t="n">
        <v>44215</v>
      </c>
      <c r="C140" s="1" t="n">
        <v>45473</v>
      </c>
      <c r="D140" t="inlineStr">
        <is>
          <t>NORRBOTTENS LÄN</t>
        </is>
      </c>
      <c r="E140" t="inlineStr">
        <is>
          <t>ARVIDSJAUR</t>
        </is>
      </c>
      <c r="F140" t="inlineStr">
        <is>
          <t>Övriga Aktiebolag</t>
        </is>
      </c>
      <c r="G140" t="n">
        <v>5.4</v>
      </c>
      <c r="H140" t="n">
        <v>0</v>
      </c>
      <c r="I140" t="n">
        <v>0</v>
      </c>
      <c r="J140" t="n">
        <v>0</v>
      </c>
      <c r="K140" t="n">
        <v>0</v>
      </c>
      <c r="L140" t="n">
        <v>0</v>
      </c>
      <c r="M140" t="n">
        <v>0</v>
      </c>
      <c r="N140" t="n">
        <v>0</v>
      </c>
      <c r="O140" t="n">
        <v>0</v>
      </c>
      <c r="P140" t="n">
        <v>0</v>
      </c>
      <c r="Q140" t="n">
        <v>0</v>
      </c>
      <c r="R140" s="2" t="inlineStr"/>
    </row>
    <row r="141" ht="15" customHeight="1">
      <c r="A141" t="inlineStr">
        <is>
          <t>A 8483-2021</t>
        </is>
      </c>
      <c r="B141" s="1" t="n">
        <v>44244</v>
      </c>
      <c r="C141" s="1" t="n">
        <v>45473</v>
      </c>
      <c r="D141" t="inlineStr">
        <is>
          <t>NORRBOTTENS LÄN</t>
        </is>
      </c>
      <c r="E141" t="inlineStr">
        <is>
          <t>ARVIDSJAUR</t>
        </is>
      </c>
      <c r="G141" t="n">
        <v>33.1</v>
      </c>
      <c r="H141" t="n">
        <v>0</v>
      </c>
      <c r="I141" t="n">
        <v>0</v>
      </c>
      <c r="J141" t="n">
        <v>0</v>
      </c>
      <c r="K141" t="n">
        <v>0</v>
      </c>
      <c r="L141" t="n">
        <v>0</v>
      </c>
      <c r="M141" t="n">
        <v>0</v>
      </c>
      <c r="N141" t="n">
        <v>0</v>
      </c>
      <c r="O141" t="n">
        <v>0</v>
      </c>
      <c r="P141" t="n">
        <v>0</v>
      </c>
      <c r="Q141" t="n">
        <v>0</v>
      </c>
      <c r="R141" s="2" t="inlineStr"/>
    </row>
    <row r="142" ht="15" customHeight="1">
      <c r="A142" t="inlineStr">
        <is>
          <t>A 9871-2021</t>
        </is>
      </c>
      <c r="B142" s="1" t="n">
        <v>44252</v>
      </c>
      <c r="C142" s="1" t="n">
        <v>45473</v>
      </c>
      <c r="D142" t="inlineStr">
        <is>
          <t>NORRBOTTENS LÄN</t>
        </is>
      </c>
      <c r="E142" t="inlineStr">
        <is>
          <t>ARVIDSJAUR</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9864-2021</t>
        </is>
      </c>
      <c r="B143" s="1" t="n">
        <v>44252</v>
      </c>
      <c r="C143" s="1" t="n">
        <v>45473</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11076-2021</t>
        </is>
      </c>
      <c r="B144" s="1" t="n">
        <v>44259</v>
      </c>
      <c r="C144" s="1" t="n">
        <v>45473</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19889-2021</t>
        </is>
      </c>
      <c r="B145" s="1" t="n">
        <v>44312</v>
      </c>
      <c r="C145" s="1" t="n">
        <v>45473</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19904-2021</t>
        </is>
      </c>
      <c r="B146" s="1" t="n">
        <v>44312</v>
      </c>
      <c r="C146" s="1" t="n">
        <v>45473</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21270-2021</t>
        </is>
      </c>
      <c r="B147" s="1" t="n">
        <v>44320</v>
      </c>
      <c r="C147" s="1" t="n">
        <v>45473</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21271-2021</t>
        </is>
      </c>
      <c r="B148" s="1" t="n">
        <v>44320</v>
      </c>
      <c r="C148" s="1" t="n">
        <v>45473</v>
      </c>
      <c r="D148" t="inlineStr">
        <is>
          <t>NORRBOTTENS LÄN</t>
        </is>
      </c>
      <c r="E148" t="inlineStr">
        <is>
          <t>ARVIDSJAUR</t>
        </is>
      </c>
      <c r="G148" t="n">
        <v>1.8</v>
      </c>
      <c r="H148" t="n">
        <v>0</v>
      </c>
      <c r="I148" t="n">
        <v>0</v>
      </c>
      <c r="J148" t="n">
        <v>0</v>
      </c>
      <c r="K148" t="n">
        <v>0</v>
      </c>
      <c r="L148" t="n">
        <v>0</v>
      </c>
      <c r="M148" t="n">
        <v>0</v>
      </c>
      <c r="N148" t="n">
        <v>0</v>
      </c>
      <c r="O148" t="n">
        <v>0</v>
      </c>
      <c r="P148" t="n">
        <v>0</v>
      </c>
      <c r="Q148" t="n">
        <v>0</v>
      </c>
      <c r="R148" s="2" t="inlineStr"/>
    </row>
    <row r="149" ht="15" customHeight="1">
      <c r="A149" t="inlineStr">
        <is>
          <t>A 21272-2021</t>
        </is>
      </c>
      <c r="B149" s="1" t="n">
        <v>44320</v>
      </c>
      <c r="C149" s="1" t="n">
        <v>45473</v>
      </c>
      <c r="D149" t="inlineStr">
        <is>
          <t>NORRBOTTENS LÄN</t>
        </is>
      </c>
      <c r="E149" t="inlineStr">
        <is>
          <t>ARVIDSJAUR</t>
        </is>
      </c>
      <c r="G149" t="n">
        <v>2.1</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45473</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21797-2021</t>
        </is>
      </c>
      <c r="B151" s="1" t="n">
        <v>44322</v>
      </c>
      <c r="C151" s="1" t="n">
        <v>45473</v>
      </c>
      <c r="D151" t="inlineStr">
        <is>
          <t>NORRBOTTENS LÄN</t>
        </is>
      </c>
      <c r="E151" t="inlineStr">
        <is>
          <t>ARVIDSJAUR</t>
        </is>
      </c>
      <c r="G151" t="n">
        <v>9.1</v>
      </c>
      <c r="H151" t="n">
        <v>0</v>
      </c>
      <c r="I151" t="n">
        <v>0</v>
      </c>
      <c r="J151" t="n">
        <v>0</v>
      </c>
      <c r="K151" t="n">
        <v>0</v>
      </c>
      <c r="L151" t="n">
        <v>0</v>
      </c>
      <c r="M151" t="n">
        <v>0</v>
      </c>
      <c r="N151" t="n">
        <v>0</v>
      </c>
      <c r="O151" t="n">
        <v>0</v>
      </c>
      <c r="P151" t="n">
        <v>0</v>
      </c>
      <c r="Q151" t="n">
        <v>0</v>
      </c>
      <c r="R151" s="2" t="inlineStr"/>
    </row>
    <row r="152" ht="15" customHeight="1">
      <c r="A152" t="inlineStr">
        <is>
          <t>A 22837-2021</t>
        </is>
      </c>
      <c r="B152" s="1" t="n">
        <v>44326</v>
      </c>
      <c r="C152" s="1" t="n">
        <v>45473</v>
      </c>
      <c r="D152" t="inlineStr">
        <is>
          <t>NORRBOTTENS LÄN</t>
        </is>
      </c>
      <c r="E152" t="inlineStr">
        <is>
          <t>ARVIDSJAUR</t>
        </is>
      </c>
      <c r="G152" t="n">
        <v>3</v>
      </c>
      <c r="H152" t="n">
        <v>0</v>
      </c>
      <c r="I152" t="n">
        <v>0</v>
      </c>
      <c r="J152" t="n">
        <v>0</v>
      </c>
      <c r="K152" t="n">
        <v>0</v>
      </c>
      <c r="L152" t="n">
        <v>0</v>
      </c>
      <c r="M152" t="n">
        <v>0</v>
      </c>
      <c r="N152" t="n">
        <v>0</v>
      </c>
      <c r="O152" t="n">
        <v>0</v>
      </c>
      <c r="P152" t="n">
        <v>0</v>
      </c>
      <c r="Q152" t="n">
        <v>0</v>
      </c>
      <c r="R152" s="2" t="inlineStr"/>
    </row>
    <row r="153" ht="15" customHeight="1">
      <c r="A153" t="inlineStr">
        <is>
          <t>A 23586-2021</t>
        </is>
      </c>
      <c r="B153" s="1" t="n">
        <v>44334</v>
      </c>
      <c r="C153" s="1" t="n">
        <v>45473</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23583-2021</t>
        </is>
      </c>
      <c r="B154" s="1" t="n">
        <v>44334</v>
      </c>
      <c r="C154" s="1" t="n">
        <v>45473</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23588-2021</t>
        </is>
      </c>
      <c r="B155" s="1" t="n">
        <v>44334</v>
      </c>
      <c r="C155" s="1" t="n">
        <v>45473</v>
      </c>
      <c r="D155" t="inlineStr">
        <is>
          <t>NORRBOTTENS LÄN</t>
        </is>
      </c>
      <c r="E155" t="inlineStr">
        <is>
          <t>ARVIDSJAUR</t>
        </is>
      </c>
      <c r="G155" t="n">
        <v>0.6</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45473</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28628-2021</t>
        </is>
      </c>
      <c r="B157" s="1" t="n">
        <v>44356</v>
      </c>
      <c r="C157" s="1" t="n">
        <v>45473</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29947-2021</t>
        </is>
      </c>
      <c r="B158" s="1" t="n">
        <v>44363</v>
      </c>
      <c r="C158" s="1" t="n">
        <v>45473</v>
      </c>
      <c r="D158" t="inlineStr">
        <is>
          <t>NORRBOTTENS LÄN</t>
        </is>
      </c>
      <c r="E158" t="inlineStr">
        <is>
          <t>ARVIDSJAUR</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30562-2021</t>
        </is>
      </c>
      <c r="B159" s="1" t="n">
        <v>44364</v>
      </c>
      <c r="C159" s="1" t="n">
        <v>45473</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30651-2021</t>
        </is>
      </c>
      <c r="B160" s="1" t="n">
        <v>44365</v>
      </c>
      <c r="C160" s="1" t="n">
        <v>45473</v>
      </c>
      <c r="D160" t="inlineStr">
        <is>
          <t>NORRBOTTENS LÄN</t>
        </is>
      </c>
      <c r="E160" t="inlineStr">
        <is>
          <t>ARVIDSJAUR</t>
        </is>
      </c>
      <c r="F160" t="inlineStr">
        <is>
          <t>Allmännings- och besparingsskogar</t>
        </is>
      </c>
      <c r="G160" t="n">
        <v>27</v>
      </c>
      <c r="H160" t="n">
        <v>0</v>
      </c>
      <c r="I160" t="n">
        <v>0</v>
      </c>
      <c r="J160" t="n">
        <v>0</v>
      </c>
      <c r="K160" t="n">
        <v>0</v>
      </c>
      <c r="L160" t="n">
        <v>0</v>
      </c>
      <c r="M160" t="n">
        <v>0</v>
      </c>
      <c r="N160" t="n">
        <v>0</v>
      </c>
      <c r="O160" t="n">
        <v>0</v>
      </c>
      <c r="P160" t="n">
        <v>0</v>
      </c>
      <c r="Q160" t="n">
        <v>0</v>
      </c>
      <c r="R160" s="2" t="inlineStr"/>
    </row>
    <row r="161" ht="15" customHeight="1">
      <c r="A161" t="inlineStr">
        <is>
          <t>A 31446-2021</t>
        </is>
      </c>
      <c r="B161" s="1" t="n">
        <v>44369</v>
      </c>
      <c r="C161" s="1" t="n">
        <v>45473</v>
      </c>
      <c r="D161" t="inlineStr">
        <is>
          <t>NORRBOTTENS LÄN</t>
        </is>
      </c>
      <c r="E161" t="inlineStr">
        <is>
          <t>ARVIDSJAUR</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31453-2021</t>
        </is>
      </c>
      <c r="B162" s="1" t="n">
        <v>44369</v>
      </c>
      <c r="C162" s="1" t="n">
        <v>45473</v>
      </c>
      <c r="D162" t="inlineStr">
        <is>
          <t>NORRBOTTENS LÄN</t>
        </is>
      </c>
      <c r="E162" t="inlineStr">
        <is>
          <t>ARVIDSJAUR</t>
        </is>
      </c>
      <c r="F162" t="inlineStr">
        <is>
          <t>Sveaskog</t>
        </is>
      </c>
      <c r="G162" t="n">
        <v>11.3</v>
      </c>
      <c r="H162" t="n">
        <v>0</v>
      </c>
      <c r="I162" t="n">
        <v>0</v>
      </c>
      <c r="J162" t="n">
        <v>0</v>
      </c>
      <c r="K162" t="n">
        <v>0</v>
      </c>
      <c r="L162" t="n">
        <v>0</v>
      </c>
      <c r="M162" t="n">
        <v>0</v>
      </c>
      <c r="N162" t="n">
        <v>0</v>
      </c>
      <c r="O162" t="n">
        <v>0</v>
      </c>
      <c r="P162" t="n">
        <v>0</v>
      </c>
      <c r="Q162" t="n">
        <v>0</v>
      </c>
      <c r="R162" s="2" t="inlineStr"/>
    </row>
    <row r="163" ht="15" customHeight="1">
      <c r="A163" t="inlineStr">
        <is>
          <t>A 31573-2021</t>
        </is>
      </c>
      <c r="B163" s="1" t="n">
        <v>44369</v>
      </c>
      <c r="C163" s="1" t="n">
        <v>45473</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33336-2021</t>
        </is>
      </c>
      <c r="B164" s="1" t="n">
        <v>44377</v>
      </c>
      <c r="C164" s="1" t="n">
        <v>45473</v>
      </c>
      <c r="D164" t="inlineStr">
        <is>
          <t>NORRBOTTENS LÄN</t>
        </is>
      </c>
      <c r="E164" t="inlineStr">
        <is>
          <t>ARVIDSJAUR</t>
        </is>
      </c>
      <c r="G164" t="n">
        <v>13.9</v>
      </c>
      <c r="H164" t="n">
        <v>0</v>
      </c>
      <c r="I164" t="n">
        <v>0</v>
      </c>
      <c r="J164" t="n">
        <v>0</v>
      </c>
      <c r="K164" t="n">
        <v>0</v>
      </c>
      <c r="L164" t="n">
        <v>0</v>
      </c>
      <c r="M164" t="n">
        <v>0</v>
      </c>
      <c r="N164" t="n">
        <v>0</v>
      </c>
      <c r="O164" t="n">
        <v>0</v>
      </c>
      <c r="P164" t="n">
        <v>0</v>
      </c>
      <c r="Q164" t="n">
        <v>0</v>
      </c>
      <c r="R164" s="2" t="inlineStr"/>
    </row>
    <row r="165" ht="15" customHeight="1">
      <c r="A165" t="inlineStr">
        <is>
          <t>A 34244-2021</t>
        </is>
      </c>
      <c r="B165" s="1" t="n">
        <v>44379</v>
      </c>
      <c r="C165" s="1" t="n">
        <v>45473</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34253-2021</t>
        </is>
      </c>
      <c r="B166" s="1" t="n">
        <v>44379</v>
      </c>
      <c r="C166" s="1" t="n">
        <v>45473</v>
      </c>
      <c r="D166" t="inlineStr">
        <is>
          <t>NORRBOTTENS LÄN</t>
        </is>
      </c>
      <c r="E166" t="inlineStr">
        <is>
          <t>ARVIDSJAUR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34510-2021</t>
        </is>
      </c>
      <c r="B167" s="1" t="n">
        <v>44382</v>
      </c>
      <c r="C167" s="1" t="n">
        <v>45473</v>
      </c>
      <c r="D167" t="inlineStr">
        <is>
          <t>NORRBOTTENS LÄN</t>
        </is>
      </c>
      <c r="E167" t="inlineStr">
        <is>
          <t>ARVIDSJAUR</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34636-2021</t>
        </is>
      </c>
      <c r="B168" s="1" t="n">
        <v>44382</v>
      </c>
      <c r="C168" s="1" t="n">
        <v>45473</v>
      </c>
      <c r="D168" t="inlineStr">
        <is>
          <t>NORRBOTTENS LÄN</t>
        </is>
      </c>
      <c r="E168" t="inlineStr">
        <is>
          <t>ARVIDSJAUR</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34962-2021</t>
        </is>
      </c>
      <c r="B169" s="1" t="n">
        <v>44382</v>
      </c>
      <c r="C169" s="1" t="n">
        <v>45473</v>
      </c>
      <c r="D169" t="inlineStr">
        <is>
          <t>NORRBOTTENS LÄN</t>
        </is>
      </c>
      <c r="E169" t="inlineStr">
        <is>
          <t>ARVIDSJAUR</t>
        </is>
      </c>
      <c r="G169" t="n">
        <v>1.9</v>
      </c>
      <c r="H169" t="n">
        <v>0</v>
      </c>
      <c r="I169" t="n">
        <v>0</v>
      </c>
      <c r="J169" t="n">
        <v>0</v>
      </c>
      <c r="K169" t="n">
        <v>0</v>
      </c>
      <c r="L169" t="n">
        <v>0</v>
      </c>
      <c r="M169" t="n">
        <v>0</v>
      </c>
      <c r="N169" t="n">
        <v>0</v>
      </c>
      <c r="O169" t="n">
        <v>0</v>
      </c>
      <c r="P169" t="n">
        <v>0</v>
      </c>
      <c r="Q169" t="n">
        <v>0</v>
      </c>
      <c r="R169" s="2" t="inlineStr"/>
    </row>
    <row r="170" ht="15" customHeight="1">
      <c r="A170" t="inlineStr">
        <is>
          <t>A 35740-2021</t>
        </is>
      </c>
      <c r="B170" s="1" t="n">
        <v>44385</v>
      </c>
      <c r="C170" s="1" t="n">
        <v>45473</v>
      </c>
      <c r="D170" t="inlineStr">
        <is>
          <t>NORRBOTTENS LÄN</t>
        </is>
      </c>
      <c r="E170" t="inlineStr">
        <is>
          <t>ARVIDSJAUR</t>
        </is>
      </c>
      <c r="G170" t="n">
        <v>11.7</v>
      </c>
      <c r="H170" t="n">
        <v>0</v>
      </c>
      <c r="I170" t="n">
        <v>0</v>
      </c>
      <c r="J170" t="n">
        <v>0</v>
      </c>
      <c r="K170" t="n">
        <v>0</v>
      </c>
      <c r="L170" t="n">
        <v>0</v>
      </c>
      <c r="M170" t="n">
        <v>0</v>
      </c>
      <c r="N170" t="n">
        <v>0</v>
      </c>
      <c r="O170" t="n">
        <v>0</v>
      </c>
      <c r="P170" t="n">
        <v>0</v>
      </c>
      <c r="Q170" t="n">
        <v>0</v>
      </c>
      <c r="R170" s="2" t="inlineStr"/>
    </row>
    <row r="171" ht="15" customHeight="1">
      <c r="A171" t="inlineStr">
        <is>
          <t>A 36303-2021</t>
        </is>
      </c>
      <c r="B171" s="1" t="n">
        <v>44389</v>
      </c>
      <c r="C171" s="1" t="n">
        <v>45473</v>
      </c>
      <c r="D171" t="inlineStr">
        <is>
          <t>NORRBOTTENS LÄN</t>
        </is>
      </c>
      <c r="E171" t="inlineStr">
        <is>
          <t>ARVIDSJAUR</t>
        </is>
      </c>
      <c r="G171" t="n">
        <v>9.6</v>
      </c>
      <c r="H171" t="n">
        <v>0</v>
      </c>
      <c r="I171" t="n">
        <v>0</v>
      </c>
      <c r="J171" t="n">
        <v>0</v>
      </c>
      <c r="K171" t="n">
        <v>0</v>
      </c>
      <c r="L171" t="n">
        <v>0</v>
      </c>
      <c r="M171" t="n">
        <v>0</v>
      </c>
      <c r="N171" t="n">
        <v>0</v>
      </c>
      <c r="O171" t="n">
        <v>0</v>
      </c>
      <c r="P171" t="n">
        <v>0</v>
      </c>
      <c r="Q171" t="n">
        <v>0</v>
      </c>
      <c r="R171" s="2" t="inlineStr"/>
    </row>
    <row r="172" ht="15" customHeight="1">
      <c r="A172" t="inlineStr">
        <is>
          <t>A 36297-2021</t>
        </is>
      </c>
      <c r="B172" s="1" t="n">
        <v>44389</v>
      </c>
      <c r="C172" s="1" t="n">
        <v>45473</v>
      </c>
      <c r="D172" t="inlineStr">
        <is>
          <t>NORRBOTTENS LÄN</t>
        </is>
      </c>
      <c r="E172" t="inlineStr">
        <is>
          <t>ARVIDSJAUR</t>
        </is>
      </c>
      <c r="G172" t="n">
        <v>9.1</v>
      </c>
      <c r="H172" t="n">
        <v>0</v>
      </c>
      <c r="I172" t="n">
        <v>0</v>
      </c>
      <c r="J172" t="n">
        <v>0</v>
      </c>
      <c r="K172" t="n">
        <v>0</v>
      </c>
      <c r="L172" t="n">
        <v>0</v>
      </c>
      <c r="M172" t="n">
        <v>0</v>
      </c>
      <c r="N172" t="n">
        <v>0</v>
      </c>
      <c r="O172" t="n">
        <v>0</v>
      </c>
      <c r="P172" t="n">
        <v>0</v>
      </c>
      <c r="Q172" t="n">
        <v>0</v>
      </c>
      <c r="R172" s="2" t="inlineStr"/>
    </row>
    <row r="173" ht="15" customHeight="1">
      <c r="A173" t="inlineStr">
        <is>
          <t>A 36581-2021</t>
        </is>
      </c>
      <c r="B173" s="1" t="n">
        <v>44391</v>
      </c>
      <c r="C173" s="1" t="n">
        <v>45473</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40357-2021</t>
        </is>
      </c>
      <c r="B174" s="1" t="n">
        <v>44419</v>
      </c>
      <c r="C174" s="1" t="n">
        <v>45473</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40836-2021</t>
        </is>
      </c>
      <c r="B175" s="1" t="n">
        <v>44421</v>
      </c>
      <c r="C175" s="1" t="n">
        <v>45473</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40844-2021</t>
        </is>
      </c>
      <c r="B176" s="1" t="n">
        <v>44421</v>
      </c>
      <c r="C176" s="1" t="n">
        <v>45473</v>
      </c>
      <c r="D176" t="inlineStr">
        <is>
          <t>NORRBOTTENS LÄN</t>
        </is>
      </c>
      <c r="E176" t="inlineStr">
        <is>
          <t>ARVIDSJAUR</t>
        </is>
      </c>
      <c r="G176" t="n">
        <v>0.3</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45473</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45473</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42330-2021</t>
        </is>
      </c>
      <c r="B179" s="1" t="n">
        <v>44427</v>
      </c>
      <c r="C179" s="1" t="n">
        <v>45473</v>
      </c>
      <c r="D179" t="inlineStr">
        <is>
          <t>NORRBOTTENS LÄN</t>
        </is>
      </c>
      <c r="E179" t="inlineStr">
        <is>
          <t>ARVIDSJAUR</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42674-2021</t>
        </is>
      </c>
      <c r="B180" s="1" t="n">
        <v>44428</v>
      </c>
      <c r="C180" s="1" t="n">
        <v>45473</v>
      </c>
      <c r="D180" t="inlineStr">
        <is>
          <t>NORRBOTTENS LÄN</t>
        </is>
      </c>
      <c r="E180" t="inlineStr">
        <is>
          <t>ARVIDSJAUR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42694-2021</t>
        </is>
      </c>
      <c r="B181" s="1" t="n">
        <v>44428</v>
      </c>
      <c r="C181" s="1" t="n">
        <v>45473</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43683-2021</t>
        </is>
      </c>
      <c r="B182" s="1" t="n">
        <v>44433</v>
      </c>
      <c r="C182" s="1" t="n">
        <v>45473</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43678-2021</t>
        </is>
      </c>
      <c r="B183" s="1" t="n">
        <v>44433</v>
      </c>
      <c r="C183" s="1" t="n">
        <v>45473</v>
      </c>
      <c r="D183" t="inlineStr">
        <is>
          <t>NORRBOTTENS LÄN</t>
        </is>
      </c>
      <c r="E183" t="inlineStr">
        <is>
          <t>ARVIDSJAUR</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44026-2021</t>
        </is>
      </c>
      <c r="B184" s="1" t="n">
        <v>44434</v>
      </c>
      <c r="C184" s="1" t="n">
        <v>45473</v>
      </c>
      <c r="D184" t="inlineStr">
        <is>
          <t>NORRBOTTENS LÄN</t>
        </is>
      </c>
      <c r="E184" t="inlineStr">
        <is>
          <t>ARVIDSJAUR</t>
        </is>
      </c>
      <c r="F184" t="inlineStr">
        <is>
          <t>Sveaskog</t>
        </is>
      </c>
      <c r="G184" t="n">
        <v>28.6</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45473</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45391-2021</t>
        </is>
      </c>
      <c r="B186" s="1" t="n">
        <v>44440</v>
      </c>
      <c r="C186" s="1" t="n">
        <v>45473</v>
      </c>
      <c r="D186" t="inlineStr">
        <is>
          <t>NORRBOTTENS LÄN</t>
        </is>
      </c>
      <c r="E186" t="inlineStr">
        <is>
          <t>ARVIDSJAUR</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45398-2021</t>
        </is>
      </c>
      <c r="B187" s="1" t="n">
        <v>44440</v>
      </c>
      <c r="C187" s="1" t="n">
        <v>45473</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45769-2021</t>
        </is>
      </c>
      <c r="B188" s="1" t="n">
        <v>44441</v>
      </c>
      <c r="C188" s="1" t="n">
        <v>45473</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46181-2021</t>
        </is>
      </c>
      <c r="B189" s="1" t="n">
        <v>44441</v>
      </c>
      <c r="C189" s="1" t="n">
        <v>45473</v>
      </c>
      <c r="D189" t="inlineStr">
        <is>
          <t>NORRBOTTENS LÄN</t>
        </is>
      </c>
      <c r="E189" t="inlineStr">
        <is>
          <t>ARVIDSJAUR</t>
        </is>
      </c>
      <c r="G189" t="n">
        <v>6.5</v>
      </c>
      <c r="H189" t="n">
        <v>0</v>
      </c>
      <c r="I189" t="n">
        <v>0</v>
      </c>
      <c r="J189" t="n">
        <v>0</v>
      </c>
      <c r="K189" t="n">
        <v>0</v>
      </c>
      <c r="L189" t="n">
        <v>0</v>
      </c>
      <c r="M189" t="n">
        <v>0</v>
      </c>
      <c r="N189" t="n">
        <v>0</v>
      </c>
      <c r="O189" t="n">
        <v>0</v>
      </c>
      <c r="P189" t="n">
        <v>0</v>
      </c>
      <c r="Q189" t="n">
        <v>0</v>
      </c>
      <c r="R189" s="2" t="inlineStr"/>
    </row>
    <row r="190" ht="15" customHeight="1">
      <c r="A190" t="inlineStr">
        <is>
          <t>A 46082-2021</t>
        </is>
      </c>
      <c r="B190" s="1" t="n">
        <v>44442</v>
      </c>
      <c r="C190" s="1" t="n">
        <v>45473</v>
      </c>
      <c r="D190" t="inlineStr">
        <is>
          <t>NORRBOTTENS LÄN</t>
        </is>
      </c>
      <c r="E190" t="inlineStr">
        <is>
          <t>ARVIDSJAUR</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46072-2021</t>
        </is>
      </c>
      <c r="B191" s="1" t="n">
        <v>44442</v>
      </c>
      <c r="C191" s="1" t="n">
        <v>45473</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46080-2021</t>
        </is>
      </c>
      <c r="B192" s="1" t="n">
        <v>44442</v>
      </c>
      <c r="C192" s="1" t="n">
        <v>45473</v>
      </c>
      <c r="D192" t="inlineStr">
        <is>
          <t>NORRBOTTENS LÄN</t>
        </is>
      </c>
      <c r="E192" t="inlineStr">
        <is>
          <t>ARVIDSJAUR</t>
        </is>
      </c>
      <c r="F192" t="inlineStr">
        <is>
          <t>Sveaskog</t>
        </is>
      </c>
      <c r="G192" t="n">
        <v>34.5</v>
      </c>
      <c r="H192" t="n">
        <v>0</v>
      </c>
      <c r="I192" t="n">
        <v>0</v>
      </c>
      <c r="J192" t="n">
        <v>0</v>
      </c>
      <c r="K192" t="n">
        <v>0</v>
      </c>
      <c r="L192" t="n">
        <v>0</v>
      </c>
      <c r="M192" t="n">
        <v>0</v>
      </c>
      <c r="N192" t="n">
        <v>0</v>
      </c>
      <c r="O192" t="n">
        <v>0</v>
      </c>
      <c r="P192" t="n">
        <v>0</v>
      </c>
      <c r="Q192" t="n">
        <v>0</v>
      </c>
      <c r="R192" s="2" t="inlineStr"/>
    </row>
    <row r="193" ht="15" customHeight="1">
      <c r="A193" t="inlineStr">
        <is>
          <t>A 46077-2021</t>
        </is>
      </c>
      <c r="B193" s="1" t="n">
        <v>44442</v>
      </c>
      <c r="C193" s="1" t="n">
        <v>45473</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48870-2021</t>
        </is>
      </c>
      <c r="B194" s="1" t="n">
        <v>44452</v>
      </c>
      <c r="C194" s="1" t="n">
        <v>45473</v>
      </c>
      <c r="D194" t="inlineStr">
        <is>
          <t>NORRBOTTENS LÄN</t>
        </is>
      </c>
      <c r="E194" t="inlineStr">
        <is>
          <t>ARVIDSJAUR</t>
        </is>
      </c>
      <c r="F194" t="inlineStr">
        <is>
          <t>SCA</t>
        </is>
      </c>
      <c r="G194" t="n">
        <v>22.6</v>
      </c>
      <c r="H194" t="n">
        <v>0</v>
      </c>
      <c r="I194" t="n">
        <v>0</v>
      </c>
      <c r="J194" t="n">
        <v>0</v>
      </c>
      <c r="K194" t="n">
        <v>0</v>
      </c>
      <c r="L194" t="n">
        <v>0</v>
      </c>
      <c r="M194" t="n">
        <v>0</v>
      </c>
      <c r="N194" t="n">
        <v>0</v>
      </c>
      <c r="O194" t="n">
        <v>0</v>
      </c>
      <c r="P194" t="n">
        <v>0</v>
      </c>
      <c r="Q194" t="n">
        <v>0</v>
      </c>
      <c r="R194" s="2" t="inlineStr"/>
    </row>
    <row r="195" ht="15" customHeight="1">
      <c r="A195" t="inlineStr">
        <is>
          <t>A 49979-2021</t>
        </is>
      </c>
      <c r="B195" s="1" t="n">
        <v>44456</v>
      </c>
      <c r="C195" s="1" t="n">
        <v>45473</v>
      </c>
      <c r="D195" t="inlineStr">
        <is>
          <t>NORRBOTTENS LÄN</t>
        </is>
      </c>
      <c r="E195" t="inlineStr">
        <is>
          <t>ARVIDSJAUR</t>
        </is>
      </c>
      <c r="F195" t="inlineStr">
        <is>
          <t>Sveaskog</t>
        </is>
      </c>
      <c r="G195" t="n">
        <v>13.8</v>
      </c>
      <c r="H195" t="n">
        <v>0</v>
      </c>
      <c r="I195" t="n">
        <v>0</v>
      </c>
      <c r="J195" t="n">
        <v>0</v>
      </c>
      <c r="K195" t="n">
        <v>0</v>
      </c>
      <c r="L195" t="n">
        <v>0</v>
      </c>
      <c r="M195" t="n">
        <v>0</v>
      </c>
      <c r="N195" t="n">
        <v>0</v>
      </c>
      <c r="O195" t="n">
        <v>0</v>
      </c>
      <c r="P195" t="n">
        <v>0</v>
      </c>
      <c r="Q195" t="n">
        <v>0</v>
      </c>
      <c r="R195" s="2" t="inlineStr"/>
    </row>
    <row r="196" ht="15" customHeight="1">
      <c r="A196" t="inlineStr">
        <is>
          <t>A 51925-2021</t>
        </is>
      </c>
      <c r="B196" s="1" t="n">
        <v>44462</v>
      </c>
      <c r="C196" s="1" t="n">
        <v>45473</v>
      </c>
      <c r="D196" t="inlineStr">
        <is>
          <t>NORRBOTTENS LÄN</t>
        </is>
      </c>
      <c r="E196" t="inlineStr">
        <is>
          <t>ARVIDSJAUR</t>
        </is>
      </c>
      <c r="F196" t="inlineStr">
        <is>
          <t>SCA</t>
        </is>
      </c>
      <c r="G196" t="n">
        <v>22.6</v>
      </c>
      <c r="H196" t="n">
        <v>0</v>
      </c>
      <c r="I196" t="n">
        <v>0</v>
      </c>
      <c r="J196" t="n">
        <v>0</v>
      </c>
      <c r="K196" t="n">
        <v>0</v>
      </c>
      <c r="L196" t="n">
        <v>0</v>
      </c>
      <c r="M196" t="n">
        <v>0</v>
      </c>
      <c r="N196" t="n">
        <v>0</v>
      </c>
      <c r="O196" t="n">
        <v>0</v>
      </c>
      <c r="P196" t="n">
        <v>0</v>
      </c>
      <c r="Q196" t="n">
        <v>0</v>
      </c>
      <c r="R196" s="2" t="inlineStr"/>
    </row>
    <row r="197" ht="15" customHeight="1">
      <c r="A197" t="inlineStr">
        <is>
          <t>A 52109-2021</t>
        </is>
      </c>
      <c r="B197" s="1" t="n">
        <v>44463</v>
      </c>
      <c r="C197" s="1" t="n">
        <v>45473</v>
      </c>
      <c r="D197" t="inlineStr">
        <is>
          <t>NORRBOTTENS LÄN</t>
        </is>
      </c>
      <c r="E197" t="inlineStr">
        <is>
          <t>ARVIDSJAUR</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45473</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52411-2021</t>
        </is>
      </c>
      <c r="B199" s="1" t="n">
        <v>44463</v>
      </c>
      <c r="C199" s="1" t="n">
        <v>45473</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54412-2021</t>
        </is>
      </c>
      <c r="B200" s="1" t="n">
        <v>44473</v>
      </c>
      <c r="C200" s="1" t="n">
        <v>45473</v>
      </c>
      <c r="D200" t="inlineStr">
        <is>
          <t>NORRBOTTENS LÄN</t>
        </is>
      </c>
      <c r="E200" t="inlineStr">
        <is>
          <t>ARVIDSJAUR</t>
        </is>
      </c>
      <c r="F200" t="inlineStr">
        <is>
          <t>Sveaskog</t>
        </is>
      </c>
      <c r="G200" t="n">
        <v>14.5</v>
      </c>
      <c r="H200" t="n">
        <v>0</v>
      </c>
      <c r="I200" t="n">
        <v>0</v>
      </c>
      <c r="J200" t="n">
        <v>0</v>
      </c>
      <c r="K200" t="n">
        <v>0</v>
      </c>
      <c r="L200" t="n">
        <v>0</v>
      </c>
      <c r="M200" t="n">
        <v>0</v>
      </c>
      <c r="N200" t="n">
        <v>0</v>
      </c>
      <c r="O200" t="n">
        <v>0</v>
      </c>
      <c r="P200" t="n">
        <v>0</v>
      </c>
      <c r="Q200" t="n">
        <v>0</v>
      </c>
      <c r="R200" s="2" t="inlineStr"/>
    </row>
    <row r="201" ht="15" customHeight="1">
      <c r="A201" t="inlineStr">
        <is>
          <t>A 54410-2021</t>
        </is>
      </c>
      <c r="B201" s="1" t="n">
        <v>44473</v>
      </c>
      <c r="C201" s="1" t="n">
        <v>45473</v>
      </c>
      <c r="D201" t="inlineStr">
        <is>
          <t>NORRBOTTENS LÄN</t>
        </is>
      </c>
      <c r="E201" t="inlineStr">
        <is>
          <t>ARVIDSJAUR</t>
        </is>
      </c>
      <c r="F201" t="inlineStr">
        <is>
          <t>Sveaskog</t>
        </is>
      </c>
      <c r="G201" t="n">
        <v>29.4</v>
      </c>
      <c r="H201" t="n">
        <v>0</v>
      </c>
      <c r="I201" t="n">
        <v>0</v>
      </c>
      <c r="J201" t="n">
        <v>0</v>
      </c>
      <c r="K201" t="n">
        <v>0</v>
      </c>
      <c r="L201" t="n">
        <v>0</v>
      </c>
      <c r="M201" t="n">
        <v>0</v>
      </c>
      <c r="N201" t="n">
        <v>0</v>
      </c>
      <c r="O201" t="n">
        <v>0</v>
      </c>
      <c r="P201" t="n">
        <v>0</v>
      </c>
      <c r="Q201" t="n">
        <v>0</v>
      </c>
      <c r="R201" s="2" t="inlineStr"/>
    </row>
    <row r="202" ht="15" customHeight="1">
      <c r="A202" t="inlineStr">
        <is>
          <t>A 55166-2021</t>
        </is>
      </c>
      <c r="B202" s="1" t="n">
        <v>44474</v>
      </c>
      <c r="C202" s="1" t="n">
        <v>45473</v>
      </c>
      <c r="D202" t="inlineStr">
        <is>
          <t>NORRBOTTENS LÄN</t>
        </is>
      </c>
      <c r="E202" t="inlineStr">
        <is>
          <t>ARVIDSJAUR</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55164-2021</t>
        </is>
      </c>
      <c r="B203" s="1" t="n">
        <v>44474</v>
      </c>
      <c r="C203" s="1" t="n">
        <v>45473</v>
      </c>
      <c r="D203" t="inlineStr">
        <is>
          <t>NORRBOTTENS LÄN</t>
        </is>
      </c>
      <c r="E203" t="inlineStr">
        <is>
          <t>ARVIDSJAUR</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55165-2021</t>
        </is>
      </c>
      <c r="B204" s="1" t="n">
        <v>44474</v>
      </c>
      <c r="C204" s="1" t="n">
        <v>45473</v>
      </c>
      <c r="D204" t="inlineStr">
        <is>
          <t>NORRBOTTENS LÄN</t>
        </is>
      </c>
      <c r="E204" t="inlineStr">
        <is>
          <t>ARVIDSJAUR</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57454-2021</t>
        </is>
      </c>
      <c r="B205" s="1" t="n">
        <v>44483</v>
      </c>
      <c r="C205" s="1" t="n">
        <v>45473</v>
      </c>
      <c r="D205" t="inlineStr">
        <is>
          <t>NORRBOTTENS LÄN</t>
        </is>
      </c>
      <c r="E205" t="inlineStr">
        <is>
          <t>ARVIDSJAUR</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57567-2021</t>
        </is>
      </c>
      <c r="B206" s="1" t="n">
        <v>44484</v>
      </c>
      <c r="C206" s="1" t="n">
        <v>45473</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57586-2021</t>
        </is>
      </c>
      <c r="B207" s="1" t="n">
        <v>44484</v>
      </c>
      <c r="C207" s="1" t="n">
        <v>45473</v>
      </c>
      <c r="D207" t="inlineStr">
        <is>
          <t>NORRBOTTENS LÄN</t>
        </is>
      </c>
      <c r="E207" t="inlineStr">
        <is>
          <t>ARVIDSJAUR</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57568-2021</t>
        </is>
      </c>
      <c r="B208" s="1" t="n">
        <v>44484</v>
      </c>
      <c r="C208" s="1" t="n">
        <v>45473</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57958-2021</t>
        </is>
      </c>
      <c r="B209" s="1" t="n">
        <v>44487</v>
      </c>
      <c r="C209" s="1" t="n">
        <v>45473</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58002-2021</t>
        </is>
      </c>
      <c r="B210" s="1" t="n">
        <v>44487</v>
      </c>
      <c r="C210" s="1" t="n">
        <v>45473</v>
      </c>
      <c r="D210" t="inlineStr">
        <is>
          <t>NORRBOTTENS LÄN</t>
        </is>
      </c>
      <c r="E210" t="inlineStr">
        <is>
          <t>ARVIDSJAUR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57960-2021</t>
        </is>
      </c>
      <c r="B211" s="1" t="n">
        <v>44487</v>
      </c>
      <c r="C211" s="1" t="n">
        <v>45473</v>
      </c>
      <c r="D211" t="inlineStr">
        <is>
          <t>NORRBOTTENS LÄN</t>
        </is>
      </c>
      <c r="E211" t="inlineStr">
        <is>
          <t>ARVIDSJAUR</t>
        </is>
      </c>
      <c r="F211" t="inlineStr">
        <is>
          <t>Sveaskog</t>
        </is>
      </c>
      <c r="G211" t="n">
        <v>23.1</v>
      </c>
      <c r="H211" t="n">
        <v>0</v>
      </c>
      <c r="I211" t="n">
        <v>0</v>
      </c>
      <c r="J211" t="n">
        <v>0</v>
      </c>
      <c r="K211" t="n">
        <v>0</v>
      </c>
      <c r="L211" t="n">
        <v>0</v>
      </c>
      <c r="M211" t="n">
        <v>0</v>
      </c>
      <c r="N211" t="n">
        <v>0</v>
      </c>
      <c r="O211" t="n">
        <v>0</v>
      </c>
      <c r="P211" t="n">
        <v>0</v>
      </c>
      <c r="Q211" t="n">
        <v>0</v>
      </c>
      <c r="R211" s="2" t="inlineStr"/>
    </row>
    <row r="212" ht="15" customHeight="1">
      <c r="A212" t="inlineStr">
        <is>
          <t>A 57984-2021</t>
        </is>
      </c>
      <c r="B212" s="1" t="n">
        <v>44487</v>
      </c>
      <c r="C212" s="1" t="n">
        <v>45473</v>
      </c>
      <c r="D212" t="inlineStr">
        <is>
          <t>NORRBOTTENS LÄN</t>
        </is>
      </c>
      <c r="E212" t="inlineStr">
        <is>
          <t>ARVIDSJAUR</t>
        </is>
      </c>
      <c r="F212" t="inlineStr">
        <is>
          <t>Sveaskog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58602-2021</t>
        </is>
      </c>
      <c r="B213" s="1" t="n">
        <v>44488</v>
      </c>
      <c r="C213" s="1" t="n">
        <v>45473</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58610-2021</t>
        </is>
      </c>
      <c r="B214" s="1" t="n">
        <v>44488</v>
      </c>
      <c r="C214" s="1" t="n">
        <v>45473</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58855-2021</t>
        </is>
      </c>
      <c r="B215" s="1" t="n">
        <v>44489</v>
      </c>
      <c r="C215" s="1" t="n">
        <v>45473</v>
      </c>
      <c r="D215" t="inlineStr">
        <is>
          <t>NORRBOTTENS LÄN</t>
        </is>
      </c>
      <c r="E215" t="inlineStr">
        <is>
          <t>ARVIDSJAUR</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58806-2021</t>
        </is>
      </c>
      <c r="B216" s="1" t="n">
        <v>44489</v>
      </c>
      <c r="C216" s="1" t="n">
        <v>45473</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59049-2021</t>
        </is>
      </c>
      <c r="B217" s="1" t="n">
        <v>44490</v>
      </c>
      <c r="C217" s="1" t="n">
        <v>45473</v>
      </c>
      <c r="D217" t="inlineStr">
        <is>
          <t>NORRBOTTENS LÄN</t>
        </is>
      </c>
      <c r="E217" t="inlineStr">
        <is>
          <t>ARVIDSJAUR</t>
        </is>
      </c>
      <c r="F217" t="inlineStr">
        <is>
          <t>Sveaskog</t>
        </is>
      </c>
      <c r="G217" t="n">
        <v>6.8</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45473</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61838-2021</t>
        </is>
      </c>
      <c r="B219" s="1" t="n">
        <v>44501</v>
      </c>
      <c r="C219" s="1" t="n">
        <v>45473</v>
      </c>
      <c r="D219" t="inlineStr">
        <is>
          <t>NORRBOTTENS LÄN</t>
        </is>
      </c>
      <c r="E219" t="inlineStr">
        <is>
          <t>ARVIDSJAUR</t>
        </is>
      </c>
      <c r="G219" t="n">
        <v>5.5</v>
      </c>
      <c r="H219" t="n">
        <v>0</v>
      </c>
      <c r="I219" t="n">
        <v>0</v>
      </c>
      <c r="J219" t="n">
        <v>0</v>
      </c>
      <c r="K219" t="n">
        <v>0</v>
      </c>
      <c r="L219" t="n">
        <v>0</v>
      </c>
      <c r="M219" t="n">
        <v>0</v>
      </c>
      <c r="N219" t="n">
        <v>0</v>
      </c>
      <c r="O219" t="n">
        <v>0</v>
      </c>
      <c r="P219" t="n">
        <v>0</v>
      </c>
      <c r="Q219" t="n">
        <v>0</v>
      </c>
      <c r="R219" s="2" t="inlineStr"/>
    </row>
    <row r="220" ht="15" customHeight="1">
      <c r="A220" t="inlineStr">
        <is>
          <t>A 64384-2021</t>
        </is>
      </c>
      <c r="B220" s="1" t="n">
        <v>44511</v>
      </c>
      <c r="C220" s="1" t="n">
        <v>45473</v>
      </c>
      <c r="D220" t="inlineStr">
        <is>
          <t>NORRBOTTENS LÄN</t>
        </is>
      </c>
      <c r="E220" t="inlineStr">
        <is>
          <t>ARVIDSJAUR</t>
        </is>
      </c>
      <c r="G220" t="n">
        <v>6.9</v>
      </c>
      <c r="H220" t="n">
        <v>0</v>
      </c>
      <c r="I220" t="n">
        <v>0</v>
      </c>
      <c r="J220" t="n">
        <v>0</v>
      </c>
      <c r="K220" t="n">
        <v>0</v>
      </c>
      <c r="L220" t="n">
        <v>0</v>
      </c>
      <c r="M220" t="n">
        <v>0</v>
      </c>
      <c r="N220" t="n">
        <v>0</v>
      </c>
      <c r="O220" t="n">
        <v>0</v>
      </c>
      <c r="P220" t="n">
        <v>0</v>
      </c>
      <c r="Q220" t="n">
        <v>0</v>
      </c>
      <c r="R220" s="2" t="inlineStr"/>
    </row>
    <row r="221" ht="15" customHeight="1">
      <c r="A221" t="inlineStr">
        <is>
          <t>A 64377-2021</t>
        </is>
      </c>
      <c r="B221" s="1" t="n">
        <v>44511</v>
      </c>
      <c r="C221" s="1" t="n">
        <v>45473</v>
      </c>
      <c r="D221" t="inlineStr">
        <is>
          <t>NORRBOTTENS LÄN</t>
        </is>
      </c>
      <c r="E221" t="inlineStr">
        <is>
          <t>ARVIDSJAUR</t>
        </is>
      </c>
      <c r="G221" t="n">
        <v>6.9</v>
      </c>
      <c r="H221" t="n">
        <v>0</v>
      </c>
      <c r="I221" t="n">
        <v>0</v>
      </c>
      <c r="J221" t="n">
        <v>0</v>
      </c>
      <c r="K221" t="n">
        <v>0</v>
      </c>
      <c r="L221" t="n">
        <v>0</v>
      </c>
      <c r="M221" t="n">
        <v>0</v>
      </c>
      <c r="N221" t="n">
        <v>0</v>
      </c>
      <c r="O221" t="n">
        <v>0</v>
      </c>
      <c r="P221" t="n">
        <v>0</v>
      </c>
      <c r="Q221" t="n">
        <v>0</v>
      </c>
      <c r="R221" s="2" t="inlineStr"/>
    </row>
    <row r="222" ht="15" customHeight="1">
      <c r="A222" t="inlineStr">
        <is>
          <t>A 68376-2021</t>
        </is>
      </c>
      <c r="B222" s="1" t="n">
        <v>44529</v>
      </c>
      <c r="C222" s="1" t="n">
        <v>45473</v>
      </c>
      <c r="D222" t="inlineStr">
        <is>
          <t>NORRBOTTENS LÄN</t>
        </is>
      </c>
      <c r="E222" t="inlineStr">
        <is>
          <t>ARVIDSJAUR</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69080-2021</t>
        </is>
      </c>
      <c r="B223" s="1" t="n">
        <v>44530</v>
      </c>
      <c r="C223" s="1" t="n">
        <v>45473</v>
      </c>
      <c r="D223" t="inlineStr">
        <is>
          <t>NORRBOTTENS LÄN</t>
        </is>
      </c>
      <c r="E223" t="inlineStr">
        <is>
          <t>ARVIDSJAUR</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69576-2021</t>
        </is>
      </c>
      <c r="B224" s="1" t="n">
        <v>44532</v>
      </c>
      <c r="C224" s="1" t="n">
        <v>45473</v>
      </c>
      <c r="D224" t="inlineStr">
        <is>
          <t>NORRBOTTENS LÄN</t>
        </is>
      </c>
      <c r="E224" t="inlineStr">
        <is>
          <t>ARVIDSJAUR</t>
        </is>
      </c>
      <c r="F224" t="inlineStr">
        <is>
          <t>Övriga Aktiebolag</t>
        </is>
      </c>
      <c r="G224" t="n">
        <v>4.5</v>
      </c>
      <c r="H224" t="n">
        <v>0</v>
      </c>
      <c r="I224" t="n">
        <v>0</v>
      </c>
      <c r="J224" t="n">
        <v>0</v>
      </c>
      <c r="K224" t="n">
        <v>0</v>
      </c>
      <c r="L224" t="n">
        <v>0</v>
      </c>
      <c r="M224" t="n">
        <v>0</v>
      </c>
      <c r="N224" t="n">
        <v>0</v>
      </c>
      <c r="O224" t="n">
        <v>0</v>
      </c>
      <c r="P224" t="n">
        <v>0</v>
      </c>
      <c r="Q224" t="n">
        <v>0</v>
      </c>
      <c r="R224" s="2" t="inlineStr"/>
    </row>
    <row r="225" ht="15" customHeight="1">
      <c r="A225" t="inlineStr">
        <is>
          <t>A 71683-2021</t>
        </is>
      </c>
      <c r="B225" s="1" t="n">
        <v>44543</v>
      </c>
      <c r="C225" s="1" t="n">
        <v>45473</v>
      </c>
      <c r="D225" t="inlineStr">
        <is>
          <t>NORRBOTTENS LÄN</t>
        </is>
      </c>
      <c r="E225" t="inlineStr">
        <is>
          <t>ARVIDSJAUR</t>
        </is>
      </c>
      <c r="F225" t="inlineStr">
        <is>
          <t>Sveaskog</t>
        </is>
      </c>
      <c r="G225" t="n">
        <v>17.8</v>
      </c>
      <c r="H225" t="n">
        <v>0</v>
      </c>
      <c r="I225" t="n">
        <v>0</v>
      </c>
      <c r="J225" t="n">
        <v>0</v>
      </c>
      <c r="K225" t="n">
        <v>0</v>
      </c>
      <c r="L225" t="n">
        <v>0</v>
      </c>
      <c r="M225" t="n">
        <v>0</v>
      </c>
      <c r="N225" t="n">
        <v>0</v>
      </c>
      <c r="O225" t="n">
        <v>0</v>
      </c>
      <c r="P225" t="n">
        <v>0</v>
      </c>
      <c r="Q225" t="n">
        <v>0</v>
      </c>
      <c r="R225" s="2" t="inlineStr"/>
    </row>
    <row r="226" ht="15" customHeight="1">
      <c r="A226" t="inlineStr">
        <is>
          <t>A 71695-2021</t>
        </is>
      </c>
      <c r="B226" s="1" t="n">
        <v>44543</v>
      </c>
      <c r="C226" s="1" t="n">
        <v>45473</v>
      </c>
      <c r="D226" t="inlineStr">
        <is>
          <t>NORRBOTTENS LÄN</t>
        </is>
      </c>
      <c r="E226" t="inlineStr">
        <is>
          <t>ARVIDSJAUR</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73488-2021</t>
        </is>
      </c>
      <c r="B227" s="1" t="n">
        <v>44551</v>
      </c>
      <c r="C227" s="1" t="n">
        <v>45473</v>
      </c>
      <c r="D227" t="inlineStr">
        <is>
          <t>NORRBOTTENS LÄN</t>
        </is>
      </c>
      <c r="E227" t="inlineStr">
        <is>
          <t>ARVIDSJAUR</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73490-2021</t>
        </is>
      </c>
      <c r="B228" s="1" t="n">
        <v>44551</v>
      </c>
      <c r="C228" s="1" t="n">
        <v>45473</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73782-2021</t>
        </is>
      </c>
      <c r="B229" s="1" t="n">
        <v>44552</v>
      </c>
      <c r="C229" s="1" t="n">
        <v>45473</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2698-2022</t>
        </is>
      </c>
      <c r="B230" s="1" t="n">
        <v>44580</v>
      </c>
      <c r="C230" s="1" t="n">
        <v>45473</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9234-2022</t>
        </is>
      </c>
      <c r="B231" s="1" t="n">
        <v>44616</v>
      </c>
      <c r="C231" s="1" t="n">
        <v>45473</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9978-2022</t>
        </is>
      </c>
      <c r="B232" s="1" t="n">
        <v>44621</v>
      </c>
      <c r="C232" s="1" t="n">
        <v>45473</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10648-2022</t>
        </is>
      </c>
      <c r="B233" s="1" t="n">
        <v>44624</v>
      </c>
      <c r="C233" s="1" t="n">
        <v>45473</v>
      </c>
      <c r="D233" t="inlineStr">
        <is>
          <t>NORRBOTTENS LÄN</t>
        </is>
      </c>
      <c r="E233" t="inlineStr">
        <is>
          <t>ARVIDSJAUR</t>
        </is>
      </c>
      <c r="G233" t="n">
        <v>4.7</v>
      </c>
      <c r="H233" t="n">
        <v>0</v>
      </c>
      <c r="I233" t="n">
        <v>0</v>
      </c>
      <c r="J233" t="n">
        <v>0</v>
      </c>
      <c r="K233" t="n">
        <v>0</v>
      </c>
      <c r="L233" t="n">
        <v>0</v>
      </c>
      <c r="M233" t="n">
        <v>0</v>
      </c>
      <c r="N233" t="n">
        <v>0</v>
      </c>
      <c r="O233" t="n">
        <v>0</v>
      </c>
      <c r="P233" t="n">
        <v>0</v>
      </c>
      <c r="Q233" t="n">
        <v>0</v>
      </c>
      <c r="R233" s="2" t="inlineStr"/>
    </row>
    <row r="234" ht="15" customHeight="1">
      <c r="A234" t="inlineStr">
        <is>
          <t>A 14964-2022</t>
        </is>
      </c>
      <c r="B234" s="1" t="n">
        <v>44657</v>
      </c>
      <c r="C234" s="1" t="n">
        <v>45473</v>
      </c>
      <c r="D234" t="inlineStr">
        <is>
          <t>NORRBOTTENS LÄN</t>
        </is>
      </c>
      <c r="E234" t="inlineStr">
        <is>
          <t>ARVIDSJAUR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17686-2022</t>
        </is>
      </c>
      <c r="B235" s="1" t="n">
        <v>44680</v>
      </c>
      <c r="C235" s="1" t="n">
        <v>45473</v>
      </c>
      <c r="D235" t="inlineStr">
        <is>
          <t>NORRBOTTENS LÄN</t>
        </is>
      </c>
      <c r="E235" t="inlineStr">
        <is>
          <t>ARVIDSJAUR</t>
        </is>
      </c>
      <c r="G235" t="n">
        <v>9.5</v>
      </c>
      <c r="H235" t="n">
        <v>0</v>
      </c>
      <c r="I235" t="n">
        <v>0</v>
      </c>
      <c r="J235" t="n">
        <v>0</v>
      </c>
      <c r="K235" t="n">
        <v>0</v>
      </c>
      <c r="L235" t="n">
        <v>0</v>
      </c>
      <c r="M235" t="n">
        <v>0</v>
      </c>
      <c r="N235" t="n">
        <v>0</v>
      </c>
      <c r="O235" t="n">
        <v>0</v>
      </c>
      <c r="P235" t="n">
        <v>0</v>
      </c>
      <c r="Q235" t="n">
        <v>0</v>
      </c>
      <c r="R235" s="2" t="inlineStr"/>
    </row>
    <row r="236" ht="15" customHeight="1">
      <c r="A236" t="inlineStr">
        <is>
          <t>A 18920-2022</t>
        </is>
      </c>
      <c r="B236" s="1" t="n">
        <v>44690</v>
      </c>
      <c r="C236" s="1" t="n">
        <v>45473</v>
      </c>
      <c r="D236" t="inlineStr">
        <is>
          <t>NORRBOTTENS LÄN</t>
        </is>
      </c>
      <c r="E236" t="inlineStr">
        <is>
          <t>ARVIDSJAUR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18886-2022</t>
        </is>
      </c>
      <c r="B237" s="1" t="n">
        <v>44690</v>
      </c>
      <c r="C237" s="1" t="n">
        <v>45473</v>
      </c>
      <c r="D237" t="inlineStr">
        <is>
          <t>NORRBOTTENS LÄN</t>
        </is>
      </c>
      <c r="E237" t="inlineStr">
        <is>
          <t>ARVIDSJAUR</t>
        </is>
      </c>
      <c r="F237" t="inlineStr">
        <is>
          <t>Allmännings- och besparingsskogar</t>
        </is>
      </c>
      <c r="G237" t="n">
        <v>4.6</v>
      </c>
      <c r="H237" t="n">
        <v>0</v>
      </c>
      <c r="I237" t="n">
        <v>0</v>
      </c>
      <c r="J237" t="n">
        <v>0</v>
      </c>
      <c r="K237" t="n">
        <v>0</v>
      </c>
      <c r="L237" t="n">
        <v>0</v>
      </c>
      <c r="M237" t="n">
        <v>0</v>
      </c>
      <c r="N237" t="n">
        <v>0</v>
      </c>
      <c r="O237" t="n">
        <v>0</v>
      </c>
      <c r="P237" t="n">
        <v>0</v>
      </c>
      <c r="Q237" t="n">
        <v>0</v>
      </c>
      <c r="R237" s="2" t="inlineStr"/>
    </row>
    <row r="238" ht="15" customHeight="1">
      <c r="A238" t="inlineStr">
        <is>
          <t>A 18914-2022</t>
        </is>
      </c>
      <c r="B238" s="1" t="n">
        <v>44690</v>
      </c>
      <c r="C238" s="1" t="n">
        <v>45473</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19314-2022</t>
        </is>
      </c>
      <c r="B239" s="1" t="n">
        <v>44692</v>
      </c>
      <c r="C239" s="1" t="n">
        <v>45473</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20403-2022</t>
        </is>
      </c>
      <c r="B240" s="1" t="n">
        <v>44699</v>
      </c>
      <c r="C240" s="1" t="n">
        <v>45473</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45473</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22832-2022</t>
        </is>
      </c>
      <c r="B242" s="1" t="n">
        <v>44715</v>
      </c>
      <c r="C242" s="1" t="n">
        <v>45473</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23575-2022</t>
        </is>
      </c>
      <c r="B243" s="1" t="n">
        <v>44721</v>
      </c>
      <c r="C243" s="1" t="n">
        <v>45473</v>
      </c>
      <c r="D243" t="inlineStr">
        <is>
          <t>NORRBOTTENS LÄN</t>
        </is>
      </c>
      <c r="E243" t="inlineStr">
        <is>
          <t>ARVIDSJAUR</t>
        </is>
      </c>
      <c r="F243" t="inlineStr">
        <is>
          <t>Övriga Aktiebolag</t>
        </is>
      </c>
      <c r="G243" t="n">
        <v>13.8</v>
      </c>
      <c r="H243" t="n">
        <v>0</v>
      </c>
      <c r="I243" t="n">
        <v>0</v>
      </c>
      <c r="J243" t="n">
        <v>0</v>
      </c>
      <c r="K243" t="n">
        <v>0</v>
      </c>
      <c r="L243" t="n">
        <v>0</v>
      </c>
      <c r="M243" t="n">
        <v>0</v>
      </c>
      <c r="N243" t="n">
        <v>0</v>
      </c>
      <c r="O243" t="n">
        <v>0</v>
      </c>
      <c r="P243" t="n">
        <v>0</v>
      </c>
      <c r="Q243" t="n">
        <v>0</v>
      </c>
      <c r="R243" s="2" t="inlineStr"/>
    </row>
    <row r="244" ht="15" customHeight="1">
      <c r="A244" t="inlineStr">
        <is>
          <t>A 25388-2022</t>
        </is>
      </c>
      <c r="B244" s="1" t="n">
        <v>44732</v>
      </c>
      <c r="C244" s="1" t="n">
        <v>45473</v>
      </c>
      <c r="D244" t="inlineStr">
        <is>
          <t>NORRBOTTENS LÄN</t>
        </is>
      </c>
      <c r="E244" t="inlineStr">
        <is>
          <t>ARVIDSJAUR</t>
        </is>
      </c>
      <c r="G244" t="n">
        <v>7.2</v>
      </c>
      <c r="H244" t="n">
        <v>0</v>
      </c>
      <c r="I244" t="n">
        <v>0</v>
      </c>
      <c r="J244" t="n">
        <v>0</v>
      </c>
      <c r="K244" t="n">
        <v>0</v>
      </c>
      <c r="L244" t="n">
        <v>0</v>
      </c>
      <c r="M244" t="n">
        <v>0</v>
      </c>
      <c r="N244" t="n">
        <v>0</v>
      </c>
      <c r="O244" t="n">
        <v>0</v>
      </c>
      <c r="P244" t="n">
        <v>0</v>
      </c>
      <c r="Q244" t="n">
        <v>0</v>
      </c>
      <c r="R244" s="2" t="inlineStr"/>
    </row>
    <row r="245" ht="15" customHeight="1">
      <c r="A245" t="inlineStr">
        <is>
          <t>A 25506-2022</t>
        </is>
      </c>
      <c r="B245" s="1" t="n">
        <v>44732</v>
      </c>
      <c r="C245" s="1" t="n">
        <v>45473</v>
      </c>
      <c r="D245" t="inlineStr">
        <is>
          <t>NORRBOTTENS LÄN</t>
        </is>
      </c>
      <c r="E245" t="inlineStr">
        <is>
          <t>ARVIDSJAUR</t>
        </is>
      </c>
      <c r="F245" t="inlineStr">
        <is>
          <t>Sveaskog</t>
        </is>
      </c>
      <c r="G245" t="n">
        <v>12.3</v>
      </c>
      <c r="H245" t="n">
        <v>0</v>
      </c>
      <c r="I245" t="n">
        <v>0</v>
      </c>
      <c r="J245" t="n">
        <v>0</v>
      </c>
      <c r="K245" t="n">
        <v>0</v>
      </c>
      <c r="L245" t="n">
        <v>0</v>
      </c>
      <c r="M245" t="n">
        <v>0</v>
      </c>
      <c r="N245" t="n">
        <v>0</v>
      </c>
      <c r="O245" t="n">
        <v>0</v>
      </c>
      <c r="P245" t="n">
        <v>0</v>
      </c>
      <c r="Q245" t="n">
        <v>0</v>
      </c>
      <c r="R245" s="2" t="inlineStr"/>
    </row>
    <row r="246" ht="15" customHeight="1">
      <c r="A246" t="inlineStr">
        <is>
          <t>A 25395-2022</t>
        </is>
      </c>
      <c r="B246" s="1" t="n">
        <v>44732</v>
      </c>
      <c r="C246" s="1" t="n">
        <v>45473</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25720-2022</t>
        </is>
      </c>
      <c r="B247" s="1" t="n">
        <v>44733</v>
      </c>
      <c r="C247" s="1" t="n">
        <v>45473</v>
      </c>
      <c r="D247" t="inlineStr">
        <is>
          <t>NORRBOTTENS LÄN</t>
        </is>
      </c>
      <c r="E247" t="inlineStr">
        <is>
          <t>ARVIDSJAUR</t>
        </is>
      </c>
      <c r="F247" t="inlineStr">
        <is>
          <t>Sveaskog</t>
        </is>
      </c>
      <c r="G247" t="n">
        <v>16.4</v>
      </c>
      <c r="H247" t="n">
        <v>0</v>
      </c>
      <c r="I247" t="n">
        <v>0</v>
      </c>
      <c r="J247" t="n">
        <v>0</v>
      </c>
      <c r="K247" t="n">
        <v>0</v>
      </c>
      <c r="L247" t="n">
        <v>0</v>
      </c>
      <c r="M247" t="n">
        <v>0</v>
      </c>
      <c r="N247" t="n">
        <v>0</v>
      </c>
      <c r="O247" t="n">
        <v>0</v>
      </c>
      <c r="P247" t="n">
        <v>0</v>
      </c>
      <c r="Q247" t="n">
        <v>0</v>
      </c>
      <c r="R247" s="2" t="inlineStr"/>
    </row>
    <row r="248" ht="15" customHeight="1">
      <c r="A248" t="inlineStr">
        <is>
          <t>A 26223-2022</t>
        </is>
      </c>
      <c r="B248" s="1" t="n">
        <v>44735</v>
      </c>
      <c r="C248" s="1" t="n">
        <v>45473</v>
      </c>
      <c r="D248" t="inlineStr">
        <is>
          <t>NORRBOTTENS LÄN</t>
        </is>
      </c>
      <c r="E248" t="inlineStr">
        <is>
          <t>ARVIDSJAUR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26938-2022</t>
        </is>
      </c>
      <c r="B249" s="1" t="n">
        <v>44740</v>
      </c>
      <c r="C249" s="1" t="n">
        <v>45473</v>
      </c>
      <c r="D249" t="inlineStr">
        <is>
          <t>NORRBOTTENS LÄN</t>
        </is>
      </c>
      <c r="E249" t="inlineStr">
        <is>
          <t>ARVIDSJAUR</t>
        </is>
      </c>
      <c r="G249" t="n">
        <v>4.3</v>
      </c>
      <c r="H249" t="n">
        <v>0</v>
      </c>
      <c r="I249" t="n">
        <v>0</v>
      </c>
      <c r="J249" t="n">
        <v>0</v>
      </c>
      <c r="K249" t="n">
        <v>0</v>
      </c>
      <c r="L249" t="n">
        <v>0</v>
      </c>
      <c r="M249" t="n">
        <v>0</v>
      </c>
      <c r="N249" t="n">
        <v>0</v>
      </c>
      <c r="O249" t="n">
        <v>0</v>
      </c>
      <c r="P249" t="n">
        <v>0</v>
      </c>
      <c r="Q249" t="n">
        <v>0</v>
      </c>
      <c r="R249" s="2" t="inlineStr"/>
    </row>
    <row r="250" ht="15" customHeight="1">
      <c r="A250" t="inlineStr">
        <is>
          <t>A 27234-2022</t>
        </is>
      </c>
      <c r="B250" s="1" t="n">
        <v>44741</v>
      </c>
      <c r="C250" s="1" t="n">
        <v>45473</v>
      </c>
      <c r="D250" t="inlineStr">
        <is>
          <t>NORRBOTTENS LÄN</t>
        </is>
      </c>
      <c r="E250" t="inlineStr">
        <is>
          <t>ARVIDSJAUR</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27734-2022</t>
        </is>
      </c>
      <c r="B251" s="1" t="n">
        <v>44743</v>
      </c>
      <c r="C251" s="1" t="n">
        <v>45473</v>
      </c>
      <c r="D251" t="inlineStr">
        <is>
          <t>NORRBOTTENS LÄN</t>
        </is>
      </c>
      <c r="E251" t="inlineStr">
        <is>
          <t>ARVIDSJAUR</t>
        </is>
      </c>
      <c r="F251" t="inlineStr">
        <is>
          <t>Sveaskog</t>
        </is>
      </c>
      <c r="G251" t="n">
        <v>18.1</v>
      </c>
      <c r="H251" t="n">
        <v>0</v>
      </c>
      <c r="I251" t="n">
        <v>0</v>
      </c>
      <c r="J251" t="n">
        <v>0</v>
      </c>
      <c r="K251" t="n">
        <v>0</v>
      </c>
      <c r="L251" t="n">
        <v>0</v>
      </c>
      <c r="M251" t="n">
        <v>0</v>
      </c>
      <c r="N251" t="n">
        <v>0</v>
      </c>
      <c r="O251" t="n">
        <v>0</v>
      </c>
      <c r="P251" t="n">
        <v>0</v>
      </c>
      <c r="Q251" t="n">
        <v>0</v>
      </c>
      <c r="R251" s="2" t="inlineStr"/>
    </row>
    <row r="252" ht="15" customHeight="1">
      <c r="A252" t="inlineStr">
        <is>
          <t>A 28052-2022</t>
        </is>
      </c>
      <c r="B252" s="1" t="n">
        <v>44746</v>
      </c>
      <c r="C252" s="1" t="n">
        <v>45473</v>
      </c>
      <c r="D252" t="inlineStr">
        <is>
          <t>NORRBOTTENS LÄN</t>
        </is>
      </c>
      <c r="E252" t="inlineStr">
        <is>
          <t>ARVIDSJAUR</t>
        </is>
      </c>
      <c r="F252" t="inlineStr">
        <is>
          <t>Övriga Aktiebolag</t>
        </is>
      </c>
      <c r="G252" t="n">
        <v>18.3</v>
      </c>
      <c r="H252" t="n">
        <v>0</v>
      </c>
      <c r="I252" t="n">
        <v>0</v>
      </c>
      <c r="J252" t="n">
        <v>0</v>
      </c>
      <c r="K252" t="n">
        <v>0</v>
      </c>
      <c r="L252" t="n">
        <v>0</v>
      </c>
      <c r="M252" t="n">
        <v>0</v>
      </c>
      <c r="N252" t="n">
        <v>0</v>
      </c>
      <c r="O252" t="n">
        <v>0</v>
      </c>
      <c r="P252" t="n">
        <v>0</v>
      </c>
      <c r="Q252" t="n">
        <v>0</v>
      </c>
      <c r="R252" s="2" t="inlineStr"/>
    </row>
    <row r="253" ht="15" customHeight="1">
      <c r="A253" t="inlineStr">
        <is>
          <t>A 28937-2022</t>
        </is>
      </c>
      <c r="B253" s="1" t="n">
        <v>44749</v>
      </c>
      <c r="C253" s="1" t="n">
        <v>45473</v>
      </c>
      <c r="D253" t="inlineStr">
        <is>
          <t>NORRBOTTENS LÄN</t>
        </is>
      </c>
      <c r="E253" t="inlineStr">
        <is>
          <t>ARVIDSJAUR</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29104-2022</t>
        </is>
      </c>
      <c r="B254" s="1" t="n">
        <v>44750</v>
      </c>
      <c r="C254" s="1" t="n">
        <v>45473</v>
      </c>
      <c r="D254" t="inlineStr">
        <is>
          <t>NORRBOTTENS LÄN</t>
        </is>
      </c>
      <c r="E254" t="inlineStr">
        <is>
          <t>ARVIDSJAUR</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31576-2022</t>
        </is>
      </c>
      <c r="B255" s="1" t="n">
        <v>44775</v>
      </c>
      <c r="C255" s="1" t="n">
        <v>45473</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32341-2022</t>
        </is>
      </c>
      <c r="B256" s="1" t="n">
        <v>44781</v>
      </c>
      <c r="C256" s="1" t="n">
        <v>45473</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33458-2022</t>
        </is>
      </c>
      <c r="B257" s="1" t="n">
        <v>44788</v>
      </c>
      <c r="C257" s="1" t="n">
        <v>45473</v>
      </c>
      <c r="D257" t="inlineStr">
        <is>
          <t>NORRBOTTENS LÄN</t>
        </is>
      </c>
      <c r="E257" t="inlineStr">
        <is>
          <t>ARVIDSJAUR</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33461-2022</t>
        </is>
      </c>
      <c r="B258" s="1" t="n">
        <v>44788</v>
      </c>
      <c r="C258" s="1" t="n">
        <v>45473</v>
      </c>
      <c r="D258" t="inlineStr">
        <is>
          <t>NORRBOTTENS LÄN</t>
        </is>
      </c>
      <c r="E258" t="inlineStr">
        <is>
          <t>ARVIDSJAUR</t>
        </is>
      </c>
      <c r="F258" t="inlineStr">
        <is>
          <t>Allmännings- och besparingsskogar</t>
        </is>
      </c>
      <c r="G258" t="n">
        <v>4.2</v>
      </c>
      <c r="H258" t="n">
        <v>0</v>
      </c>
      <c r="I258" t="n">
        <v>0</v>
      </c>
      <c r="J258" t="n">
        <v>0</v>
      </c>
      <c r="K258" t="n">
        <v>0</v>
      </c>
      <c r="L258" t="n">
        <v>0</v>
      </c>
      <c r="M258" t="n">
        <v>0</v>
      </c>
      <c r="N258" t="n">
        <v>0</v>
      </c>
      <c r="O258" t="n">
        <v>0</v>
      </c>
      <c r="P258" t="n">
        <v>0</v>
      </c>
      <c r="Q258" t="n">
        <v>0</v>
      </c>
      <c r="R258" s="2" t="inlineStr"/>
    </row>
    <row r="259" ht="15" customHeight="1">
      <c r="A259" t="inlineStr">
        <is>
          <t>A 33463-2022</t>
        </is>
      </c>
      <c r="B259" s="1" t="n">
        <v>44788</v>
      </c>
      <c r="C259" s="1" t="n">
        <v>45473</v>
      </c>
      <c r="D259" t="inlineStr">
        <is>
          <t>NORRBOTTENS LÄN</t>
        </is>
      </c>
      <c r="E259" t="inlineStr">
        <is>
          <t>ARVIDSJAUR</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33873-2022</t>
        </is>
      </c>
      <c r="B260" s="1" t="n">
        <v>44790</v>
      </c>
      <c r="C260" s="1" t="n">
        <v>45473</v>
      </c>
      <c r="D260" t="inlineStr">
        <is>
          <t>NORRBOTTENS LÄN</t>
        </is>
      </c>
      <c r="E260" t="inlineStr">
        <is>
          <t>ARVIDSJAUR</t>
        </is>
      </c>
      <c r="F260" t="inlineStr">
        <is>
          <t>Sveaskog</t>
        </is>
      </c>
      <c r="G260" t="n">
        <v>15.8</v>
      </c>
      <c r="H260" t="n">
        <v>0</v>
      </c>
      <c r="I260" t="n">
        <v>0</v>
      </c>
      <c r="J260" t="n">
        <v>0</v>
      </c>
      <c r="K260" t="n">
        <v>0</v>
      </c>
      <c r="L260" t="n">
        <v>0</v>
      </c>
      <c r="M260" t="n">
        <v>0</v>
      </c>
      <c r="N260" t="n">
        <v>0</v>
      </c>
      <c r="O260" t="n">
        <v>0</v>
      </c>
      <c r="P260" t="n">
        <v>0</v>
      </c>
      <c r="Q260" t="n">
        <v>0</v>
      </c>
      <c r="R260" s="2" t="inlineStr"/>
    </row>
    <row r="261" ht="15" customHeight="1">
      <c r="A261" t="inlineStr">
        <is>
          <t>A 34466-2022</t>
        </is>
      </c>
      <c r="B261" s="1" t="n">
        <v>44792</v>
      </c>
      <c r="C261" s="1" t="n">
        <v>45473</v>
      </c>
      <c r="D261" t="inlineStr">
        <is>
          <t>NORRBOTTENS LÄN</t>
        </is>
      </c>
      <c r="E261" t="inlineStr">
        <is>
          <t>ARVIDSJAUR</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34471-2022</t>
        </is>
      </c>
      <c r="B262" s="1" t="n">
        <v>44792</v>
      </c>
      <c r="C262" s="1" t="n">
        <v>45473</v>
      </c>
      <c r="D262" t="inlineStr">
        <is>
          <t>NORRBOTTENS LÄN</t>
        </is>
      </c>
      <c r="E262" t="inlineStr">
        <is>
          <t>ARVIDSJAUR</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34474-2022</t>
        </is>
      </c>
      <c r="B263" s="1" t="n">
        <v>44792</v>
      </c>
      <c r="C263" s="1" t="n">
        <v>45473</v>
      </c>
      <c r="D263" t="inlineStr">
        <is>
          <t>NORRBOTTENS LÄN</t>
        </is>
      </c>
      <c r="E263" t="inlineStr">
        <is>
          <t>ARVIDSJAUR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34477-2022</t>
        </is>
      </c>
      <c r="B264" s="1" t="n">
        <v>44792</v>
      </c>
      <c r="C264" s="1" t="n">
        <v>45473</v>
      </c>
      <c r="D264" t="inlineStr">
        <is>
          <t>NORRBOTTENS LÄN</t>
        </is>
      </c>
      <c r="E264" t="inlineStr">
        <is>
          <t>ARVIDSJAUR</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36417-2022</t>
        </is>
      </c>
      <c r="B265" s="1" t="n">
        <v>44804</v>
      </c>
      <c r="C265" s="1" t="n">
        <v>45473</v>
      </c>
      <c r="D265" t="inlineStr">
        <is>
          <t>NORRBOTTENS LÄN</t>
        </is>
      </c>
      <c r="E265" t="inlineStr">
        <is>
          <t>ARVIDSJAUR</t>
        </is>
      </c>
      <c r="G265" t="n">
        <v>1.7</v>
      </c>
      <c r="H265" t="n">
        <v>0</v>
      </c>
      <c r="I265" t="n">
        <v>0</v>
      </c>
      <c r="J265" t="n">
        <v>0</v>
      </c>
      <c r="K265" t="n">
        <v>0</v>
      </c>
      <c r="L265" t="n">
        <v>0</v>
      </c>
      <c r="M265" t="n">
        <v>0</v>
      </c>
      <c r="N265" t="n">
        <v>0</v>
      </c>
      <c r="O265" t="n">
        <v>0</v>
      </c>
      <c r="P265" t="n">
        <v>0</v>
      </c>
      <c r="Q265" t="n">
        <v>0</v>
      </c>
      <c r="R265" s="2" t="inlineStr"/>
    </row>
    <row r="266" ht="15" customHeight="1">
      <c r="A266" t="inlineStr">
        <is>
          <t>A 36400-2022</t>
        </is>
      </c>
      <c r="B266" s="1" t="n">
        <v>44804</v>
      </c>
      <c r="C266" s="1" t="n">
        <v>45473</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36405-2022</t>
        </is>
      </c>
      <c r="B267" s="1" t="n">
        <v>44804</v>
      </c>
      <c r="C267" s="1" t="n">
        <v>45473</v>
      </c>
      <c r="D267" t="inlineStr">
        <is>
          <t>NORRBOTTENS LÄN</t>
        </is>
      </c>
      <c r="E267" t="inlineStr">
        <is>
          <t>ARVIDSJAUR</t>
        </is>
      </c>
      <c r="G267" t="n">
        <v>2.3</v>
      </c>
      <c r="H267" t="n">
        <v>0</v>
      </c>
      <c r="I267" t="n">
        <v>0</v>
      </c>
      <c r="J267" t="n">
        <v>0</v>
      </c>
      <c r="K267" t="n">
        <v>0</v>
      </c>
      <c r="L267" t="n">
        <v>0</v>
      </c>
      <c r="M267" t="n">
        <v>0</v>
      </c>
      <c r="N267" t="n">
        <v>0</v>
      </c>
      <c r="O267" t="n">
        <v>0</v>
      </c>
      <c r="P267" t="n">
        <v>0</v>
      </c>
      <c r="Q267" t="n">
        <v>0</v>
      </c>
      <c r="R267" s="2" t="inlineStr"/>
    </row>
    <row r="268" ht="15" customHeight="1">
      <c r="A268" t="inlineStr">
        <is>
          <t>A 36459-2022</t>
        </is>
      </c>
      <c r="B268" s="1" t="n">
        <v>44804</v>
      </c>
      <c r="C268" s="1" t="n">
        <v>45473</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36414-2022</t>
        </is>
      </c>
      <c r="B269" s="1" t="n">
        <v>44804</v>
      </c>
      <c r="C269" s="1" t="n">
        <v>45473</v>
      </c>
      <c r="D269" t="inlineStr">
        <is>
          <t>NORRBOTTENS LÄN</t>
        </is>
      </c>
      <c r="E269" t="inlineStr">
        <is>
          <t>ARVIDSJAUR</t>
        </is>
      </c>
      <c r="G269" t="n">
        <v>3.4</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45473</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37111-2022</t>
        </is>
      </c>
      <c r="B271" s="1" t="n">
        <v>44806</v>
      </c>
      <c r="C271" s="1" t="n">
        <v>45473</v>
      </c>
      <c r="D271" t="inlineStr">
        <is>
          <t>NORRBOTTENS LÄN</t>
        </is>
      </c>
      <c r="E271" t="inlineStr">
        <is>
          <t>ARVIDSJAUR</t>
        </is>
      </c>
      <c r="F271" t="inlineStr">
        <is>
          <t>Sveaskog</t>
        </is>
      </c>
      <c r="G271" t="n">
        <v>15.7</v>
      </c>
      <c r="H271" t="n">
        <v>0</v>
      </c>
      <c r="I271" t="n">
        <v>0</v>
      </c>
      <c r="J271" t="n">
        <v>0</v>
      </c>
      <c r="K271" t="n">
        <v>0</v>
      </c>
      <c r="L271" t="n">
        <v>0</v>
      </c>
      <c r="M271" t="n">
        <v>0</v>
      </c>
      <c r="N271" t="n">
        <v>0</v>
      </c>
      <c r="O271" t="n">
        <v>0</v>
      </c>
      <c r="P271" t="n">
        <v>0</v>
      </c>
      <c r="Q271" t="n">
        <v>0</v>
      </c>
      <c r="R271" s="2" t="inlineStr"/>
    </row>
    <row r="272" ht="15" customHeight="1">
      <c r="A272" t="inlineStr">
        <is>
          <t>A 37119-2022</t>
        </is>
      </c>
      <c r="B272" s="1" t="n">
        <v>44806</v>
      </c>
      <c r="C272" s="1" t="n">
        <v>45473</v>
      </c>
      <c r="D272" t="inlineStr">
        <is>
          <t>NORRBOTTENS LÄN</t>
        </is>
      </c>
      <c r="E272" t="inlineStr">
        <is>
          <t>ARVIDSJAUR</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37125-2022</t>
        </is>
      </c>
      <c r="B273" s="1" t="n">
        <v>44806</v>
      </c>
      <c r="C273" s="1" t="n">
        <v>45473</v>
      </c>
      <c r="D273" t="inlineStr">
        <is>
          <t>NORRBOTTENS LÄN</t>
        </is>
      </c>
      <c r="E273" t="inlineStr">
        <is>
          <t>ARVIDSJAUR</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38183-2022</t>
        </is>
      </c>
      <c r="B274" s="1" t="n">
        <v>44812</v>
      </c>
      <c r="C274" s="1" t="n">
        <v>45473</v>
      </c>
      <c r="D274" t="inlineStr">
        <is>
          <t>NORRBOTTENS LÄN</t>
        </is>
      </c>
      <c r="E274" t="inlineStr">
        <is>
          <t>ARVIDSJAUR</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38360-2022</t>
        </is>
      </c>
      <c r="B275" s="1" t="n">
        <v>44812</v>
      </c>
      <c r="C275" s="1" t="n">
        <v>45473</v>
      </c>
      <c r="D275" t="inlineStr">
        <is>
          <t>NORRBOTTENS LÄN</t>
        </is>
      </c>
      <c r="E275" t="inlineStr">
        <is>
          <t>ARVIDSJAUR</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39501-2022</t>
        </is>
      </c>
      <c r="B276" s="1" t="n">
        <v>44817</v>
      </c>
      <c r="C276" s="1" t="n">
        <v>45473</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45473</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40080-2022</t>
        </is>
      </c>
      <c r="B278" s="1" t="n">
        <v>44818</v>
      </c>
      <c r="C278" s="1" t="n">
        <v>45473</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39759-2022</t>
        </is>
      </c>
      <c r="B279" s="1" t="n">
        <v>44819</v>
      </c>
      <c r="C279" s="1" t="n">
        <v>45473</v>
      </c>
      <c r="D279" t="inlineStr">
        <is>
          <t>NORRBOTTENS LÄN</t>
        </is>
      </c>
      <c r="E279" t="inlineStr">
        <is>
          <t>ARVIDSJAUR</t>
        </is>
      </c>
      <c r="F279" t="inlineStr">
        <is>
          <t>Sveaskog</t>
        </is>
      </c>
      <c r="G279" t="n">
        <v>7.7</v>
      </c>
      <c r="H279" t="n">
        <v>0</v>
      </c>
      <c r="I279" t="n">
        <v>0</v>
      </c>
      <c r="J279" t="n">
        <v>0</v>
      </c>
      <c r="K279" t="n">
        <v>0</v>
      </c>
      <c r="L279" t="n">
        <v>0</v>
      </c>
      <c r="M279" t="n">
        <v>0</v>
      </c>
      <c r="N279" t="n">
        <v>0</v>
      </c>
      <c r="O279" t="n">
        <v>0</v>
      </c>
      <c r="P279" t="n">
        <v>0</v>
      </c>
      <c r="Q279" t="n">
        <v>0</v>
      </c>
      <c r="R279" s="2" t="inlineStr"/>
    </row>
    <row r="280" ht="15" customHeight="1">
      <c r="A280" t="inlineStr">
        <is>
          <t>A 39775-2022</t>
        </is>
      </c>
      <c r="B280" s="1" t="n">
        <v>44819</v>
      </c>
      <c r="C280" s="1" t="n">
        <v>45473</v>
      </c>
      <c r="D280" t="inlineStr">
        <is>
          <t>NORRBOTTENS LÄN</t>
        </is>
      </c>
      <c r="E280" t="inlineStr">
        <is>
          <t>ARVIDSJAUR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39760-2022</t>
        </is>
      </c>
      <c r="B281" s="1" t="n">
        <v>44819</v>
      </c>
      <c r="C281" s="1" t="n">
        <v>45473</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40500-2022</t>
        </is>
      </c>
      <c r="B282" s="1" t="n">
        <v>44819</v>
      </c>
      <c r="C282" s="1" t="n">
        <v>45473</v>
      </c>
      <c r="D282" t="inlineStr">
        <is>
          <t>NORRBOTTENS LÄN</t>
        </is>
      </c>
      <c r="E282" t="inlineStr">
        <is>
          <t>ARVIDSJAUR</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45473</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41235-2022</t>
        </is>
      </c>
      <c r="B284" s="1" t="n">
        <v>44825</v>
      </c>
      <c r="C284" s="1" t="n">
        <v>45473</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41763-2022</t>
        </is>
      </c>
      <c r="B285" s="1" t="n">
        <v>44827</v>
      </c>
      <c r="C285" s="1" t="n">
        <v>45473</v>
      </c>
      <c r="D285" t="inlineStr">
        <is>
          <t>NORRBOTTENS LÄN</t>
        </is>
      </c>
      <c r="E285" t="inlineStr">
        <is>
          <t>ARVIDSJAUR</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46067-2022</t>
        </is>
      </c>
      <c r="B286" s="1" t="n">
        <v>44845</v>
      </c>
      <c r="C286" s="1" t="n">
        <v>45473</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45473</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45473</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50471-2022</t>
        </is>
      </c>
      <c r="B289" s="1" t="n">
        <v>44861</v>
      </c>
      <c r="C289" s="1" t="n">
        <v>45473</v>
      </c>
      <c r="D289" t="inlineStr">
        <is>
          <t>NORRBOTTENS LÄN</t>
        </is>
      </c>
      <c r="E289" t="inlineStr">
        <is>
          <t>ARVIDSJAUR</t>
        </is>
      </c>
      <c r="F289" t="inlineStr">
        <is>
          <t>Allmännings- och besparingsskogar</t>
        </is>
      </c>
      <c r="G289" t="n">
        <v>1.1</v>
      </c>
      <c r="H289" t="n">
        <v>0</v>
      </c>
      <c r="I289" t="n">
        <v>0</v>
      </c>
      <c r="J289" t="n">
        <v>0</v>
      </c>
      <c r="K289" t="n">
        <v>0</v>
      </c>
      <c r="L289" t="n">
        <v>0</v>
      </c>
      <c r="M289" t="n">
        <v>0</v>
      </c>
      <c r="N289" t="n">
        <v>0</v>
      </c>
      <c r="O289" t="n">
        <v>0</v>
      </c>
      <c r="P289" t="n">
        <v>0</v>
      </c>
      <c r="Q289" t="n">
        <v>0</v>
      </c>
      <c r="R289" s="2" t="inlineStr"/>
    </row>
    <row r="290" ht="15" customHeight="1">
      <c r="A290" t="inlineStr">
        <is>
          <t>A 50472-2022</t>
        </is>
      </c>
      <c r="B290" s="1" t="n">
        <v>44861</v>
      </c>
      <c r="C290" s="1" t="n">
        <v>45473</v>
      </c>
      <c r="D290" t="inlineStr">
        <is>
          <t>NORRBOTTENS LÄN</t>
        </is>
      </c>
      <c r="E290" t="inlineStr">
        <is>
          <t>ARVIDSJAUR</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49642-2022</t>
        </is>
      </c>
      <c r="B291" s="1" t="n">
        <v>44862</v>
      </c>
      <c r="C291" s="1" t="n">
        <v>45473</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50303-2022</t>
        </is>
      </c>
      <c r="B292" s="1" t="n">
        <v>44865</v>
      </c>
      <c r="C292" s="1" t="n">
        <v>45473</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50575-2022</t>
        </is>
      </c>
      <c r="B293" s="1" t="n">
        <v>44866</v>
      </c>
      <c r="C293" s="1" t="n">
        <v>45473</v>
      </c>
      <c r="D293" t="inlineStr">
        <is>
          <t>NORRBOTTENS LÄN</t>
        </is>
      </c>
      <c r="E293" t="inlineStr">
        <is>
          <t>ARVIDSJAUR</t>
        </is>
      </c>
      <c r="F293" t="inlineStr">
        <is>
          <t>Sveaskog</t>
        </is>
      </c>
      <c r="G293" t="n">
        <v>4.5</v>
      </c>
      <c r="H293" t="n">
        <v>0</v>
      </c>
      <c r="I293" t="n">
        <v>0</v>
      </c>
      <c r="J293" t="n">
        <v>0</v>
      </c>
      <c r="K293" t="n">
        <v>0</v>
      </c>
      <c r="L293" t="n">
        <v>0</v>
      </c>
      <c r="M293" t="n">
        <v>0</v>
      </c>
      <c r="N293" t="n">
        <v>0</v>
      </c>
      <c r="O293" t="n">
        <v>0</v>
      </c>
      <c r="P293" t="n">
        <v>0</v>
      </c>
      <c r="Q293" t="n">
        <v>0</v>
      </c>
      <c r="R293" s="2" t="inlineStr"/>
    </row>
    <row r="294" ht="15" customHeight="1">
      <c r="A294" t="inlineStr">
        <is>
          <t>A 50850-2022</t>
        </is>
      </c>
      <c r="B294" s="1" t="n">
        <v>44867</v>
      </c>
      <c r="C294" s="1" t="n">
        <v>45473</v>
      </c>
      <c r="D294" t="inlineStr">
        <is>
          <t>NORRBOTTENS LÄN</t>
        </is>
      </c>
      <c r="E294" t="inlineStr">
        <is>
          <t>ARVIDSJAUR</t>
        </is>
      </c>
      <c r="G294" t="n">
        <v>4.6</v>
      </c>
      <c r="H294" t="n">
        <v>0</v>
      </c>
      <c r="I294" t="n">
        <v>0</v>
      </c>
      <c r="J294" t="n">
        <v>0</v>
      </c>
      <c r="K294" t="n">
        <v>0</v>
      </c>
      <c r="L294" t="n">
        <v>0</v>
      </c>
      <c r="M294" t="n">
        <v>0</v>
      </c>
      <c r="N294" t="n">
        <v>0</v>
      </c>
      <c r="O294" t="n">
        <v>0</v>
      </c>
      <c r="P294" t="n">
        <v>0</v>
      </c>
      <c r="Q294" t="n">
        <v>0</v>
      </c>
      <c r="R294" s="2" t="inlineStr"/>
    </row>
    <row r="295" ht="15" customHeight="1">
      <c r="A295" t="inlineStr">
        <is>
          <t>A 54609-2022</t>
        </is>
      </c>
      <c r="B295" s="1" t="n">
        <v>44883</v>
      </c>
      <c r="C295" s="1" t="n">
        <v>45473</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55570-2022</t>
        </is>
      </c>
      <c r="B296" s="1" t="n">
        <v>44883</v>
      </c>
      <c r="C296" s="1" t="n">
        <v>45473</v>
      </c>
      <c r="D296" t="inlineStr">
        <is>
          <t>NORRBOTTENS LÄN</t>
        </is>
      </c>
      <c r="E296" t="inlineStr">
        <is>
          <t>ARVIDSJAUR</t>
        </is>
      </c>
      <c r="G296" t="n">
        <v>5</v>
      </c>
      <c r="H296" t="n">
        <v>0</v>
      </c>
      <c r="I296" t="n">
        <v>0</v>
      </c>
      <c r="J296" t="n">
        <v>0</v>
      </c>
      <c r="K296" t="n">
        <v>0</v>
      </c>
      <c r="L296" t="n">
        <v>0</v>
      </c>
      <c r="M296" t="n">
        <v>0</v>
      </c>
      <c r="N296" t="n">
        <v>0</v>
      </c>
      <c r="O296" t="n">
        <v>0</v>
      </c>
      <c r="P296" t="n">
        <v>0</v>
      </c>
      <c r="Q296" t="n">
        <v>0</v>
      </c>
      <c r="R296" s="2" t="inlineStr"/>
    </row>
    <row r="297" ht="15" customHeight="1">
      <c r="A297" t="inlineStr">
        <is>
          <t>A 55599-2022</t>
        </is>
      </c>
      <c r="B297" s="1" t="n">
        <v>44883</v>
      </c>
      <c r="C297" s="1" t="n">
        <v>45473</v>
      </c>
      <c r="D297" t="inlineStr">
        <is>
          <t>NORRBOTTENS LÄN</t>
        </is>
      </c>
      <c r="E297" t="inlineStr">
        <is>
          <t>ARVIDSJAUR</t>
        </is>
      </c>
      <c r="G297" t="n">
        <v>7</v>
      </c>
      <c r="H297" t="n">
        <v>0</v>
      </c>
      <c r="I297" t="n">
        <v>0</v>
      </c>
      <c r="J297" t="n">
        <v>0</v>
      </c>
      <c r="K297" t="n">
        <v>0</v>
      </c>
      <c r="L297" t="n">
        <v>0</v>
      </c>
      <c r="M297" t="n">
        <v>0</v>
      </c>
      <c r="N297" t="n">
        <v>0</v>
      </c>
      <c r="O297" t="n">
        <v>0</v>
      </c>
      <c r="P297" t="n">
        <v>0</v>
      </c>
      <c r="Q297" t="n">
        <v>0</v>
      </c>
      <c r="R297" s="2" t="inlineStr"/>
    </row>
    <row r="298" ht="15" customHeight="1">
      <c r="A298" t="inlineStr">
        <is>
          <t>A 54866-2022</t>
        </is>
      </c>
      <c r="B298" s="1" t="n">
        <v>44885</v>
      </c>
      <c r="C298" s="1" t="n">
        <v>45473</v>
      </c>
      <c r="D298" t="inlineStr">
        <is>
          <t>NORRBOTTENS LÄN</t>
        </is>
      </c>
      <c r="E298" t="inlineStr">
        <is>
          <t>ARVIDSJAUR</t>
        </is>
      </c>
      <c r="G298" t="n">
        <v>15</v>
      </c>
      <c r="H298" t="n">
        <v>0</v>
      </c>
      <c r="I298" t="n">
        <v>0</v>
      </c>
      <c r="J298" t="n">
        <v>0</v>
      </c>
      <c r="K298" t="n">
        <v>0</v>
      </c>
      <c r="L298" t="n">
        <v>0</v>
      </c>
      <c r="M298" t="n">
        <v>0</v>
      </c>
      <c r="N298" t="n">
        <v>0</v>
      </c>
      <c r="O298" t="n">
        <v>0</v>
      </c>
      <c r="P298" t="n">
        <v>0</v>
      </c>
      <c r="Q298" t="n">
        <v>0</v>
      </c>
      <c r="R298" s="2" t="inlineStr"/>
    </row>
    <row r="299" ht="15" customHeight="1">
      <c r="A299" t="inlineStr">
        <is>
          <t>A 55706-2022</t>
        </is>
      </c>
      <c r="B299" s="1" t="n">
        <v>44888</v>
      </c>
      <c r="C299" s="1" t="n">
        <v>45473</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58941-2022</t>
        </is>
      </c>
      <c r="B300" s="1" t="n">
        <v>44903</v>
      </c>
      <c r="C300" s="1" t="n">
        <v>45473</v>
      </c>
      <c r="D300" t="inlineStr">
        <is>
          <t>NORRBOTTENS LÄN</t>
        </is>
      </c>
      <c r="E300" t="inlineStr">
        <is>
          <t>ARVIDSJAUR</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59086-2022</t>
        </is>
      </c>
      <c r="B301" s="1" t="n">
        <v>44904</v>
      </c>
      <c r="C301" s="1" t="n">
        <v>45473</v>
      </c>
      <c r="D301" t="inlineStr">
        <is>
          <t>NORRBOTTENS LÄN</t>
        </is>
      </c>
      <c r="E301" t="inlineStr">
        <is>
          <t>ARVIDSJAUR</t>
        </is>
      </c>
      <c r="F301" t="inlineStr">
        <is>
          <t>Sveaskog</t>
        </is>
      </c>
      <c r="G301" t="n">
        <v>11.3</v>
      </c>
      <c r="H301" t="n">
        <v>0</v>
      </c>
      <c r="I301" t="n">
        <v>0</v>
      </c>
      <c r="J301" t="n">
        <v>0</v>
      </c>
      <c r="K301" t="n">
        <v>0</v>
      </c>
      <c r="L301" t="n">
        <v>0</v>
      </c>
      <c r="M301" t="n">
        <v>0</v>
      </c>
      <c r="N301" t="n">
        <v>0</v>
      </c>
      <c r="O301" t="n">
        <v>0</v>
      </c>
      <c r="P301" t="n">
        <v>0</v>
      </c>
      <c r="Q301" t="n">
        <v>0</v>
      </c>
      <c r="R301" s="2" t="inlineStr"/>
    </row>
    <row r="302" ht="15" customHeight="1">
      <c r="A302" t="inlineStr">
        <is>
          <t>A 59104-2022</t>
        </is>
      </c>
      <c r="B302" s="1" t="n">
        <v>44904</v>
      </c>
      <c r="C302" s="1" t="n">
        <v>45473</v>
      </c>
      <c r="D302" t="inlineStr">
        <is>
          <t>NORRBOTTENS LÄN</t>
        </is>
      </c>
      <c r="E302" t="inlineStr">
        <is>
          <t>ARVIDSJAUR</t>
        </is>
      </c>
      <c r="F302" t="inlineStr">
        <is>
          <t>Sveaskog</t>
        </is>
      </c>
      <c r="G302" t="n">
        <v>4.8</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45473</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60038-2022</t>
        </is>
      </c>
      <c r="B304" s="1" t="n">
        <v>44909</v>
      </c>
      <c r="C304" s="1" t="n">
        <v>45473</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60374-2022</t>
        </is>
      </c>
      <c r="B305" s="1" t="n">
        <v>44910</v>
      </c>
      <c r="C305" s="1" t="n">
        <v>45473</v>
      </c>
      <c r="D305" t="inlineStr">
        <is>
          <t>NORRBOTTENS LÄN</t>
        </is>
      </c>
      <c r="E305" t="inlineStr">
        <is>
          <t>ARVIDSJAUR</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45473</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60466-2022</t>
        </is>
      </c>
      <c r="B307" s="1" t="n">
        <v>44911</v>
      </c>
      <c r="C307" s="1" t="n">
        <v>45473</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60489-2022</t>
        </is>
      </c>
      <c r="B308" s="1" t="n">
        <v>44911</v>
      </c>
      <c r="C308" s="1" t="n">
        <v>45473</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61133-2022</t>
        </is>
      </c>
      <c r="B309" s="1" t="n">
        <v>44915</v>
      </c>
      <c r="C309" s="1" t="n">
        <v>45473</v>
      </c>
      <c r="D309" t="inlineStr">
        <is>
          <t>NORRBOTTENS LÄN</t>
        </is>
      </c>
      <c r="E309" t="inlineStr">
        <is>
          <t>ARVIDSJAUR</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45473</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61980-2022</t>
        </is>
      </c>
      <c r="B311" s="1" t="n">
        <v>44918</v>
      </c>
      <c r="C311" s="1" t="n">
        <v>45473</v>
      </c>
      <c r="D311" t="inlineStr">
        <is>
          <t>NORRBOTTENS LÄN</t>
        </is>
      </c>
      <c r="E311" t="inlineStr">
        <is>
          <t>ARVIDSJAUR</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2111-2023</t>
        </is>
      </c>
      <c r="B312" s="1" t="n">
        <v>44939</v>
      </c>
      <c r="C312" s="1" t="n">
        <v>45473</v>
      </c>
      <c r="D312" t="inlineStr">
        <is>
          <t>NORRBOTTENS LÄN</t>
        </is>
      </c>
      <c r="E312" t="inlineStr">
        <is>
          <t>ARVIDSJAUR</t>
        </is>
      </c>
      <c r="G312" t="n">
        <v>6.7</v>
      </c>
      <c r="H312" t="n">
        <v>0</v>
      </c>
      <c r="I312" t="n">
        <v>0</v>
      </c>
      <c r="J312" t="n">
        <v>0</v>
      </c>
      <c r="K312" t="n">
        <v>0</v>
      </c>
      <c r="L312" t="n">
        <v>0</v>
      </c>
      <c r="M312" t="n">
        <v>0</v>
      </c>
      <c r="N312" t="n">
        <v>0</v>
      </c>
      <c r="O312" t="n">
        <v>0</v>
      </c>
      <c r="P312" t="n">
        <v>0</v>
      </c>
      <c r="Q312" t="n">
        <v>0</v>
      </c>
      <c r="R312" s="2" t="inlineStr"/>
    </row>
    <row r="313" ht="15" customHeight="1">
      <c r="A313" t="inlineStr">
        <is>
          <t>A 2113-2023</t>
        </is>
      </c>
      <c r="B313" s="1" t="n">
        <v>44939</v>
      </c>
      <c r="C313" s="1" t="n">
        <v>45473</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2298-2023</t>
        </is>
      </c>
      <c r="B314" s="1" t="n">
        <v>44942</v>
      </c>
      <c r="C314" s="1" t="n">
        <v>45473</v>
      </c>
      <c r="D314" t="inlineStr">
        <is>
          <t>NORRBOTTENS LÄN</t>
        </is>
      </c>
      <c r="E314" t="inlineStr">
        <is>
          <t>ARVIDSJAUR</t>
        </is>
      </c>
      <c r="G314" t="n">
        <v>3.5</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45473</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2323-2023</t>
        </is>
      </c>
      <c r="B316" s="1" t="n">
        <v>44942</v>
      </c>
      <c r="C316" s="1" t="n">
        <v>45473</v>
      </c>
      <c r="D316" t="inlineStr">
        <is>
          <t>NORRBOTTENS LÄN</t>
        </is>
      </c>
      <c r="E316" t="inlineStr">
        <is>
          <t>ARVIDSJAUR</t>
        </is>
      </c>
      <c r="G316" t="n">
        <v>5.5</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45473</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3241-2023</t>
        </is>
      </c>
      <c r="B318" s="1" t="n">
        <v>44946</v>
      </c>
      <c r="C318" s="1" t="n">
        <v>45473</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4732-2023</t>
        </is>
      </c>
      <c r="B319" s="1" t="n">
        <v>44957</v>
      </c>
      <c r="C319" s="1" t="n">
        <v>45473</v>
      </c>
      <c r="D319" t="inlineStr">
        <is>
          <t>NORRBOTTENS LÄN</t>
        </is>
      </c>
      <c r="E319" t="inlineStr">
        <is>
          <t>ARVIDSJAUR</t>
        </is>
      </c>
      <c r="G319" t="n">
        <v>2.2</v>
      </c>
      <c r="H319" t="n">
        <v>0</v>
      </c>
      <c r="I319" t="n">
        <v>0</v>
      </c>
      <c r="J319" t="n">
        <v>0</v>
      </c>
      <c r="K319" t="n">
        <v>0</v>
      </c>
      <c r="L319" t="n">
        <v>0</v>
      </c>
      <c r="M319" t="n">
        <v>0</v>
      </c>
      <c r="N319" t="n">
        <v>0</v>
      </c>
      <c r="O319" t="n">
        <v>0</v>
      </c>
      <c r="P319" t="n">
        <v>0</v>
      </c>
      <c r="Q319" t="n">
        <v>0</v>
      </c>
      <c r="R319" s="2" t="inlineStr"/>
    </row>
    <row r="320" ht="15" customHeight="1">
      <c r="A320" t="inlineStr">
        <is>
          <t>A 4729-2023</t>
        </is>
      </c>
      <c r="B320" s="1" t="n">
        <v>44957</v>
      </c>
      <c r="C320" s="1" t="n">
        <v>45473</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45473</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8635-2023</t>
        </is>
      </c>
      <c r="B322" s="1" t="n">
        <v>44977</v>
      </c>
      <c r="C322" s="1" t="n">
        <v>45473</v>
      </c>
      <c r="D322" t="inlineStr">
        <is>
          <t>NORRBOTTENS LÄN</t>
        </is>
      </c>
      <c r="E322" t="inlineStr">
        <is>
          <t>ARVIDSJAUR</t>
        </is>
      </c>
      <c r="G322" t="n">
        <v>1</v>
      </c>
      <c r="H322" t="n">
        <v>0</v>
      </c>
      <c r="I322" t="n">
        <v>0</v>
      </c>
      <c r="J322" t="n">
        <v>0</v>
      </c>
      <c r="K322" t="n">
        <v>0</v>
      </c>
      <c r="L322" t="n">
        <v>0</v>
      </c>
      <c r="M322" t="n">
        <v>0</v>
      </c>
      <c r="N322" t="n">
        <v>0</v>
      </c>
      <c r="O322" t="n">
        <v>0</v>
      </c>
      <c r="P322" t="n">
        <v>0</v>
      </c>
      <c r="Q322" t="n">
        <v>0</v>
      </c>
      <c r="R322" s="2" t="inlineStr"/>
    </row>
    <row r="323" ht="15" customHeight="1">
      <c r="A323" t="inlineStr">
        <is>
          <t>A 10009-2023</t>
        </is>
      </c>
      <c r="B323" s="1" t="n">
        <v>44979</v>
      </c>
      <c r="C323" s="1" t="n">
        <v>45473</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10022-2023</t>
        </is>
      </c>
      <c r="B324" s="1" t="n">
        <v>44979</v>
      </c>
      <c r="C324" s="1" t="n">
        <v>45473</v>
      </c>
      <c r="D324" t="inlineStr">
        <is>
          <t>NORRBOTTENS LÄN</t>
        </is>
      </c>
      <c r="E324" t="inlineStr">
        <is>
          <t>ARVIDSJAUR</t>
        </is>
      </c>
      <c r="G324" t="n">
        <v>5.6</v>
      </c>
      <c r="H324" t="n">
        <v>0</v>
      </c>
      <c r="I324" t="n">
        <v>0</v>
      </c>
      <c r="J324" t="n">
        <v>0</v>
      </c>
      <c r="K324" t="n">
        <v>0</v>
      </c>
      <c r="L324" t="n">
        <v>0</v>
      </c>
      <c r="M324" t="n">
        <v>0</v>
      </c>
      <c r="N324" t="n">
        <v>0</v>
      </c>
      <c r="O324" t="n">
        <v>0</v>
      </c>
      <c r="P324" t="n">
        <v>0</v>
      </c>
      <c r="Q324" t="n">
        <v>0</v>
      </c>
      <c r="R324" s="2" t="inlineStr"/>
    </row>
    <row r="325" ht="15" customHeight="1">
      <c r="A325" t="inlineStr">
        <is>
          <t>A 9996-2023</t>
        </is>
      </c>
      <c r="B325" s="1" t="n">
        <v>44979</v>
      </c>
      <c r="C325" s="1" t="n">
        <v>45473</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9928-2023</t>
        </is>
      </c>
      <c r="B326" s="1" t="n">
        <v>44985</v>
      </c>
      <c r="C326" s="1" t="n">
        <v>45473</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10859-2023</t>
        </is>
      </c>
      <c r="B327" s="1" t="n">
        <v>44985</v>
      </c>
      <c r="C327" s="1" t="n">
        <v>45473</v>
      </c>
      <c r="D327" t="inlineStr">
        <is>
          <t>NORRBOTTENS LÄN</t>
        </is>
      </c>
      <c r="E327" t="inlineStr">
        <is>
          <t>ARVIDSJAUR</t>
        </is>
      </c>
      <c r="G327" t="n">
        <v>9</v>
      </c>
      <c r="H327" t="n">
        <v>0</v>
      </c>
      <c r="I327" t="n">
        <v>0</v>
      </c>
      <c r="J327" t="n">
        <v>0</v>
      </c>
      <c r="K327" t="n">
        <v>0</v>
      </c>
      <c r="L327" t="n">
        <v>0</v>
      </c>
      <c r="M327" t="n">
        <v>0</v>
      </c>
      <c r="N327" t="n">
        <v>0</v>
      </c>
      <c r="O327" t="n">
        <v>0</v>
      </c>
      <c r="P327" t="n">
        <v>0</v>
      </c>
      <c r="Q327" t="n">
        <v>0</v>
      </c>
      <c r="R327" s="2" t="inlineStr"/>
    </row>
    <row r="328" ht="15" customHeight="1">
      <c r="A328" t="inlineStr">
        <is>
          <t>A 10664-2023</t>
        </is>
      </c>
      <c r="B328" s="1" t="n">
        <v>44988</v>
      </c>
      <c r="C328" s="1" t="n">
        <v>45473</v>
      </c>
      <c r="D328" t="inlineStr">
        <is>
          <t>NORRBOTTENS LÄN</t>
        </is>
      </c>
      <c r="E328" t="inlineStr">
        <is>
          <t>ARVIDSJAUR</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11292-2023</t>
        </is>
      </c>
      <c r="B329" s="1" t="n">
        <v>44992</v>
      </c>
      <c r="C329" s="1" t="n">
        <v>45473</v>
      </c>
      <c r="D329" t="inlineStr">
        <is>
          <t>NORRBOTTENS LÄN</t>
        </is>
      </c>
      <c r="E329" t="inlineStr">
        <is>
          <t>ARVIDSJAUR</t>
        </is>
      </c>
      <c r="G329" t="n">
        <v>7.3</v>
      </c>
      <c r="H329" t="n">
        <v>0</v>
      </c>
      <c r="I329" t="n">
        <v>0</v>
      </c>
      <c r="J329" t="n">
        <v>0</v>
      </c>
      <c r="K329" t="n">
        <v>0</v>
      </c>
      <c r="L329" t="n">
        <v>0</v>
      </c>
      <c r="M329" t="n">
        <v>0</v>
      </c>
      <c r="N329" t="n">
        <v>0</v>
      </c>
      <c r="O329" t="n">
        <v>0</v>
      </c>
      <c r="P329" t="n">
        <v>0</v>
      </c>
      <c r="Q329" t="n">
        <v>0</v>
      </c>
      <c r="R329" s="2" t="inlineStr"/>
    </row>
    <row r="330" ht="15" customHeight="1">
      <c r="A330" t="inlineStr">
        <is>
          <t>A 12794-2023</t>
        </is>
      </c>
      <c r="B330" s="1" t="n">
        <v>45001</v>
      </c>
      <c r="C330" s="1" t="n">
        <v>45473</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13395-2023</t>
        </is>
      </c>
      <c r="B331" s="1" t="n">
        <v>45005</v>
      </c>
      <c r="C331" s="1" t="n">
        <v>45473</v>
      </c>
      <c r="D331" t="inlineStr">
        <is>
          <t>NORRBOTTENS LÄN</t>
        </is>
      </c>
      <c r="E331" t="inlineStr">
        <is>
          <t>ARVIDSJAUR</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14613-2023</t>
        </is>
      </c>
      <c r="B332" s="1" t="n">
        <v>45013</v>
      </c>
      <c r="C332" s="1" t="n">
        <v>45473</v>
      </c>
      <c r="D332" t="inlineStr">
        <is>
          <t>NORRBOTTENS LÄN</t>
        </is>
      </c>
      <c r="E332" t="inlineStr">
        <is>
          <t>ARVIDSJAUR</t>
        </is>
      </c>
      <c r="G332" t="n">
        <v>4.5</v>
      </c>
      <c r="H332" t="n">
        <v>0</v>
      </c>
      <c r="I332" t="n">
        <v>0</v>
      </c>
      <c r="J332" t="n">
        <v>0</v>
      </c>
      <c r="K332" t="n">
        <v>0</v>
      </c>
      <c r="L332" t="n">
        <v>0</v>
      </c>
      <c r="M332" t="n">
        <v>0</v>
      </c>
      <c r="N332" t="n">
        <v>0</v>
      </c>
      <c r="O332" t="n">
        <v>0</v>
      </c>
      <c r="P332" t="n">
        <v>0</v>
      </c>
      <c r="Q332" t="n">
        <v>0</v>
      </c>
      <c r="R332" s="2" t="inlineStr"/>
    </row>
    <row r="333" ht="15" customHeight="1">
      <c r="A333" t="inlineStr">
        <is>
          <t>A 15475-2023</t>
        </is>
      </c>
      <c r="B333" s="1" t="n">
        <v>45020</v>
      </c>
      <c r="C333" s="1" t="n">
        <v>45473</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17771-2023</t>
        </is>
      </c>
      <c r="B334" s="1" t="n">
        <v>45036</v>
      </c>
      <c r="C334" s="1" t="n">
        <v>45473</v>
      </c>
      <c r="D334" t="inlineStr">
        <is>
          <t>NORRBOTTENS LÄN</t>
        </is>
      </c>
      <c r="E334" t="inlineStr">
        <is>
          <t>ARVIDSJAUR</t>
        </is>
      </c>
      <c r="G334" t="n">
        <v>5.6</v>
      </c>
      <c r="H334" t="n">
        <v>0</v>
      </c>
      <c r="I334" t="n">
        <v>0</v>
      </c>
      <c r="J334" t="n">
        <v>0</v>
      </c>
      <c r="K334" t="n">
        <v>0</v>
      </c>
      <c r="L334" t="n">
        <v>0</v>
      </c>
      <c r="M334" t="n">
        <v>0</v>
      </c>
      <c r="N334" t="n">
        <v>0</v>
      </c>
      <c r="O334" t="n">
        <v>0</v>
      </c>
      <c r="P334" t="n">
        <v>0</v>
      </c>
      <c r="Q334" t="n">
        <v>0</v>
      </c>
      <c r="R334" s="2" t="inlineStr"/>
    </row>
    <row r="335" ht="15" customHeight="1">
      <c r="A335" t="inlineStr">
        <is>
          <t>A 18935-2023</t>
        </is>
      </c>
      <c r="B335" s="1" t="n">
        <v>45044</v>
      </c>
      <c r="C335" s="1" t="n">
        <v>45473</v>
      </c>
      <c r="D335" t="inlineStr">
        <is>
          <t>NORRBOTTENS LÄN</t>
        </is>
      </c>
      <c r="E335" t="inlineStr">
        <is>
          <t>ARVIDSJAUR</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18934-2023</t>
        </is>
      </c>
      <c r="B336" s="1" t="n">
        <v>45044</v>
      </c>
      <c r="C336" s="1" t="n">
        <v>45473</v>
      </c>
      <c r="D336" t="inlineStr">
        <is>
          <t>NORRBOTTENS LÄN</t>
        </is>
      </c>
      <c r="E336" t="inlineStr">
        <is>
          <t>ARVIDSJAUR</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19537-2023</t>
        </is>
      </c>
      <c r="B337" s="1" t="n">
        <v>45050</v>
      </c>
      <c r="C337" s="1" t="n">
        <v>45473</v>
      </c>
      <c r="D337" t="inlineStr">
        <is>
          <t>NORRBOTTENS LÄN</t>
        </is>
      </c>
      <c r="E337" t="inlineStr">
        <is>
          <t>ARVIDSJAUR</t>
        </is>
      </c>
      <c r="G337" t="n">
        <v>17.3</v>
      </c>
      <c r="H337" t="n">
        <v>0</v>
      </c>
      <c r="I337" t="n">
        <v>0</v>
      </c>
      <c r="J337" t="n">
        <v>0</v>
      </c>
      <c r="K337" t="n">
        <v>0</v>
      </c>
      <c r="L337" t="n">
        <v>0</v>
      </c>
      <c r="M337" t="n">
        <v>0</v>
      </c>
      <c r="N337" t="n">
        <v>0</v>
      </c>
      <c r="O337" t="n">
        <v>0</v>
      </c>
      <c r="P337" t="n">
        <v>0</v>
      </c>
      <c r="Q337" t="n">
        <v>0</v>
      </c>
      <c r="R337" s="2" t="inlineStr"/>
    </row>
    <row r="338" ht="15" customHeight="1">
      <c r="A338" t="inlineStr">
        <is>
          <t>A 20675-2023</t>
        </is>
      </c>
      <c r="B338" s="1" t="n">
        <v>45055</v>
      </c>
      <c r="C338" s="1" t="n">
        <v>45473</v>
      </c>
      <c r="D338" t="inlineStr">
        <is>
          <t>NORRBOTTENS LÄN</t>
        </is>
      </c>
      <c r="E338" t="inlineStr">
        <is>
          <t>ARVIDSJAUR</t>
        </is>
      </c>
      <c r="F338" t="inlineStr">
        <is>
          <t>Allmännings- och besparingsskogar</t>
        </is>
      </c>
      <c r="G338" t="n">
        <v>20</v>
      </c>
      <c r="H338" t="n">
        <v>0</v>
      </c>
      <c r="I338" t="n">
        <v>0</v>
      </c>
      <c r="J338" t="n">
        <v>0</v>
      </c>
      <c r="K338" t="n">
        <v>0</v>
      </c>
      <c r="L338" t="n">
        <v>0</v>
      </c>
      <c r="M338" t="n">
        <v>0</v>
      </c>
      <c r="N338" t="n">
        <v>0</v>
      </c>
      <c r="O338" t="n">
        <v>0</v>
      </c>
      <c r="P338" t="n">
        <v>0</v>
      </c>
      <c r="Q338" t="n">
        <v>0</v>
      </c>
      <c r="R338" s="2" t="inlineStr"/>
    </row>
    <row r="339" ht="15" customHeight="1">
      <c r="A339" t="inlineStr">
        <is>
          <t>A 20691-2023</t>
        </is>
      </c>
      <c r="B339" s="1" t="n">
        <v>45055</v>
      </c>
      <c r="C339" s="1" t="n">
        <v>45473</v>
      </c>
      <c r="D339" t="inlineStr">
        <is>
          <t>NORRBOTTENS LÄN</t>
        </is>
      </c>
      <c r="E339" t="inlineStr">
        <is>
          <t>ARVIDSJAUR</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20684-2023</t>
        </is>
      </c>
      <c r="B340" s="1" t="n">
        <v>45055</v>
      </c>
      <c r="C340" s="1" t="n">
        <v>45473</v>
      </c>
      <c r="D340" t="inlineStr">
        <is>
          <t>NORRBOTTENS LÄN</t>
        </is>
      </c>
      <c r="E340" t="inlineStr">
        <is>
          <t>ARVIDSJAUR</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20698-2023</t>
        </is>
      </c>
      <c r="B341" s="1" t="n">
        <v>45055</v>
      </c>
      <c r="C341" s="1" t="n">
        <v>45473</v>
      </c>
      <c r="D341" t="inlineStr">
        <is>
          <t>NORRBOTTENS LÄN</t>
        </is>
      </c>
      <c r="E341" t="inlineStr">
        <is>
          <t>ARVIDSJAUR</t>
        </is>
      </c>
      <c r="F341" t="inlineStr">
        <is>
          <t>Allmännings- och besparingsskogar</t>
        </is>
      </c>
      <c r="G341" t="n">
        <v>7.6</v>
      </c>
      <c r="H341" t="n">
        <v>0</v>
      </c>
      <c r="I341" t="n">
        <v>0</v>
      </c>
      <c r="J341" t="n">
        <v>0</v>
      </c>
      <c r="K341" t="n">
        <v>0</v>
      </c>
      <c r="L341" t="n">
        <v>0</v>
      </c>
      <c r="M341" t="n">
        <v>0</v>
      </c>
      <c r="N341" t="n">
        <v>0</v>
      </c>
      <c r="O341" t="n">
        <v>0</v>
      </c>
      <c r="P341" t="n">
        <v>0</v>
      </c>
      <c r="Q341" t="n">
        <v>0</v>
      </c>
      <c r="R341" s="2" t="inlineStr"/>
    </row>
    <row r="342" ht="15" customHeight="1">
      <c r="A342" t="inlineStr">
        <is>
          <t>A 20690-2023</t>
        </is>
      </c>
      <c r="B342" s="1" t="n">
        <v>45055</v>
      </c>
      <c r="C342" s="1" t="n">
        <v>45473</v>
      </c>
      <c r="D342" t="inlineStr">
        <is>
          <t>NORRBOTTENS LÄN</t>
        </is>
      </c>
      <c r="E342" t="inlineStr">
        <is>
          <t>ARVIDSJAUR</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20707-2023</t>
        </is>
      </c>
      <c r="B343" s="1" t="n">
        <v>45055</v>
      </c>
      <c r="C343" s="1" t="n">
        <v>45473</v>
      </c>
      <c r="D343" t="inlineStr">
        <is>
          <t>NORRBOTTENS LÄN</t>
        </is>
      </c>
      <c r="E343" t="inlineStr">
        <is>
          <t>ARVIDSJAUR</t>
        </is>
      </c>
      <c r="F343" t="inlineStr">
        <is>
          <t>Allmännings- och besparingsskogar</t>
        </is>
      </c>
      <c r="G343" t="n">
        <v>11.1</v>
      </c>
      <c r="H343" t="n">
        <v>0</v>
      </c>
      <c r="I343" t="n">
        <v>0</v>
      </c>
      <c r="J343" t="n">
        <v>0</v>
      </c>
      <c r="K343" t="n">
        <v>0</v>
      </c>
      <c r="L343" t="n">
        <v>0</v>
      </c>
      <c r="M343" t="n">
        <v>0</v>
      </c>
      <c r="N343" t="n">
        <v>0</v>
      </c>
      <c r="O343" t="n">
        <v>0</v>
      </c>
      <c r="P343" t="n">
        <v>0</v>
      </c>
      <c r="Q343" t="n">
        <v>0</v>
      </c>
      <c r="R343" s="2" t="inlineStr"/>
    </row>
    <row r="344" ht="15" customHeight="1">
      <c r="A344" t="inlineStr">
        <is>
          <t>A 22895-2023</t>
        </is>
      </c>
      <c r="B344" s="1" t="n">
        <v>45072</v>
      </c>
      <c r="C344" s="1" t="n">
        <v>45473</v>
      </c>
      <c r="D344" t="inlineStr">
        <is>
          <t>NORRBOTTENS LÄN</t>
        </is>
      </c>
      <c r="E344" t="inlineStr">
        <is>
          <t>ARVIDSJAUR</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24165-2023</t>
        </is>
      </c>
      <c r="B345" s="1" t="n">
        <v>45079</v>
      </c>
      <c r="C345" s="1" t="n">
        <v>45473</v>
      </c>
      <c r="D345" t="inlineStr">
        <is>
          <t>NORRBOTTENS LÄN</t>
        </is>
      </c>
      <c r="E345" t="inlineStr">
        <is>
          <t>ARVIDSJAUR</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24563-2023</t>
        </is>
      </c>
      <c r="B346" s="1" t="n">
        <v>45083</v>
      </c>
      <c r="C346" s="1" t="n">
        <v>45473</v>
      </c>
      <c r="D346" t="inlineStr">
        <is>
          <t>NORRBOTTENS LÄN</t>
        </is>
      </c>
      <c r="E346" t="inlineStr">
        <is>
          <t>ARVIDSJAUR</t>
        </is>
      </c>
      <c r="G346" t="n">
        <v>9.4</v>
      </c>
      <c r="H346" t="n">
        <v>0</v>
      </c>
      <c r="I346" t="n">
        <v>0</v>
      </c>
      <c r="J346" t="n">
        <v>0</v>
      </c>
      <c r="K346" t="n">
        <v>0</v>
      </c>
      <c r="L346" t="n">
        <v>0</v>
      </c>
      <c r="M346" t="n">
        <v>0</v>
      </c>
      <c r="N346" t="n">
        <v>0</v>
      </c>
      <c r="O346" t="n">
        <v>0</v>
      </c>
      <c r="P346" t="n">
        <v>0</v>
      </c>
      <c r="Q346" t="n">
        <v>0</v>
      </c>
      <c r="R346" s="2" t="inlineStr"/>
    </row>
    <row r="347" ht="15" customHeight="1">
      <c r="A347" t="inlineStr">
        <is>
          <t>A 24810-2023</t>
        </is>
      </c>
      <c r="B347" s="1" t="n">
        <v>45084</v>
      </c>
      <c r="C347" s="1" t="n">
        <v>45473</v>
      </c>
      <c r="D347" t="inlineStr">
        <is>
          <t>NORRBOTTENS LÄN</t>
        </is>
      </c>
      <c r="E347" t="inlineStr">
        <is>
          <t>ARVIDSJAUR</t>
        </is>
      </c>
      <c r="G347" t="n">
        <v>5.2</v>
      </c>
      <c r="H347" t="n">
        <v>0</v>
      </c>
      <c r="I347" t="n">
        <v>0</v>
      </c>
      <c r="J347" t="n">
        <v>0</v>
      </c>
      <c r="K347" t="n">
        <v>0</v>
      </c>
      <c r="L347" t="n">
        <v>0</v>
      </c>
      <c r="M347" t="n">
        <v>0</v>
      </c>
      <c r="N347" t="n">
        <v>0</v>
      </c>
      <c r="O347" t="n">
        <v>0</v>
      </c>
      <c r="P347" t="n">
        <v>0</v>
      </c>
      <c r="Q347" t="n">
        <v>0</v>
      </c>
      <c r="R347" s="2" t="inlineStr"/>
    </row>
    <row r="348" ht="15" customHeight="1">
      <c r="A348" t="inlineStr">
        <is>
          <t>A 25731-2023</t>
        </is>
      </c>
      <c r="B348" s="1" t="n">
        <v>45084</v>
      </c>
      <c r="C348" s="1" t="n">
        <v>45473</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26591-2023</t>
        </is>
      </c>
      <c r="B349" s="1" t="n">
        <v>45090</v>
      </c>
      <c r="C349" s="1" t="n">
        <v>45473</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26583-2023</t>
        </is>
      </c>
      <c r="B350" s="1" t="n">
        <v>45090</v>
      </c>
      <c r="C350" s="1" t="n">
        <v>45473</v>
      </c>
      <c r="D350" t="inlineStr">
        <is>
          <t>NORRBOTTENS LÄN</t>
        </is>
      </c>
      <c r="E350" t="inlineStr">
        <is>
          <t>ARVIDSJAUR</t>
        </is>
      </c>
      <c r="G350" t="n">
        <v>1.3</v>
      </c>
      <c r="H350" t="n">
        <v>0</v>
      </c>
      <c r="I350" t="n">
        <v>0</v>
      </c>
      <c r="J350" t="n">
        <v>0</v>
      </c>
      <c r="K350" t="n">
        <v>0</v>
      </c>
      <c r="L350" t="n">
        <v>0</v>
      </c>
      <c r="M350" t="n">
        <v>0</v>
      </c>
      <c r="N350" t="n">
        <v>0</v>
      </c>
      <c r="O350" t="n">
        <v>0</v>
      </c>
      <c r="P350" t="n">
        <v>0</v>
      </c>
      <c r="Q350" t="n">
        <v>0</v>
      </c>
      <c r="R350" s="2" t="inlineStr"/>
    </row>
    <row r="351" ht="15" customHeight="1">
      <c r="A351" t="inlineStr">
        <is>
          <t>A 26671-2023</t>
        </is>
      </c>
      <c r="B351" s="1" t="n">
        <v>45093</v>
      </c>
      <c r="C351" s="1" t="n">
        <v>45473</v>
      </c>
      <c r="D351" t="inlineStr">
        <is>
          <t>NORRBOTTENS LÄN</t>
        </is>
      </c>
      <c r="E351" t="inlineStr">
        <is>
          <t>ARVIDSJAUR</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26674-2023</t>
        </is>
      </c>
      <c r="B352" s="1" t="n">
        <v>45093</v>
      </c>
      <c r="C352" s="1" t="n">
        <v>45473</v>
      </c>
      <c r="D352" t="inlineStr">
        <is>
          <t>NORRBOTTENS LÄN</t>
        </is>
      </c>
      <c r="E352" t="inlineStr">
        <is>
          <t>ARVIDSJAUR</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26673-2023</t>
        </is>
      </c>
      <c r="B353" s="1" t="n">
        <v>45093</v>
      </c>
      <c r="C353" s="1" t="n">
        <v>45473</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27441-2023</t>
        </is>
      </c>
      <c r="B354" s="1" t="n">
        <v>45097</v>
      </c>
      <c r="C354" s="1" t="n">
        <v>45473</v>
      </c>
      <c r="D354" t="inlineStr">
        <is>
          <t>NORRBOTTENS LÄN</t>
        </is>
      </c>
      <c r="E354" t="inlineStr">
        <is>
          <t>ARVIDSJAUR</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27439-2023</t>
        </is>
      </c>
      <c r="B355" s="1" t="n">
        <v>45097</v>
      </c>
      <c r="C355" s="1" t="n">
        <v>45473</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27459-2023</t>
        </is>
      </c>
      <c r="B356" s="1" t="n">
        <v>45097</v>
      </c>
      <c r="C356" s="1" t="n">
        <v>45473</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27442-2023</t>
        </is>
      </c>
      <c r="B357" s="1" t="n">
        <v>45097</v>
      </c>
      <c r="C357" s="1" t="n">
        <v>45473</v>
      </c>
      <c r="D357" t="inlineStr">
        <is>
          <t>NORRBOTTENS LÄN</t>
        </is>
      </c>
      <c r="E357" t="inlineStr">
        <is>
          <t>ARVIDSJAUR</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27462-2023</t>
        </is>
      </c>
      <c r="B358" s="1" t="n">
        <v>45097</v>
      </c>
      <c r="C358" s="1" t="n">
        <v>45473</v>
      </c>
      <c r="D358" t="inlineStr">
        <is>
          <t>NORRBOTTENS LÄN</t>
        </is>
      </c>
      <c r="E358" t="inlineStr">
        <is>
          <t>ARVIDSJAUR</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45473</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29580-2023</t>
        </is>
      </c>
      <c r="B360" s="1" t="n">
        <v>45098</v>
      </c>
      <c r="C360" s="1" t="n">
        <v>45473</v>
      </c>
      <c r="D360" t="inlineStr">
        <is>
          <t>NORRBOTTENS LÄN</t>
        </is>
      </c>
      <c r="E360" t="inlineStr">
        <is>
          <t>ARVIDSJAUR</t>
        </is>
      </c>
      <c r="G360" t="n">
        <v>3.3</v>
      </c>
      <c r="H360" t="n">
        <v>0</v>
      </c>
      <c r="I360" t="n">
        <v>0</v>
      </c>
      <c r="J360" t="n">
        <v>0</v>
      </c>
      <c r="K360" t="n">
        <v>0</v>
      </c>
      <c r="L360" t="n">
        <v>0</v>
      </c>
      <c r="M360" t="n">
        <v>0</v>
      </c>
      <c r="N360" t="n">
        <v>0</v>
      </c>
      <c r="O360" t="n">
        <v>0</v>
      </c>
      <c r="P360" t="n">
        <v>0</v>
      </c>
      <c r="Q360" t="n">
        <v>0</v>
      </c>
      <c r="R360" s="2" t="inlineStr"/>
    </row>
    <row r="361" ht="15" customHeight="1">
      <c r="A361" t="inlineStr">
        <is>
          <t>A 29636-2023</t>
        </is>
      </c>
      <c r="B361" s="1" t="n">
        <v>45098</v>
      </c>
      <c r="C361" s="1" t="n">
        <v>45473</v>
      </c>
      <c r="D361" t="inlineStr">
        <is>
          <t>NORRBOTTENS LÄN</t>
        </is>
      </c>
      <c r="E361" t="inlineStr">
        <is>
          <t>ARVIDSJAUR</t>
        </is>
      </c>
      <c r="G361" t="n">
        <v>6.5</v>
      </c>
      <c r="H361" t="n">
        <v>0</v>
      </c>
      <c r="I361" t="n">
        <v>0</v>
      </c>
      <c r="J361" t="n">
        <v>0</v>
      </c>
      <c r="K361" t="n">
        <v>0</v>
      </c>
      <c r="L361" t="n">
        <v>0</v>
      </c>
      <c r="M361" t="n">
        <v>0</v>
      </c>
      <c r="N361" t="n">
        <v>0</v>
      </c>
      <c r="O361" t="n">
        <v>0</v>
      </c>
      <c r="P361" t="n">
        <v>0</v>
      </c>
      <c r="Q361" t="n">
        <v>0</v>
      </c>
      <c r="R361" s="2" t="inlineStr"/>
    </row>
    <row r="362" ht="15" customHeight="1">
      <c r="A362" t="inlineStr">
        <is>
          <t>A 29639-2023</t>
        </is>
      </c>
      <c r="B362" s="1" t="n">
        <v>45098</v>
      </c>
      <c r="C362" s="1" t="n">
        <v>45473</v>
      </c>
      <c r="D362" t="inlineStr">
        <is>
          <t>NORRBOTTENS LÄN</t>
        </is>
      </c>
      <c r="E362" t="inlineStr">
        <is>
          <t>ARVIDSJAUR</t>
        </is>
      </c>
      <c r="G362" t="n">
        <v>8.1</v>
      </c>
      <c r="H362" t="n">
        <v>0</v>
      </c>
      <c r="I362" t="n">
        <v>0</v>
      </c>
      <c r="J362" t="n">
        <v>0</v>
      </c>
      <c r="K362" t="n">
        <v>0</v>
      </c>
      <c r="L362" t="n">
        <v>0</v>
      </c>
      <c r="M362" t="n">
        <v>0</v>
      </c>
      <c r="N362" t="n">
        <v>0</v>
      </c>
      <c r="O362" t="n">
        <v>0</v>
      </c>
      <c r="P362" t="n">
        <v>0</v>
      </c>
      <c r="Q362" t="n">
        <v>0</v>
      </c>
      <c r="R362" s="2" t="inlineStr"/>
    </row>
    <row r="363" ht="15" customHeight="1">
      <c r="A363" t="inlineStr">
        <is>
          <t>A 29602-2023</t>
        </is>
      </c>
      <c r="B363" s="1" t="n">
        <v>45098</v>
      </c>
      <c r="C363" s="1" t="n">
        <v>45473</v>
      </c>
      <c r="D363" t="inlineStr">
        <is>
          <t>NORRBOTTENS LÄN</t>
        </is>
      </c>
      <c r="E363" t="inlineStr">
        <is>
          <t>ARVIDSJAUR</t>
        </is>
      </c>
      <c r="G363" t="n">
        <v>4.5</v>
      </c>
      <c r="H363" t="n">
        <v>0</v>
      </c>
      <c r="I363" t="n">
        <v>0</v>
      </c>
      <c r="J363" t="n">
        <v>0</v>
      </c>
      <c r="K363" t="n">
        <v>0</v>
      </c>
      <c r="L363" t="n">
        <v>0</v>
      </c>
      <c r="M363" t="n">
        <v>0</v>
      </c>
      <c r="N363" t="n">
        <v>0</v>
      </c>
      <c r="O363" t="n">
        <v>0</v>
      </c>
      <c r="P363" t="n">
        <v>0</v>
      </c>
      <c r="Q363" t="n">
        <v>0</v>
      </c>
      <c r="R363" s="2" t="inlineStr"/>
    </row>
    <row r="364" ht="15" customHeight="1">
      <c r="A364" t="inlineStr">
        <is>
          <t>A 28307-2023</t>
        </is>
      </c>
      <c r="B364" s="1" t="n">
        <v>45099</v>
      </c>
      <c r="C364" s="1" t="n">
        <v>45473</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28311-2023</t>
        </is>
      </c>
      <c r="B365" s="1" t="n">
        <v>45099</v>
      </c>
      <c r="C365" s="1" t="n">
        <v>45473</v>
      </c>
      <c r="D365" t="inlineStr">
        <is>
          <t>NORRBOTTENS LÄN</t>
        </is>
      </c>
      <c r="E365" t="inlineStr">
        <is>
          <t>ARVIDSJAUR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28313-2023</t>
        </is>
      </c>
      <c r="B366" s="1" t="n">
        <v>45099</v>
      </c>
      <c r="C366" s="1" t="n">
        <v>45473</v>
      </c>
      <c r="D366" t="inlineStr">
        <is>
          <t>NORRBOTTENS LÄN</t>
        </is>
      </c>
      <c r="E366" t="inlineStr">
        <is>
          <t>ARVIDSJAUR</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45473</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30757-2023</t>
        </is>
      </c>
      <c r="B368" s="1" t="n">
        <v>45103</v>
      </c>
      <c r="C368" s="1" t="n">
        <v>45473</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30753-2023</t>
        </is>
      </c>
      <c r="B369" s="1" t="n">
        <v>45103</v>
      </c>
      <c r="C369" s="1" t="n">
        <v>45473</v>
      </c>
      <c r="D369" t="inlineStr">
        <is>
          <t>NORRBOTTENS LÄN</t>
        </is>
      </c>
      <c r="E369" t="inlineStr">
        <is>
          <t>ARVIDSJAUR</t>
        </is>
      </c>
      <c r="G369" t="n">
        <v>2.9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45473</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31666-2023</t>
        </is>
      </c>
      <c r="B371" s="1" t="n">
        <v>45105</v>
      </c>
      <c r="C371" s="1" t="n">
        <v>45473</v>
      </c>
      <c r="D371" t="inlineStr">
        <is>
          <t>NORRBOTTENS LÄN</t>
        </is>
      </c>
      <c r="E371" t="inlineStr">
        <is>
          <t>ARVIDSJAUR</t>
        </is>
      </c>
      <c r="G371" t="n">
        <v>6.5</v>
      </c>
      <c r="H371" t="n">
        <v>0</v>
      </c>
      <c r="I371" t="n">
        <v>0</v>
      </c>
      <c r="J371" t="n">
        <v>0</v>
      </c>
      <c r="K371" t="n">
        <v>0</v>
      </c>
      <c r="L371" t="n">
        <v>0</v>
      </c>
      <c r="M371" t="n">
        <v>0</v>
      </c>
      <c r="N371" t="n">
        <v>0</v>
      </c>
      <c r="O371" t="n">
        <v>0</v>
      </c>
      <c r="P371" t="n">
        <v>0</v>
      </c>
      <c r="Q371" t="n">
        <v>0</v>
      </c>
      <c r="R371" s="2" t="inlineStr"/>
    </row>
    <row r="372" ht="15" customHeight="1">
      <c r="A372" t="inlineStr">
        <is>
          <t>A 29693-2023</t>
        </is>
      </c>
      <c r="B372" s="1" t="n">
        <v>45107</v>
      </c>
      <c r="C372" s="1" t="n">
        <v>45473</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29709-2023</t>
        </is>
      </c>
      <c r="B373" s="1" t="n">
        <v>45107</v>
      </c>
      <c r="C373" s="1" t="n">
        <v>45473</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29695-2023</t>
        </is>
      </c>
      <c r="B374" s="1" t="n">
        <v>45107</v>
      </c>
      <c r="C374" s="1" t="n">
        <v>45473</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32360-2023</t>
        </is>
      </c>
      <c r="B375" s="1" t="n">
        <v>45110</v>
      </c>
      <c r="C375" s="1" t="n">
        <v>45473</v>
      </c>
      <c r="D375" t="inlineStr">
        <is>
          <t>NORRBOTTENS LÄN</t>
        </is>
      </c>
      <c r="E375" t="inlineStr">
        <is>
          <t>ARVIDSJAUR</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30501-2023</t>
        </is>
      </c>
      <c r="B376" s="1" t="n">
        <v>45111</v>
      </c>
      <c r="C376" s="1" t="n">
        <v>45473</v>
      </c>
      <c r="D376" t="inlineStr">
        <is>
          <t>NORRBOTTENS LÄN</t>
        </is>
      </c>
      <c r="E376" t="inlineStr">
        <is>
          <t>ARVIDSJAUR</t>
        </is>
      </c>
      <c r="F376" t="inlineStr">
        <is>
          <t>Sveaskog</t>
        </is>
      </c>
      <c r="G376" t="n">
        <v>10.9</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45473</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30394-2023</t>
        </is>
      </c>
      <c r="B378" s="1" t="n">
        <v>45111</v>
      </c>
      <c r="C378" s="1" t="n">
        <v>45473</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30419-2023</t>
        </is>
      </c>
      <c r="B379" s="1" t="n">
        <v>45111</v>
      </c>
      <c r="C379" s="1" t="n">
        <v>45473</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45473</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32263-2023</t>
        </is>
      </c>
      <c r="B381" s="1" t="n">
        <v>45120</v>
      </c>
      <c r="C381" s="1" t="n">
        <v>45473</v>
      </c>
      <c r="D381" t="inlineStr">
        <is>
          <t>NORRBOTTENS LÄN</t>
        </is>
      </c>
      <c r="E381" t="inlineStr">
        <is>
          <t>ARVIDSJAUR</t>
        </is>
      </c>
      <c r="F381" t="inlineStr">
        <is>
          <t>Sveaskog</t>
        </is>
      </c>
      <c r="G381" t="n">
        <v>18.1</v>
      </c>
      <c r="H381" t="n">
        <v>0</v>
      </c>
      <c r="I381" t="n">
        <v>0</v>
      </c>
      <c r="J381" t="n">
        <v>0</v>
      </c>
      <c r="K381" t="n">
        <v>0</v>
      </c>
      <c r="L381" t="n">
        <v>0</v>
      </c>
      <c r="M381" t="n">
        <v>0</v>
      </c>
      <c r="N381" t="n">
        <v>0</v>
      </c>
      <c r="O381" t="n">
        <v>0</v>
      </c>
      <c r="P381" t="n">
        <v>0</v>
      </c>
      <c r="Q381" t="n">
        <v>0</v>
      </c>
      <c r="R381" s="2" t="inlineStr"/>
    </row>
    <row r="382" ht="15" customHeight="1">
      <c r="A382" t="inlineStr">
        <is>
          <t>A 32268-2023</t>
        </is>
      </c>
      <c r="B382" s="1" t="n">
        <v>45120</v>
      </c>
      <c r="C382" s="1" t="n">
        <v>45473</v>
      </c>
      <c r="D382" t="inlineStr">
        <is>
          <t>NORRBOTTENS LÄN</t>
        </is>
      </c>
      <c r="E382" t="inlineStr">
        <is>
          <t>ARVIDSJAUR</t>
        </is>
      </c>
      <c r="F382" t="inlineStr">
        <is>
          <t>Sveaskog</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32264-2023</t>
        </is>
      </c>
      <c r="B383" s="1" t="n">
        <v>45120</v>
      </c>
      <c r="C383" s="1" t="n">
        <v>45473</v>
      </c>
      <c r="D383" t="inlineStr">
        <is>
          <t>NORRBOTTENS LÄN</t>
        </is>
      </c>
      <c r="E383" t="inlineStr">
        <is>
          <t>ARVIDSJAUR</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34277-2023</t>
        </is>
      </c>
      <c r="B384" s="1" t="n">
        <v>45128</v>
      </c>
      <c r="C384" s="1" t="n">
        <v>45473</v>
      </c>
      <c r="D384" t="inlineStr">
        <is>
          <t>NORRBOTTENS LÄN</t>
        </is>
      </c>
      <c r="E384" t="inlineStr">
        <is>
          <t>ARVIDSJAUR</t>
        </is>
      </c>
      <c r="F384" t="inlineStr">
        <is>
          <t>Sveaskog</t>
        </is>
      </c>
      <c r="G384" t="n">
        <v>31.7</v>
      </c>
      <c r="H384" t="n">
        <v>0</v>
      </c>
      <c r="I384" t="n">
        <v>0</v>
      </c>
      <c r="J384" t="n">
        <v>0</v>
      </c>
      <c r="K384" t="n">
        <v>0</v>
      </c>
      <c r="L384" t="n">
        <v>0</v>
      </c>
      <c r="M384" t="n">
        <v>0</v>
      </c>
      <c r="N384" t="n">
        <v>0</v>
      </c>
      <c r="O384" t="n">
        <v>0</v>
      </c>
      <c r="P384" t="n">
        <v>0</v>
      </c>
      <c r="Q384" t="n">
        <v>0</v>
      </c>
      <c r="R384" s="2" t="inlineStr"/>
    </row>
    <row r="385" ht="15" customHeight="1">
      <c r="A385" t="inlineStr">
        <is>
          <t>A 34511-2023</t>
        </is>
      </c>
      <c r="B385" s="1" t="n">
        <v>45140</v>
      </c>
      <c r="C385" s="1" t="n">
        <v>45473</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34997-2023</t>
        </is>
      </c>
      <c r="B386" s="1" t="n">
        <v>45142</v>
      </c>
      <c r="C386" s="1" t="n">
        <v>45473</v>
      </c>
      <c r="D386" t="inlineStr">
        <is>
          <t>NORRBOTTENS LÄN</t>
        </is>
      </c>
      <c r="E386" t="inlineStr">
        <is>
          <t>ARVIDSJAUR</t>
        </is>
      </c>
      <c r="G386" t="n">
        <v>10.8</v>
      </c>
      <c r="H386" t="n">
        <v>0</v>
      </c>
      <c r="I386" t="n">
        <v>0</v>
      </c>
      <c r="J386" t="n">
        <v>0</v>
      </c>
      <c r="K386" t="n">
        <v>0</v>
      </c>
      <c r="L386" t="n">
        <v>0</v>
      </c>
      <c r="M386" t="n">
        <v>0</v>
      </c>
      <c r="N386" t="n">
        <v>0</v>
      </c>
      <c r="O386" t="n">
        <v>0</v>
      </c>
      <c r="P386" t="n">
        <v>0</v>
      </c>
      <c r="Q386" t="n">
        <v>0</v>
      </c>
      <c r="R386" s="2" t="inlineStr"/>
    </row>
    <row r="387" ht="15" customHeight="1">
      <c r="A387" t="inlineStr">
        <is>
          <t>A 34998-2023</t>
        </is>
      </c>
      <c r="B387" s="1" t="n">
        <v>45142</v>
      </c>
      <c r="C387" s="1" t="n">
        <v>45473</v>
      </c>
      <c r="D387" t="inlineStr">
        <is>
          <t>NORRBOTTENS LÄN</t>
        </is>
      </c>
      <c r="E387" t="inlineStr">
        <is>
          <t>ARVIDSJAUR</t>
        </is>
      </c>
      <c r="G387" t="n">
        <v>10.3</v>
      </c>
      <c r="H387" t="n">
        <v>0</v>
      </c>
      <c r="I387" t="n">
        <v>0</v>
      </c>
      <c r="J387" t="n">
        <v>0</v>
      </c>
      <c r="K387" t="n">
        <v>0</v>
      </c>
      <c r="L387" t="n">
        <v>0</v>
      </c>
      <c r="M387" t="n">
        <v>0</v>
      </c>
      <c r="N387" t="n">
        <v>0</v>
      </c>
      <c r="O387" t="n">
        <v>0</v>
      </c>
      <c r="P387" t="n">
        <v>0</v>
      </c>
      <c r="Q387" t="n">
        <v>0</v>
      </c>
      <c r="R387" s="2" t="inlineStr"/>
    </row>
    <row r="388" ht="15" customHeight="1">
      <c r="A388" t="inlineStr">
        <is>
          <t>A 34999-2023</t>
        </is>
      </c>
      <c r="B388" s="1" t="n">
        <v>45142</v>
      </c>
      <c r="C388" s="1" t="n">
        <v>45473</v>
      </c>
      <c r="D388" t="inlineStr">
        <is>
          <t>NORRBOTTENS LÄN</t>
        </is>
      </c>
      <c r="E388" t="inlineStr">
        <is>
          <t>ARVIDSJAUR</t>
        </is>
      </c>
      <c r="G388" t="n">
        <v>5.2</v>
      </c>
      <c r="H388" t="n">
        <v>0</v>
      </c>
      <c r="I388" t="n">
        <v>0</v>
      </c>
      <c r="J388" t="n">
        <v>0</v>
      </c>
      <c r="K388" t="n">
        <v>0</v>
      </c>
      <c r="L388" t="n">
        <v>0</v>
      </c>
      <c r="M388" t="n">
        <v>0</v>
      </c>
      <c r="N388" t="n">
        <v>0</v>
      </c>
      <c r="O388" t="n">
        <v>0</v>
      </c>
      <c r="P388" t="n">
        <v>0</v>
      </c>
      <c r="Q388" t="n">
        <v>0</v>
      </c>
      <c r="R388" s="2" t="inlineStr"/>
    </row>
    <row r="389" ht="15" customHeight="1">
      <c r="A389" t="inlineStr">
        <is>
          <t>A 36129-2023</t>
        </is>
      </c>
      <c r="B389" s="1" t="n">
        <v>45149</v>
      </c>
      <c r="C389" s="1" t="n">
        <v>45473</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36076-2023</t>
        </is>
      </c>
      <c r="B390" s="1" t="n">
        <v>45149</v>
      </c>
      <c r="C390" s="1" t="n">
        <v>45473</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36109-2023</t>
        </is>
      </c>
      <c r="B391" s="1" t="n">
        <v>45149</v>
      </c>
      <c r="C391" s="1" t="n">
        <v>45473</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36154-2023</t>
        </is>
      </c>
      <c r="B392" s="1" t="n">
        <v>45149</v>
      </c>
      <c r="C392" s="1" t="n">
        <v>45473</v>
      </c>
      <c r="D392" t="inlineStr">
        <is>
          <t>NORRBOTTENS LÄN</t>
        </is>
      </c>
      <c r="E392" t="inlineStr">
        <is>
          <t>ARVIDSJAUR</t>
        </is>
      </c>
      <c r="F392" t="inlineStr">
        <is>
          <t>Sveaskog</t>
        </is>
      </c>
      <c r="G392" t="n">
        <v>38.8</v>
      </c>
      <c r="H392" t="n">
        <v>0</v>
      </c>
      <c r="I392" t="n">
        <v>0</v>
      </c>
      <c r="J392" t="n">
        <v>0</v>
      </c>
      <c r="K392" t="n">
        <v>0</v>
      </c>
      <c r="L392" t="n">
        <v>0</v>
      </c>
      <c r="M392" t="n">
        <v>0</v>
      </c>
      <c r="N392" t="n">
        <v>0</v>
      </c>
      <c r="O392" t="n">
        <v>0</v>
      </c>
      <c r="P392" t="n">
        <v>0</v>
      </c>
      <c r="Q392" t="n">
        <v>0</v>
      </c>
      <c r="R392" s="2" t="inlineStr"/>
    </row>
    <row r="393" ht="15" customHeight="1">
      <c r="A393" t="inlineStr">
        <is>
          <t>A 36090-2023</t>
        </is>
      </c>
      <c r="B393" s="1" t="n">
        <v>45149</v>
      </c>
      <c r="C393" s="1" t="n">
        <v>45473</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36094-2023</t>
        </is>
      </c>
      <c r="B394" s="1" t="n">
        <v>45149</v>
      </c>
      <c r="C394" s="1" t="n">
        <v>45473</v>
      </c>
      <c r="D394" t="inlineStr">
        <is>
          <t>NORRBOTTENS LÄN</t>
        </is>
      </c>
      <c r="E394" t="inlineStr">
        <is>
          <t>ARVIDSJAUR</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36398-2023</t>
        </is>
      </c>
      <c r="B395" s="1" t="n">
        <v>45152</v>
      </c>
      <c r="C395" s="1" t="n">
        <v>45473</v>
      </c>
      <c r="D395" t="inlineStr">
        <is>
          <t>NORRBOTTENS LÄN</t>
        </is>
      </c>
      <c r="E395" t="inlineStr">
        <is>
          <t>ARVIDSJAUR</t>
        </is>
      </c>
      <c r="F395" t="inlineStr">
        <is>
          <t>Sveaskog</t>
        </is>
      </c>
      <c r="G395" t="n">
        <v>21.4</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45473</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45473</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36664-2023</t>
        </is>
      </c>
      <c r="B398" s="1" t="n">
        <v>45153</v>
      </c>
      <c r="C398" s="1" t="n">
        <v>45473</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45473</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37041-2023</t>
        </is>
      </c>
      <c r="B400" s="1" t="n">
        <v>45155</v>
      </c>
      <c r="C400" s="1" t="n">
        <v>45473</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37039-2023</t>
        </is>
      </c>
      <c r="B401" s="1" t="n">
        <v>45155</v>
      </c>
      <c r="C401" s="1" t="n">
        <v>45473</v>
      </c>
      <c r="D401" t="inlineStr">
        <is>
          <t>NORRBOTTENS LÄN</t>
        </is>
      </c>
      <c r="E401" t="inlineStr">
        <is>
          <t>ARVIDSJAUR</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45473</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45473</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45473</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40937-2023</t>
        </is>
      </c>
      <c r="B405" s="1" t="n">
        <v>45173</v>
      </c>
      <c r="C405" s="1" t="n">
        <v>45473</v>
      </c>
      <c r="D405" t="inlineStr">
        <is>
          <t>NORRBOTTENS LÄN</t>
        </is>
      </c>
      <c r="E405" t="inlineStr">
        <is>
          <t>ARVIDSJAUR</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42687-2023</t>
        </is>
      </c>
      <c r="B406" s="1" t="n">
        <v>45176</v>
      </c>
      <c r="C406" s="1" t="n">
        <v>45473</v>
      </c>
      <c r="D406" t="inlineStr">
        <is>
          <t>NORRBOTTENS LÄN</t>
        </is>
      </c>
      <c r="E406" t="inlineStr">
        <is>
          <t>ARVIDSJAUR</t>
        </is>
      </c>
      <c r="G406" t="n">
        <v>2.2</v>
      </c>
      <c r="H406" t="n">
        <v>0</v>
      </c>
      <c r="I406" t="n">
        <v>0</v>
      </c>
      <c r="J406" t="n">
        <v>0</v>
      </c>
      <c r="K406" t="n">
        <v>0</v>
      </c>
      <c r="L406" t="n">
        <v>0</v>
      </c>
      <c r="M406" t="n">
        <v>0</v>
      </c>
      <c r="N406" t="n">
        <v>0</v>
      </c>
      <c r="O406" t="n">
        <v>0</v>
      </c>
      <c r="P406" t="n">
        <v>0</v>
      </c>
      <c r="Q406" t="n">
        <v>0</v>
      </c>
      <c r="R406" s="2" t="inlineStr"/>
    </row>
    <row r="407" ht="15" customHeight="1">
      <c r="A407" t="inlineStr">
        <is>
          <t>A 42633-2023</t>
        </is>
      </c>
      <c r="B407" s="1" t="n">
        <v>45176</v>
      </c>
      <c r="C407" s="1" t="n">
        <v>45473</v>
      </c>
      <c r="D407" t="inlineStr">
        <is>
          <t>NORRBOTTENS LÄN</t>
        </is>
      </c>
      <c r="E407" t="inlineStr">
        <is>
          <t>ARVIDSJAUR</t>
        </is>
      </c>
      <c r="G407" t="n">
        <v>2.5</v>
      </c>
      <c r="H407" t="n">
        <v>0</v>
      </c>
      <c r="I407" t="n">
        <v>0</v>
      </c>
      <c r="J407" t="n">
        <v>0</v>
      </c>
      <c r="K407" t="n">
        <v>0</v>
      </c>
      <c r="L407" t="n">
        <v>0</v>
      </c>
      <c r="M407" t="n">
        <v>0</v>
      </c>
      <c r="N407" t="n">
        <v>0</v>
      </c>
      <c r="O407" t="n">
        <v>0</v>
      </c>
      <c r="P407" t="n">
        <v>0</v>
      </c>
      <c r="Q407" t="n">
        <v>0</v>
      </c>
      <c r="R407" s="2" t="inlineStr"/>
    </row>
    <row r="408" ht="15" customHeight="1">
      <c r="A408" t="inlineStr">
        <is>
          <t>A 42683-2023</t>
        </is>
      </c>
      <c r="B408" s="1" t="n">
        <v>45176</v>
      </c>
      <c r="C408" s="1" t="n">
        <v>45473</v>
      </c>
      <c r="D408" t="inlineStr">
        <is>
          <t>NORRBOTTENS LÄN</t>
        </is>
      </c>
      <c r="E408" t="inlineStr">
        <is>
          <t>ARVIDSJAUR</t>
        </is>
      </c>
      <c r="G408" t="n">
        <v>0.7</v>
      </c>
      <c r="H408" t="n">
        <v>0</v>
      </c>
      <c r="I408" t="n">
        <v>0</v>
      </c>
      <c r="J408" t="n">
        <v>0</v>
      </c>
      <c r="K408" t="n">
        <v>0</v>
      </c>
      <c r="L408" t="n">
        <v>0</v>
      </c>
      <c r="M408" t="n">
        <v>0</v>
      </c>
      <c r="N408" t="n">
        <v>0</v>
      </c>
      <c r="O408" t="n">
        <v>0</v>
      </c>
      <c r="P408" t="n">
        <v>0</v>
      </c>
      <c r="Q408" t="n">
        <v>0</v>
      </c>
      <c r="R408" s="2" t="inlineStr"/>
    </row>
    <row r="409" ht="15" customHeight="1">
      <c r="A409" t="inlineStr">
        <is>
          <t>A 42695-2023</t>
        </is>
      </c>
      <c r="B409" s="1" t="n">
        <v>45176</v>
      </c>
      <c r="C409" s="1" t="n">
        <v>45473</v>
      </c>
      <c r="D409" t="inlineStr">
        <is>
          <t>NORRBOTTENS LÄN</t>
        </is>
      </c>
      <c r="E409" t="inlineStr">
        <is>
          <t>ARVIDSJAUR</t>
        </is>
      </c>
      <c r="G409" t="n">
        <v>2.7</v>
      </c>
      <c r="H409" t="n">
        <v>0</v>
      </c>
      <c r="I409" t="n">
        <v>0</v>
      </c>
      <c r="J409" t="n">
        <v>0</v>
      </c>
      <c r="K409" t="n">
        <v>0</v>
      </c>
      <c r="L409" t="n">
        <v>0</v>
      </c>
      <c r="M409" t="n">
        <v>0</v>
      </c>
      <c r="N409" t="n">
        <v>0</v>
      </c>
      <c r="O409" t="n">
        <v>0</v>
      </c>
      <c r="P409" t="n">
        <v>0</v>
      </c>
      <c r="Q409" t="n">
        <v>0</v>
      </c>
      <c r="R409" s="2" t="inlineStr"/>
    </row>
    <row r="410" ht="15" customHeight="1">
      <c r="A410" t="inlineStr">
        <is>
          <t>A 42798-2023</t>
        </is>
      </c>
      <c r="B410" s="1" t="n">
        <v>45182</v>
      </c>
      <c r="C410" s="1" t="n">
        <v>45473</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43847-2023</t>
        </is>
      </c>
      <c r="B411" s="1" t="n">
        <v>45182</v>
      </c>
      <c r="C411" s="1" t="n">
        <v>45473</v>
      </c>
      <c r="D411" t="inlineStr">
        <is>
          <t>NORRBOTTENS LÄN</t>
        </is>
      </c>
      <c r="E411" t="inlineStr">
        <is>
          <t>ARVIDSJAUR</t>
        </is>
      </c>
      <c r="G411" t="n">
        <v>3.9</v>
      </c>
      <c r="H411" t="n">
        <v>0</v>
      </c>
      <c r="I411" t="n">
        <v>0</v>
      </c>
      <c r="J411" t="n">
        <v>0</v>
      </c>
      <c r="K411" t="n">
        <v>0</v>
      </c>
      <c r="L411" t="n">
        <v>0</v>
      </c>
      <c r="M411" t="n">
        <v>0</v>
      </c>
      <c r="N411" t="n">
        <v>0</v>
      </c>
      <c r="O411" t="n">
        <v>0</v>
      </c>
      <c r="P411" t="n">
        <v>0</v>
      </c>
      <c r="Q411" t="n">
        <v>0</v>
      </c>
      <c r="R411" s="2" t="inlineStr"/>
    </row>
    <row r="412" ht="15" customHeight="1">
      <c r="A412" t="inlineStr">
        <is>
          <t>A 43850-2023</t>
        </is>
      </c>
      <c r="B412" s="1" t="n">
        <v>45182</v>
      </c>
      <c r="C412" s="1" t="n">
        <v>45473</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43842-2023</t>
        </is>
      </c>
      <c r="B413" s="1" t="n">
        <v>45182</v>
      </c>
      <c r="C413" s="1" t="n">
        <v>45473</v>
      </c>
      <c r="D413" t="inlineStr">
        <is>
          <t>NORRBOTTENS LÄN</t>
        </is>
      </c>
      <c r="E413" t="inlineStr">
        <is>
          <t>ARVIDSJAUR</t>
        </is>
      </c>
      <c r="G413" t="n">
        <v>5.6</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v>
      </c>
      <c r="C414" s="1" t="n">
        <v>45473</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44557-2023</t>
        </is>
      </c>
      <c r="B415" s="1" t="n">
        <v>45189</v>
      </c>
      <c r="C415" s="1" t="n">
        <v>45473</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45778-2023</t>
        </is>
      </c>
      <c r="B416" s="1" t="n">
        <v>45189</v>
      </c>
      <c r="C416" s="1" t="n">
        <v>45473</v>
      </c>
      <c r="D416" t="inlineStr">
        <is>
          <t>NORRBOTTENS LÄN</t>
        </is>
      </c>
      <c r="E416" t="inlineStr">
        <is>
          <t>ARVIDSJAUR</t>
        </is>
      </c>
      <c r="G416" t="n">
        <v>7.9</v>
      </c>
      <c r="H416" t="n">
        <v>0</v>
      </c>
      <c r="I416" t="n">
        <v>0</v>
      </c>
      <c r="J416" t="n">
        <v>0</v>
      </c>
      <c r="K416" t="n">
        <v>0</v>
      </c>
      <c r="L416" t="n">
        <v>0</v>
      </c>
      <c r="M416" t="n">
        <v>0</v>
      </c>
      <c r="N416" t="n">
        <v>0</v>
      </c>
      <c r="O416" t="n">
        <v>0</v>
      </c>
      <c r="P416" t="n">
        <v>0</v>
      </c>
      <c r="Q416" t="n">
        <v>0</v>
      </c>
      <c r="R416" s="2" t="inlineStr"/>
    </row>
    <row r="417" ht="15" customHeight="1">
      <c r="A417" t="inlineStr">
        <is>
          <t>A 45757-2023</t>
        </is>
      </c>
      <c r="B417" s="1" t="n">
        <v>45189</v>
      </c>
      <c r="C417" s="1" t="n">
        <v>45473</v>
      </c>
      <c r="D417" t="inlineStr">
        <is>
          <t>NORRBOTTENS LÄN</t>
        </is>
      </c>
      <c r="E417" t="inlineStr">
        <is>
          <t>ARVIDSJAUR</t>
        </is>
      </c>
      <c r="G417" t="n">
        <v>7.8</v>
      </c>
      <c r="H417" t="n">
        <v>0</v>
      </c>
      <c r="I417" t="n">
        <v>0</v>
      </c>
      <c r="J417" t="n">
        <v>0</v>
      </c>
      <c r="K417" t="n">
        <v>0</v>
      </c>
      <c r="L417" t="n">
        <v>0</v>
      </c>
      <c r="M417" t="n">
        <v>0</v>
      </c>
      <c r="N417" t="n">
        <v>0</v>
      </c>
      <c r="O417" t="n">
        <v>0</v>
      </c>
      <c r="P417" t="n">
        <v>0</v>
      </c>
      <c r="Q417" t="n">
        <v>0</v>
      </c>
      <c r="R417" s="2" t="inlineStr"/>
    </row>
    <row r="418" ht="15" customHeight="1">
      <c r="A418" t="inlineStr">
        <is>
          <t>A 45100-2023</t>
        </is>
      </c>
      <c r="B418" s="1" t="n">
        <v>45191</v>
      </c>
      <c r="C418" s="1" t="n">
        <v>45473</v>
      </c>
      <c r="D418" t="inlineStr">
        <is>
          <t>NORRBOTTENS LÄN</t>
        </is>
      </c>
      <c r="E418" t="inlineStr">
        <is>
          <t>ARVIDSJAUR</t>
        </is>
      </c>
      <c r="G418" t="n">
        <v>8.4</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v>
      </c>
      <c r="C419" s="1" t="n">
        <v>45473</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45962-2023</t>
        </is>
      </c>
      <c r="B420" s="1" t="n">
        <v>45195</v>
      </c>
      <c r="C420" s="1" t="n">
        <v>45473</v>
      </c>
      <c r="D420" t="inlineStr">
        <is>
          <t>NORRBOTTENS LÄN</t>
        </is>
      </c>
      <c r="E420" t="inlineStr">
        <is>
          <t>ARVIDSJAUR</t>
        </is>
      </c>
      <c r="F420" t="inlineStr">
        <is>
          <t>SCA</t>
        </is>
      </c>
      <c r="G420" t="n">
        <v>12.3</v>
      </c>
      <c r="H420" t="n">
        <v>0</v>
      </c>
      <c r="I420" t="n">
        <v>0</v>
      </c>
      <c r="J420" t="n">
        <v>0</v>
      </c>
      <c r="K420" t="n">
        <v>0</v>
      </c>
      <c r="L420" t="n">
        <v>0</v>
      </c>
      <c r="M420" t="n">
        <v>0</v>
      </c>
      <c r="N420" t="n">
        <v>0</v>
      </c>
      <c r="O420" t="n">
        <v>0</v>
      </c>
      <c r="P420" t="n">
        <v>0</v>
      </c>
      <c r="Q420" t="n">
        <v>0</v>
      </c>
      <c r="R420" s="2" t="inlineStr"/>
    </row>
    <row r="421" ht="15" customHeight="1">
      <c r="A421" t="inlineStr">
        <is>
          <t>A 45961-2023</t>
        </is>
      </c>
      <c r="B421" s="1" t="n">
        <v>45195</v>
      </c>
      <c r="C421" s="1" t="n">
        <v>45473</v>
      </c>
      <c r="D421" t="inlineStr">
        <is>
          <t>NORRBOTTENS LÄN</t>
        </is>
      </c>
      <c r="E421" t="inlineStr">
        <is>
          <t>ARVIDSJAUR</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45473</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48291-2023</t>
        </is>
      </c>
      <c r="B423" s="1" t="n">
        <v>45201</v>
      </c>
      <c r="C423" s="1" t="n">
        <v>45473</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48250-2023</t>
        </is>
      </c>
      <c r="B424" s="1" t="n">
        <v>45205</v>
      </c>
      <c r="C424" s="1" t="n">
        <v>45473</v>
      </c>
      <c r="D424" t="inlineStr">
        <is>
          <t>NORRBOTTENS LÄN</t>
        </is>
      </c>
      <c r="E424" t="inlineStr">
        <is>
          <t>ARVIDSJAUR</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49734-2023</t>
        </is>
      </c>
      <c r="B425" s="1" t="n">
        <v>45208</v>
      </c>
      <c r="C425" s="1" t="n">
        <v>45473</v>
      </c>
      <c r="D425" t="inlineStr">
        <is>
          <t>NORRBOTTENS LÄN</t>
        </is>
      </c>
      <c r="E425" t="inlineStr">
        <is>
          <t>ARVIDSJAUR</t>
        </is>
      </c>
      <c r="G425" t="n">
        <v>6.3</v>
      </c>
      <c r="H425" t="n">
        <v>0</v>
      </c>
      <c r="I425" t="n">
        <v>0</v>
      </c>
      <c r="J425" t="n">
        <v>0</v>
      </c>
      <c r="K425" t="n">
        <v>0</v>
      </c>
      <c r="L425" t="n">
        <v>0</v>
      </c>
      <c r="M425" t="n">
        <v>0</v>
      </c>
      <c r="N425" t="n">
        <v>0</v>
      </c>
      <c r="O425" t="n">
        <v>0</v>
      </c>
      <c r="P425" t="n">
        <v>0</v>
      </c>
      <c r="Q425" t="n">
        <v>0</v>
      </c>
      <c r="R425" s="2" t="inlineStr"/>
    </row>
    <row r="426" ht="15" customHeight="1">
      <c r="A426" t="inlineStr">
        <is>
          <t>A 49737-2023</t>
        </is>
      </c>
      <c r="B426" s="1" t="n">
        <v>45208</v>
      </c>
      <c r="C426" s="1" t="n">
        <v>45473</v>
      </c>
      <c r="D426" t="inlineStr">
        <is>
          <t>NORRBOTTENS LÄN</t>
        </is>
      </c>
      <c r="E426" t="inlineStr">
        <is>
          <t>ARVIDSJAUR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49103-2023</t>
        </is>
      </c>
      <c r="B427" s="1" t="n">
        <v>45210</v>
      </c>
      <c r="C427" s="1" t="n">
        <v>45473</v>
      </c>
      <c r="D427" t="inlineStr">
        <is>
          <t>NORRBOTTENS LÄN</t>
        </is>
      </c>
      <c r="E427" t="inlineStr">
        <is>
          <t>ARVIDSJAUR</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50731-2023</t>
        </is>
      </c>
      <c r="B428" s="1" t="n">
        <v>45210</v>
      </c>
      <c r="C428" s="1" t="n">
        <v>45473</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51627-2023</t>
        </is>
      </c>
      <c r="B429" s="1" t="n">
        <v>45222</v>
      </c>
      <c r="C429" s="1" t="n">
        <v>45473</v>
      </c>
      <c r="D429" t="inlineStr">
        <is>
          <t>NORRBOTTENS LÄN</t>
        </is>
      </c>
      <c r="E429" t="inlineStr">
        <is>
          <t>ARVIDSJAUR</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v>
      </c>
      <c r="C430" s="1" t="n">
        <v>45473</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51629-2023</t>
        </is>
      </c>
      <c r="B431" s="1" t="n">
        <v>45222</v>
      </c>
      <c r="C431" s="1" t="n">
        <v>45473</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53271-2023</t>
        </is>
      </c>
      <c r="B432" s="1" t="n">
        <v>45222</v>
      </c>
      <c r="C432" s="1" t="n">
        <v>45473</v>
      </c>
      <c r="D432" t="inlineStr">
        <is>
          <t>NORRBOTTENS LÄN</t>
        </is>
      </c>
      <c r="E432" t="inlineStr">
        <is>
          <t>ARVIDSJAUR</t>
        </is>
      </c>
      <c r="G432" t="n">
        <v>4.3</v>
      </c>
      <c r="H432" t="n">
        <v>0</v>
      </c>
      <c r="I432" t="n">
        <v>0</v>
      </c>
      <c r="J432" t="n">
        <v>0</v>
      </c>
      <c r="K432" t="n">
        <v>0</v>
      </c>
      <c r="L432" t="n">
        <v>0</v>
      </c>
      <c r="M432" t="n">
        <v>0</v>
      </c>
      <c r="N432" t="n">
        <v>0</v>
      </c>
      <c r="O432" t="n">
        <v>0</v>
      </c>
      <c r="P432" t="n">
        <v>0</v>
      </c>
      <c r="Q432" t="n">
        <v>0</v>
      </c>
      <c r="R432" s="2" t="inlineStr"/>
    </row>
    <row r="433" ht="15" customHeight="1">
      <c r="A433" t="inlineStr">
        <is>
          <t>A 52642-2023</t>
        </is>
      </c>
      <c r="B433" s="1" t="n">
        <v>45225</v>
      </c>
      <c r="C433" s="1" t="n">
        <v>45473</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52649-2023</t>
        </is>
      </c>
      <c r="B434" s="1" t="n">
        <v>45225</v>
      </c>
      <c r="C434" s="1" t="n">
        <v>45473</v>
      </c>
      <c r="D434" t="inlineStr">
        <is>
          <t>NORRBOTTENS LÄN</t>
        </is>
      </c>
      <c r="E434" t="inlineStr">
        <is>
          <t>ARVIDSJAUR</t>
        </is>
      </c>
      <c r="G434" t="n">
        <v>1.9</v>
      </c>
      <c r="H434" t="n">
        <v>0</v>
      </c>
      <c r="I434" t="n">
        <v>0</v>
      </c>
      <c r="J434" t="n">
        <v>0</v>
      </c>
      <c r="K434" t="n">
        <v>0</v>
      </c>
      <c r="L434" t="n">
        <v>0</v>
      </c>
      <c r="M434" t="n">
        <v>0</v>
      </c>
      <c r="N434" t="n">
        <v>0</v>
      </c>
      <c r="O434" t="n">
        <v>0</v>
      </c>
      <c r="P434" t="n">
        <v>0</v>
      </c>
      <c r="Q434" t="n">
        <v>0</v>
      </c>
      <c r="R434" s="2" t="inlineStr"/>
    </row>
    <row r="435" ht="15" customHeight="1">
      <c r="A435" t="inlineStr">
        <is>
          <t>A 52635-2023</t>
        </is>
      </c>
      <c r="B435" s="1" t="n">
        <v>45225</v>
      </c>
      <c r="C435" s="1" t="n">
        <v>45473</v>
      </c>
      <c r="D435" t="inlineStr">
        <is>
          <t>NORRBOTTENS LÄN</t>
        </is>
      </c>
      <c r="E435" t="inlineStr">
        <is>
          <t>ARVIDSJAUR</t>
        </is>
      </c>
      <c r="G435" t="n">
        <v>4.3</v>
      </c>
      <c r="H435" t="n">
        <v>0</v>
      </c>
      <c r="I435" t="n">
        <v>0</v>
      </c>
      <c r="J435" t="n">
        <v>0</v>
      </c>
      <c r="K435" t="n">
        <v>0</v>
      </c>
      <c r="L435" t="n">
        <v>0</v>
      </c>
      <c r="M435" t="n">
        <v>0</v>
      </c>
      <c r="N435" t="n">
        <v>0</v>
      </c>
      <c r="O435" t="n">
        <v>0</v>
      </c>
      <c r="P435" t="n">
        <v>0</v>
      </c>
      <c r="Q435" t="n">
        <v>0</v>
      </c>
      <c r="R435" s="2" t="inlineStr"/>
    </row>
    <row r="436" ht="15" customHeight="1">
      <c r="A436" t="inlineStr">
        <is>
          <t>A 52640-2023</t>
        </is>
      </c>
      <c r="B436" s="1" t="n">
        <v>45225</v>
      </c>
      <c r="C436" s="1" t="n">
        <v>45473</v>
      </c>
      <c r="D436" t="inlineStr">
        <is>
          <t>NORRBOTTENS LÄN</t>
        </is>
      </c>
      <c r="E436" t="inlineStr">
        <is>
          <t>ARVIDSJAUR</t>
        </is>
      </c>
      <c r="G436" t="n">
        <v>2.2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45473</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52638-2023</t>
        </is>
      </c>
      <c r="B438" s="1" t="n">
        <v>45225</v>
      </c>
      <c r="C438" s="1" t="n">
        <v>45473</v>
      </c>
      <c r="D438" t="inlineStr">
        <is>
          <t>NORRBOTTENS LÄN</t>
        </is>
      </c>
      <c r="E438" t="inlineStr">
        <is>
          <t>ARVIDSJAUR</t>
        </is>
      </c>
      <c r="G438" t="n">
        <v>7.1</v>
      </c>
      <c r="H438" t="n">
        <v>0</v>
      </c>
      <c r="I438" t="n">
        <v>0</v>
      </c>
      <c r="J438" t="n">
        <v>0</v>
      </c>
      <c r="K438" t="n">
        <v>0</v>
      </c>
      <c r="L438" t="n">
        <v>0</v>
      </c>
      <c r="M438" t="n">
        <v>0</v>
      </c>
      <c r="N438" t="n">
        <v>0</v>
      </c>
      <c r="O438" t="n">
        <v>0</v>
      </c>
      <c r="P438" t="n">
        <v>0</v>
      </c>
      <c r="Q438" t="n">
        <v>0</v>
      </c>
      <c r="R438" s="2" t="inlineStr"/>
    </row>
    <row r="439" ht="15" customHeight="1">
      <c r="A439" t="inlineStr">
        <is>
          <t>A 52644-2023</t>
        </is>
      </c>
      <c r="B439" s="1" t="n">
        <v>45225</v>
      </c>
      <c r="C439" s="1" t="n">
        <v>45473</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52646-2023</t>
        </is>
      </c>
      <c r="B440" s="1" t="n">
        <v>45225</v>
      </c>
      <c r="C440" s="1" t="n">
        <v>45473</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row r="441" ht="15" customHeight="1">
      <c r="A441" t="inlineStr">
        <is>
          <t>A 52650-2023</t>
        </is>
      </c>
      <c r="B441" s="1" t="n">
        <v>45225</v>
      </c>
      <c r="C441" s="1" t="n">
        <v>45473</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45473</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54524-2023</t>
        </is>
      </c>
      <c r="B443" s="1" t="n">
        <v>45226</v>
      </c>
      <c r="C443" s="1" t="n">
        <v>45473</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54529-2023</t>
        </is>
      </c>
      <c r="B444" s="1" t="n">
        <v>45226</v>
      </c>
      <c r="C444" s="1" t="n">
        <v>45473</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54521-2023</t>
        </is>
      </c>
      <c r="B445" s="1" t="n">
        <v>45226</v>
      </c>
      <c r="C445" s="1" t="n">
        <v>45473</v>
      </c>
      <c r="D445" t="inlineStr">
        <is>
          <t>NORRBOTTENS LÄN</t>
        </is>
      </c>
      <c r="E445" t="inlineStr">
        <is>
          <t>ARVIDSJAUR</t>
        </is>
      </c>
      <c r="G445" t="n">
        <v>2.5</v>
      </c>
      <c r="H445" t="n">
        <v>0</v>
      </c>
      <c r="I445" t="n">
        <v>0</v>
      </c>
      <c r="J445" t="n">
        <v>0</v>
      </c>
      <c r="K445" t="n">
        <v>0</v>
      </c>
      <c r="L445" t="n">
        <v>0</v>
      </c>
      <c r="M445" t="n">
        <v>0</v>
      </c>
      <c r="N445" t="n">
        <v>0</v>
      </c>
      <c r="O445" t="n">
        <v>0</v>
      </c>
      <c r="P445" t="n">
        <v>0</v>
      </c>
      <c r="Q445" t="n">
        <v>0</v>
      </c>
      <c r="R445" s="2" t="inlineStr"/>
    </row>
    <row r="446" ht="15" customHeight="1">
      <c r="A446" t="inlineStr">
        <is>
          <t>A 53535-2023</t>
        </is>
      </c>
      <c r="B446" s="1" t="n">
        <v>45230</v>
      </c>
      <c r="C446" s="1" t="n">
        <v>45473</v>
      </c>
      <c r="D446" t="inlineStr">
        <is>
          <t>NORRBOTTENS LÄN</t>
        </is>
      </c>
      <c r="E446" t="inlineStr">
        <is>
          <t>ARVIDSJAUR</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53534-2023</t>
        </is>
      </c>
      <c r="B447" s="1" t="n">
        <v>45230</v>
      </c>
      <c r="C447" s="1" t="n">
        <v>45473</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55568-2023</t>
        </is>
      </c>
      <c r="B448" s="1" t="n">
        <v>45232</v>
      </c>
      <c r="C448" s="1" t="n">
        <v>45473</v>
      </c>
      <c r="D448" t="inlineStr">
        <is>
          <t>NORRBOTTENS LÄN</t>
        </is>
      </c>
      <c r="E448" t="inlineStr">
        <is>
          <t>ARVIDSJAUR</t>
        </is>
      </c>
      <c r="G448" t="n">
        <v>2.3</v>
      </c>
      <c r="H448" t="n">
        <v>0</v>
      </c>
      <c r="I448" t="n">
        <v>0</v>
      </c>
      <c r="J448" t="n">
        <v>0</v>
      </c>
      <c r="K448" t="n">
        <v>0</v>
      </c>
      <c r="L448" t="n">
        <v>0</v>
      </c>
      <c r="M448" t="n">
        <v>0</v>
      </c>
      <c r="N448" t="n">
        <v>0</v>
      </c>
      <c r="O448" t="n">
        <v>0</v>
      </c>
      <c r="P448" t="n">
        <v>0</v>
      </c>
      <c r="Q448" t="n">
        <v>0</v>
      </c>
      <c r="R448" s="2" t="inlineStr"/>
    </row>
    <row r="449" ht="15" customHeight="1">
      <c r="A449" t="inlineStr">
        <is>
          <t>A 55564-2023</t>
        </is>
      </c>
      <c r="B449" s="1" t="n">
        <v>45232</v>
      </c>
      <c r="C449" s="1" t="n">
        <v>45473</v>
      </c>
      <c r="D449" t="inlineStr">
        <is>
          <t>NORRBOTTENS LÄN</t>
        </is>
      </c>
      <c r="E449" t="inlineStr">
        <is>
          <t>ARVIDSJAUR</t>
        </is>
      </c>
      <c r="G449" t="n">
        <v>4.6</v>
      </c>
      <c r="H449" t="n">
        <v>0</v>
      </c>
      <c r="I449" t="n">
        <v>0</v>
      </c>
      <c r="J449" t="n">
        <v>0</v>
      </c>
      <c r="K449" t="n">
        <v>0</v>
      </c>
      <c r="L449" t="n">
        <v>0</v>
      </c>
      <c r="M449" t="n">
        <v>0</v>
      </c>
      <c r="N449" t="n">
        <v>0</v>
      </c>
      <c r="O449" t="n">
        <v>0</v>
      </c>
      <c r="P449" t="n">
        <v>0</v>
      </c>
      <c r="Q449" t="n">
        <v>0</v>
      </c>
      <c r="R449" s="2" t="inlineStr"/>
    </row>
    <row r="450" ht="15" customHeight="1">
      <c r="A450" t="inlineStr">
        <is>
          <t>A 55577-2023</t>
        </is>
      </c>
      <c r="B450" s="1" t="n">
        <v>45232</v>
      </c>
      <c r="C450" s="1" t="n">
        <v>45473</v>
      </c>
      <c r="D450" t="inlineStr">
        <is>
          <t>NORRBOTTENS LÄN</t>
        </is>
      </c>
      <c r="E450" t="inlineStr">
        <is>
          <t>ARVIDSJAUR</t>
        </is>
      </c>
      <c r="G450" t="n">
        <v>2.9</v>
      </c>
      <c r="H450" t="n">
        <v>0</v>
      </c>
      <c r="I450" t="n">
        <v>0</v>
      </c>
      <c r="J450" t="n">
        <v>0</v>
      </c>
      <c r="K450" t="n">
        <v>0</v>
      </c>
      <c r="L450" t="n">
        <v>0</v>
      </c>
      <c r="M450" t="n">
        <v>0</v>
      </c>
      <c r="N450" t="n">
        <v>0</v>
      </c>
      <c r="O450" t="n">
        <v>0</v>
      </c>
      <c r="P450" t="n">
        <v>0</v>
      </c>
      <c r="Q450" t="n">
        <v>0</v>
      </c>
      <c r="R450" s="2" t="inlineStr"/>
    </row>
    <row r="451" ht="15" customHeight="1">
      <c r="A451" t="inlineStr">
        <is>
          <t>A 55557-2023</t>
        </is>
      </c>
      <c r="B451" s="1" t="n">
        <v>45232</v>
      </c>
      <c r="C451" s="1" t="n">
        <v>45473</v>
      </c>
      <c r="D451" t="inlineStr">
        <is>
          <t>NORRBOTTENS LÄN</t>
        </is>
      </c>
      <c r="E451" t="inlineStr">
        <is>
          <t>ARVIDSJAUR</t>
        </is>
      </c>
      <c r="G451" t="n">
        <v>6.3</v>
      </c>
      <c r="H451" t="n">
        <v>0</v>
      </c>
      <c r="I451" t="n">
        <v>0</v>
      </c>
      <c r="J451" t="n">
        <v>0</v>
      </c>
      <c r="K451" t="n">
        <v>0</v>
      </c>
      <c r="L451" t="n">
        <v>0</v>
      </c>
      <c r="M451" t="n">
        <v>0</v>
      </c>
      <c r="N451" t="n">
        <v>0</v>
      </c>
      <c r="O451" t="n">
        <v>0</v>
      </c>
      <c r="P451" t="n">
        <v>0</v>
      </c>
      <c r="Q451" t="n">
        <v>0</v>
      </c>
      <c r="R451" s="2" t="inlineStr"/>
    </row>
    <row r="452" ht="15" customHeight="1">
      <c r="A452" t="inlineStr">
        <is>
          <t>A 58010-2023</t>
        </is>
      </c>
      <c r="B452" s="1" t="n">
        <v>45244</v>
      </c>
      <c r="C452" s="1" t="n">
        <v>45473</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57988-2023</t>
        </is>
      </c>
      <c r="B453" s="1" t="n">
        <v>45244</v>
      </c>
      <c r="C453" s="1" t="n">
        <v>45473</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58006-2023</t>
        </is>
      </c>
      <c r="B454" s="1" t="n">
        <v>45244</v>
      </c>
      <c r="C454" s="1" t="n">
        <v>45473</v>
      </c>
      <c r="D454" t="inlineStr">
        <is>
          <t>NORRBOTTENS LÄN</t>
        </is>
      </c>
      <c r="E454" t="inlineStr">
        <is>
          <t>ARVIDSJAUR</t>
        </is>
      </c>
      <c r="G454" t="n">
        <v>4.7</v>
      </c>
      <c r="H454" t="n">
        <v>0</v>
      </c>
      <c r="I454" t="n">
        <v>0</v>
      </c>
      <c r="J454" t="n">
        <v>0</v>
      </c>
      <c r="K454" t="n">
        <v>0</v>
      </c>
      <c r="L454" t="n">
        <v>0</v>
      </c>
      <c r="M454" t="n">
        <v>0</v>
      </c>
      <c r="N454" t="n">
        <v>0</v>
      </c>
      <c r="O454" t="n">
        <v>0</v>
      </c>
      <c r="P454" t="n">
        <v>0</v>
      </c>
      <c r="Q454" t="n">
        <v>0</v>
      </c>
      <c r="R454" s="2" t="inlineStr"/>
    </row>
    <row r="455" ht="15" customHeight="1">
      <c r="A455" t="inlineStr">
        <is>
          <t>A 58004-2023</t>
        </is>
      </c>
      <c r="B455" s="1" t="n">
        <v>45244</v>
      </c>
      <c r="C455" s="1" t="n">
        <v>45473</v>
      </c>
      <c r="D455" t="inlineStr">
        <is>
          <t>NORRBOTTENS LÄN</t>
        </is>
      </c>
      <c r="E455" t="inlineStr">
        <is>
          <t>ARVIDSJAUR</t>
        </is>
      </c>
      <c r="G455" t="n">
        <v>11.3</v>
      </c>
      <c r="H455" t="n">
        <v>0</v>
      </c>
      <c r="I455" t="n">
        <v>0</v>
      </c>
      <c r="J455" t="n">
        <v>0</v>
      </c>
      <c r="K455" t="n">
        <v>0</v>
      </c>
      <c r="L455" t="n">
        <v>0</v>
      </c>
      <c r="M455" t="n">
        <v>0</v>
      </c>
      <c r="N455" t="n">
        <v>0</v>
      </c>
      <c r="O455" t="n">
        <v>0</v>
      </c>
      <c r="P455" t="n">
        <v>0</v>
      </c>
      <c r="Q455" t="n">
        <v>0</v>
      </c>
      <c r="R455" s="2" t="inlineStr"/>
    </row>
    <row r="456" ht="15" customHeight="1">
      <c r="A456" t="inlineStr">
        <is>
          <t>A 58025-2023</t>
        </is>
      </c>
      <c r="B456" s="1" t="n">
        <v>45244</v>
      </c>
      <c r="C456" s="1" t="n">
        <v>45473</v>
      </c>
      <c r="D456" t="inlineStr">
        <is>
          <t>NORRBOTTENS LÄN</t>
        </is>
      </c>
      <c r="E456" t="inlineStr">
        <is>
          <t>ARVIDSJAUR</t>
        </is>
      </c>
      <c r="G456" t="n">
        <v>4.2</v>
      </c>
      <c r="H456" t="n">
        <v>0</v>
      </c>
      <c r="I456" t="n">
        <v>0</v>
      </c>
      <c r="J456" t="n">
        <v>0</v>
      </c>
      <c r="K456" t="n">
        <v>0</v>
      </c>
      <c r="L456" t="n">
        <v>0</v>
      </c>
      <c r="M456" t="n">
        <v>0</v>
      </c>
      <c r="N456" t="n">
        <v>0</v>
      </c>
      <c r="O456" t="n">
        <v>0</v>
      </c>
      <c r="P456" t="n">
        <v>0</v>
      </c>
      <c r="Q456" t="n">
        <v>0</v>
      </c>
      <c r="R456" s="2" t="inlineStr"/>
    </row>
    <row r="457" ht="15" customHeight="1">
      <c r="A457" t="inlineStr">
        <is>
          <t>A 57903-2023</t>
        </is>
      </c>
      <c r="B457" s="1" t="n">
        <v>45244</v>
      </c>
      <c r="C457" s="1" t="n">
        <v>45473</v>
      </c>
      <c r="D457" t="inlineStr">
        <is>
          <t>NORRBOTTENS LÄN</t>
        </is>
      </c>
      <c r="E457" t="inlineStr">
        <is>
          <t>ARVIDSJAUR</t>
        </is>
      </c>
      <c r="G457" t="n">
        <v>2.3</v>
      </c>
      <c r="H457" t="n">
        <v>0</v>
      </c>
      <c r="I457" t="n">
        <v>0</v>
      </c>
      <c r="J457" t="n">
        <v>0</v>
      </c>
      <c r="K457" t="n">
        <v>0</v>
      </c>
      <c r="L457" t="n">
        <v>0</v>
      </c>
      <c r="M457" t="n">
        <v>0</v>
      </c>
      <c r="N457" t="n">
        <v>0</v>
      </c>
      <c r="O457" t="n">
        <v>0</v>
      </c>
      <c r="P457" t="n">
        <v>0</v>
      </c>
      <c r="Q457" t="n">
        <v>0</v>
      </c>
      <c r="R457" s="2" t="inlineStr"/>
    </row>
    <row r="458" ht="15" customHeight="1">
      <c r="A458" t="inlineStr">
        <is>
          <t>A 58253-2023</t>
        </is>
      </c>
      <c r="B458" s="1" t="n">
        <v>45245</v>
      </c>
      <c r="C458" s="1" t="n">
        <v>45473</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58063-2023</t>
        </is>
      </c>
      <c r="B459" s="1" t="n">
        <v>45247</v>
      </c>
      <c r="C459" s="1" t="n">
        <v>45473</v>
      </c>
      <c r="D459" t="inlineStr">
        <is>
          <t>NORRBOTTENS LÄN</t>
        </is>
      </c>
      <c r="E459" t="inlineStr">
        <is>
          <t>ARVIDSJAUR</t>
        </is>
      </c>
      <c r="G459" t="n">
        <v>5.3</v>
      </c>
      <c r="H459" t="n">
        <v>0</v>
      </c>
      <c r="I459" t="n">
        <v>0</v>
      </c>
      <c r="J459" t="n">
        <v>0</v>
      </c>
      <c r="K459" t="n">
        <v>0</v>
      </c>
      <c r="L459" t="n">
        <v>0</v>
      </c>
      <c r="M459" t="n">
        <v>0</v>
      </c>
      <c r="N459" t="n">
        <v>0</v>
      </c>
      <c r="O459" t="n">
        <v>0</v>
      </c>
      <c r="P459" t="n">
        <v>0</v>
      </c>
      <c r="Q459" t="n">
        <v>0</v>
      </c>
      <c r="R459" s="2" t="inlineStr"/>
    </row>
    <row r="460" ht="15" customHeight="1">
      <c r="A460" t="inlineStr">
        <is>
          <t>A 63382-2023</t>
        </is>
      </c>
      <c r="B460" s="1" t="n">
        <v>45274</v>
      </c>
      <c r="C460" s="1" t="n">
        <v>45473</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63828-2023</t>
        </is>
      </c>
      <c r="B461" s="1" t="n">
        <v>45278</v>
      </c>
      <c r="C461" s="1" t="n">
        <v>45473</v>
      </c>
      <c r="D461" t="inlineStr">
        <is>
          <t>NORRBOTTENS LÄN</t>
        </is>
      </c>
      <c r="E461" t="inlineStr">
        <is>
          <t>ARVIDSJAUR</t>
        </is>
      </c>
      <c r="F461" t="inlineStr">
        <is>
          <t>Sveaskog</t>
        </is>
      </c>
      <c r="G461" t="n">
        <v>28.4</v>
      </c>
      <c r="H461" t="n">
        <v>0</v>
      </c>
      <c r="I461" t="n">
        <v>0</v>
      </c>
      <c r="J461" t="n">
        <v>0</v>
      </c>
      <c r="K461" t="n">
        <v>0</v>
      </c>
      <c r="L461" t="n">
        <v>0</v>
      </c>
      <c r="M461" t="n">
        <v>0</v>
      </c>
      <c r="N461" t="n">
        <v>0</v>
      </c>
      <c r="O461" t="n">
        <v>0</v>
      </c>
      <c r="P461" t="n">
        <v>0</v>
      </c>
      <c r="Q461" t="n">
        <v>0</v>
      </c>
      <c r="R461" s="2" t="inlineStr"/>
    </row>
    <row r="462" ht="15" customHeight="1">
      <c r="A462" t="inlineStr">
        <is>
          <t>A 218-2024</t>
        </is>
      </c>
      <c r="B462" s="1" t="n">
        <v>45293</v>
      </c>
      <c r="C462" s="1" t="n">
        <v>45473</v>
      </c>
      <c r="D462" t="inlineStr">
        <is>
          <t>NORRBOTTENS LÄN</t>
        </is>
      </c>
      <c r="E462" t="inlineStr">
        <is>
          <t>ARVIDSJAUR</t>
        </is>
      </c>
      <c r="G462" t="n">
        <v>6.8</v>
      </c>
      <c r="H462" t="n">
        <v>0</v>
      </c>
      <c r="I462" t="n">
        <v>0</v>
      </c>
      <c r="J462" t="n">
        <v>0</v>
      </c>
      <c r="K462" t="n">
        <v>0</v>
      </c>
      <c r="L462" t="n">
        <v>0</v>
      </c>
      <c r="M462" t="n">
        <v>0</v>
      </c>
      <c r="N462" t="n">
        <v>0</v>
      </c>
      <c r="O462" t="n">
        <v>0</v>
      </c>
      <c r="P462" t="n">
        <v>0</v>
      </c>
      <c r="Q462" t="n">
        <v>0</v>
      </c>
      <c r="R462" s="2" t="inlineStr"/>
    </row>
    <row r="463" ht="15" customHeight="1">
      <c r="A463" t="inlineStr">
        <is>
          <t>A 217-2024</t>
        </is>
      </c>
      <c r="B463" s="1" t="n">
        <v>45293</v>
      </c>
      <c r="C463" s="1" t="n">
        <v>45473</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45473</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1845-2024</t>
        </is>
      </c>
      <c r="B465" s="1" t="n">
        <v>45307</v>
      </c>
      <c r="C465" s="1" t="n">
        <v>45473</v>
      </c>
      <c r="D465" t="inlineStr">
        <is>
          <t>NORRBOTTENS LÄN</t>
        </is>
      </c>
      <c r="E465" t="inlineStr">
        <is>
          <t>ARVIDSJAUR</t>
        </is>
      </c>
      <c r="G465" t="n">
        <v>4.8</v>
      </c>
      <c r="H465" t="n">
        <v>0</v>
      </c>
      <c r="I465" t="n">
        <v>0</v>
      </c>
      <c r="J465" t="n">
        <v>0</v>
      </c>
      <c r="K465" t="n">
        <v>0</v>
      </c>
      <c r="L465" t="n">
        <v>0</v>
      </c>
      <c r="M465" t="n">
        <v>0</v>
      </c>
      <c r="N465" t="n">
        <v>0</v>
      </c>
      <c r="O465" t="n">
        <v>0</v>
      </c>
      <c r="P465" t="n">
        <v>0</v>
      </c>
      <c r="Q465" t="n">
        <v>0</v>
      </c>
      <c r="R465" s="2" t="inlineStr"/>
    </row>
    <row r="466" ht="15" customHeight="1">
      <c r="A466" t="inlineStr">
        <is>
          <t>A 2037-2024</t>
        </is>
      </c>
      <c r="B466" s="1" t="n">
        <v>45308</v>
      </c>
      <c r="C466" s="1" t="n">
        <v>45473</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45473</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2286-2024</t>
        </is>
      </c>
      <c r="B468" s="1" t="n">
        <v>45310</v>
      </c>
      <c r="C468" s="1" t="n">
        <v>45473</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2898-2024</t>
        </is>
      </c>
      <c r="B469" s="1" t="n">
        <v>45315</v>
      </c>
      <c r="C469" s="1" t="n">
        <v>45473</v>
      </c>
      <c r="D469" t="inlineStr">
        <is>
          <t>NORRBOTTENS LÄN</t>
        </is>
      </c>
      <c r="E469" t="inlineStr">
        <is>
          <t>ARVIDSJAUR</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2908-2024</t>
        </is>
      </c>
      <c r="B470" s="1" t="n">
        <v>45315</v>
      </c>
      <c r="C470" s="1" t="n">
        <v>45473</v>
      </c>
      <c r="D470" t="inlineStr">
        <is>
          <t>NORRBOTTENS LÄN</t>
        </is>
      </c>
      <c r="E470" t="inlineStr">
        <is>
          <t>ARVIDSJAUR</t>
        </is>
      </c>
      <c r="F470" t="inlineStr">
        <is>
          <t>Allmännings- och besparingsskogar</t>
        </is>
      </c>
      <c r="G470" t="n">
        <v>6.1</v>
      </c>
      <c r="H470" t="n">
        <v>0</v>
      </c>
      <c r="I470" t="n">
        <v>0</v>
      </c>
      <c r="J470" t="n">
        <v>0</v>
      </c>
      <c r="K470" t="n">
        <v>0</v>
      </c>
      <c r="L470" t="n">
        <v>0</v>
      </c>
      <c r="M470" t="n">
        <v>0</v>
      </c>
      <c r="N470" t="n">
        <v>0</v>
      </c>
      <c r="O470" t="n">
        <v>0</v>
      </c>
      <c r="P470" t="n">
        <v>0</v>
      </c>
      <c r="Q470" t="n">
        <v>0</v>
      </c>
      <c r="R470" s="2" t="inlineStr"/>
    </row>
    <row r="471" ht="15" customHeight="1">
      <c r="A471" t="inlineStr">
        <is>
          <t>A 2970-2024</t>
        </is>
      </c>
      <c r="B471" s="1" t="n">
        <v>45315</v>
      </c>
      <c r="C471" s="1" t="n">
        <v>45473</v>
      </c>
      <c r="D471" t="inlineStr">
        <is>
          <t>NORRBOTTENS LÄN</t>
        </is>
      </c>
      <c r="E471" t="inlineStr">
        <is>
          <t>ARVIDSJAUR</t>
        </is>
      </c>
      <c r="F471" t="inlineStr">
        <is>
          <t>Allmännings- och besparingsskogar</t>
        </is>
      </c>
      <c r="G471" t="n">
        <v>1.5</v>
      </c>
      <c r="H471" t="n">
        <v>0</v>
      </c>
      <c r="I471" t="n">
        <v>0</v>
      </c>
      <c r="J471" t="n">
        <v>0</v>
      </c>
      <c r="K471" t="n">
        <v>0</v>
      </c>
      <c r="L471" t="n">
        <v>0</v>
      </c>
      <c r="M471" t="n">
        <v>0</v>
      </c>
      <c r="N471" t="n">
        <v>0</v>
      </c>
      <c r="O471" t="n">
        <v>0</v>
      </c>
      <c r="P471" t="n">
        <v>0</v>
      </c>
      <c r="Q471" t="n">
        <v>0</v>
      </c>
      <c r="R471" s="2" t="inlineStr"/>
    </row>
    <row r="472" ht="15" customHeight="1">
      <c r="A472" t="inlineStr">
        <is>
          <t>A 2962-2024</t>
        </is>
      </c>
      <c r="B472" s="1" t="n">
        <v>45315</v>
      </c>
      <c r="C472" s="1" t="n">
        <v>45473</v>
      </c>
      <c r="D472" t="inlineStr">
        <is>
          <t>NORRBOTTENS LÄN</t>
        </is>
      </c>
      <c r="E472" t="inlineStr">
        <is>
          <t>ARVIDSJAUR</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2905-2024</t>
        </is>
      </c>
      <c r="B473" s="1" t="n">
        <v>45315</v>
      </c>
      <c r="C473" s="1" t="n">
        <v>45473</v>
      </c>
      <c r="D473" t="inlineStr">
        <is>
          <t>NORRBOTTENS LÄN</t>
        </is>
      </c>
      <c r="E473" t="inlineStr">
        <is>
          <t>ARVIDSJAUR</t>
        </is>
      </c>
      <c r="F473" t="inlineStr">
        <is>
          <t>Allmännings- och besparingsskogar</t>
        </is>
      </c>
      <c r="G473" t="n">
        <v>13.7</v>
      </c>
      <c r="H473" t="n">
        <v>0</v>
      </c>
      <c r="I473" t="n">
        <v>0</v>
      </c>
      <c r="J473" t="n">
        <v>0</v>
      </c>
      <c r="K473" t="n">
        <v>0</v>
      </c>
      <c r="L473" t="n">
        <v>0</v>
      </c>
      <c r="M473" t="n">
        <v>0</v>
      </c>
      <c r="N473" t="n">
        <v>0</v>
      </c>
      <c r="O473" t="n">
        <v>0</v>
      </c>
      <c r="P473" t="n">
        <v>0</v>
      </c>
      <c r="Q473" t="n">
        <v>0</v>
      </c>
      <c r="R473" s="2" t="inlineStr"/>
    </row>
    <row r="474" ht="15" customHeight="1">
      <c r="A474" t="inlineStr">
        <is>
          <t>A 2895-2024</t>
        </is>
      </c>
      <c r="B474" s="1" t="n">
        <v>45315</v>
      </c>
      <c r="C474" s="1" t="n">
        <v>45473</v>
      </c>
      <c r="D474" t="inlineStr">
        <is>
          <t>NORRBOTTENS LÄN</t>
        </is>
      </c>
      <c r="E474" t="inlineStr">
        <is>
          <t>ARVIDSJAUR</t>
        </is>
      </c>
      <c r="F474" t="inlineStr">
        <is>
          <t>Allmännings- och besparingsskogar</t>
        </is>
      </c>
      <c r="G474" t="n">
        <v>6</v>
      </c>
      <c r="H474" t="n">
        <v>0</v>
      </c>
      <c r="I474" t="n">
        <v>0</v>
      </c>
      <c r="J474" t="n">
        <v>0</v>
      </c>
      <c r="K474" t="n">
        <v>0</v>
      </c>
      <c r="L474" t="n">
        <v>0</v>
      </c>
      <c r="M474" t="n">
        <v>0</v>
      </c>
      <c r="N474" t="n">
        <v>0</v>
      </c>
      <c r="O474" t="n">
        <v>0</v>
      </c>
      <c r="P474" t="n">
        <v>0</v>
      </c>
      <c r="Q474" t="n">
        <v>0</v>
      </c>
      <c r="R474" s="2" t="inlineStr"/>
    </row>
    <row r="475" ht="15" customHeight="1">
      <c r="A475" t="inlineStr">
        <is>
          <t>A 3034-2024</t>
        </is>
      </c>
      <c r="B475" s="1" t="n">
        <v>45316</v>
      </c>
      <c r="C475" s="1" t="n">
        <v>45473</v>
      </c>
      <c r="D475" t="inlineStr">
        <is>
          <t>NORRBOTTENS LÄN</t>
        </is>
      </c>
      <c r="E475" t="inlineStr">
        <is>
          <t>ARVIDSJAUR</t>
        </is>
      </c>
      <c r="F475" t="inlineStr">
        <is>
          <t>Allmännings- och besparingsskogar</t>
        </is>
      </c>
      <c r="G475" t="n">
        <v>3.9</v>
      </c>
      <c r="H475" t="n">
        <v>0</v>
      </c>
      <c r="I475" t="n">
        <v>0</v>
      </c>
      <c r="J475" t="n">
        <v>0</v>
      </c>
      <c r="K475" t="n">
        <v>0</v>
      </c>
      <c r="L475" t="n">
        <v>0</v>
      </c>
      <c r="M475" t="n">
        <v>0</v>
      </c>
      <c r="N475" t="n">
        <v>0</v>
      </c>
      <c r="O475" t="n">
        <v>0</v>
      </c>
      <c r="P475" t="n">
        <v>0</v>
      </c>
      <c r="Q475" t="n">
        <v>0</v>
      </c>
      <c r="R475" s="2" t="inlineStr"/>
    </row>
    <row r="476" ht="15" customHeight="1">
      <c r="A476" t="inlineStr">
        <is>
          <t>A 3199-2024</t>
        </is>
      </c>
      <c r="B476" s="1" t="n">
        <v>45316</v>
      </c>
      <c r="C476" s="1" t="n">
        <v>45473</v>
      </c>
      <c r="D476" t="inlineStr">
        <is>
          <t>NORRBOTTENS LÄN</t>
        </is>
      </c>
      <c r="E476" t="inlineStr">
        <is>
          <t>ARVIDSJAUR</t>
        </is>
      </c>
      <c r="F476" t="inlineStr">
        <is>
          <t>Allmännings- och besparingsskogar</t>
        </is>
      </c>
      <c r="G476" t="n">
        <v>13.3</v>
      </c>
      <c r="H476" t="n">
        <v>0</v>
      </c>
      <c r="I476" t="n">
        <v>0</v>
      </c>
      <c r="J476" t="n">
        <v>0</v>
      </c>
      <c r="K476" t="n">
        <v>0</v>
      </c>
      <c r="L476" t="n">
        <v>0</v>
      </c>
      <c r="M476" t="n">
        <v>0</v>
      </c>
      <c r="N476" t="n">
        <v>0</v>
      </c>
      <c r="O476" t="n">
        <v>0</v>
      </c>
      <c r="P476" t="n">
        <v>0</v>
      </c>
      <c r="Q476" t="n">
        <v>0</v>
      </c>
      <c r="R476" s="2" t="inlineStr"/>
    </row>
    <row r="477" ht="15" customHeight="1">
      <c r="A477" t="inlineStr">
        <is>
          <t>A 3203-2024</t>
        </is>
      </c>
      <c r="B477" s="1" t="n">
        <v>45316</v>
      </c>
      <c r="C477" s="1" t="n">
        <v>45473</v>
      </c>
      <c r="D477" t="inlineStr">
        <is>
          <t>NORRBOTTENS LÄN</t>
        </is>
      </c>
      <c r="E477" t="inlineStr">
        <is>
          <t>ARVIDSJAUR</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45473</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3201-2024</t>
        </is>
      </c>
      <c r="B479" s="1" t="n">
        <v>45316</v>
      </c>
      <c r="C479" s="1" t="n">
        <v>45473</v>
      </c>
      <c r="D479" t="inlineStr">
        <is>
          <t>NORRBOTTENS LÄN</t>
        </is>
      </c>
      <c r="E479" t="inlineStr">
        <is>
          <t>ARVIDSJAUR</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3165-2024</t>
        </is>
      </c>
      <c r="B480" s="1" t="n">
        <v>45316</v>
      </c>
      <c r="C480" s="1" t="n">
        <v>45473</v>
      </c>
      <c r="D480" t="inlineStr">
        <is>
          <t>NORRBOTTENS LÄN</t>
        </is>
      </c>
      <c r="E480" t="inlineStr">
        <is>
          <t>ARVIDSJAUR</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3206-2024</t>
        </is>
      </c>
      <c r="B481" s="1" t="n">
        <v>45316</v>
      </c>
      <c r="C481" s="1" t="n">
        <v>45473</v>
      </c>
      <c r="D481" t="inlineStr">
        <is>
          <t>NORRBOTTENS LÄN</t>
        </is>
      </c>
      <c r="E481" t="inlineStr">
        <is>
          <t>ARVIDSJAUR</t>
        </is>
      </c>
      <c r="F481" t="inlineStr">
        <is>
          <t>Allmännings- och besparingsskogar</t>
        </is>
      </c>
      <c r="G481" t="n">
        <v>15.1</v>
      </c>
      <c r="H481" t="n">
        <v>0</v>
      </c>
      <c r="I481" t="n">
        <v>0</v>
      </c>
      <c r="J481" t="n">
        <v>0</v>
      </c>
      <c r="K481" t="n">
        <v>0</v>
      </c>
      <c r="L481" t="n">
        <v>0</v>
      </c>
      <c r="M481" t="n">
        <v>0</v>
      </c>
      <c r="N481" t="n">
        <v>0</v>
      </c>
      <c r="O481" t="n">
        <v>0</v>
      </c>
      <c r="P481" t="n">
        <v>0</v>
      </c>
      <c r="Q481" t="n">
        <v>0</v>
      </c>
      <c r="R481" s="2" t="inlineStr"/>
    </row>
    <row r="482" ht="15" customHeight="1">
      <c r="A482" t="inlineStr">
        <is>
          <t>A 3258-2024</t>
        </is>
      </c>
      <c r="B482" s="1" t="n">
        <v>45316</v>
      </c>
      <c r="C482" s="1" t="n">
        <v>45473</v>
      </c>
      <c r="D482" t="inlineStr">
        <is>
          <t>NORRBOTTENS LÄN</t>
        </is>
      </c>
      <c r="E482" t="inlineStr">
        <is>
          <t>ARVIDSJAUR</t>
        </is>
      </c>
      <c r="F482" t="inlineStr">
        <is>
          <t>Allmännings- och besparingsskogar</t>
        </is>
      </c>
      <c r="G482" t="n">
        <v>9.1</v>
      </c>
      <c r="H482" t="n">
        <v>0</v>
      </c>
      <c r="I482" t="n">
        <v>0</v>
      </c>
      <c r="J482" t="n">
        <v>0</v>
      </c>
      <c r="K482" t="n">
        <v>0</v>
      </c>
      <c r="L482" t="n">
        <v>0</v>
      </c>
      <c r="M482" t="n">
        <v>0</v>
      </c>
      <c r="N482" t="n">
        <v>0</v>
      </c>
      <c r="O482" t="n">
        <v>0</v>
      </c>
      <c r="P482" t="n">
        <v>0</v>
      </c>
      <c r="Q482" t="n">
        <v>0</v>
      </c>
      <c r="R482" s="2" t="inlineStr"/>
    </row>
    <row r="483" ht="15" customHeight="1">
      <c r="A483" t="inlineStr">
        <is>
          <t>A 3274-2024</t>
        </is>
      </c>
      <c r="B483" s="1" t="n">
        <v>45316</v>
      </c>
      <c r="C483" s="1" t="n">
        <v>45473</v>
      </c>
      <c r="D483" t="inlineStr">
        <is>
          <t>NORRBOTTENS LÄN</t>
        </is>
      </c>
      <c r="E483" t="inlineStr">
        <is>
          <t>ARVIDSJAUR</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3266-2024</t>
        </is>
      </c>
      <c r="B484" s="1" t="n">
        <v>45316</v>
      </c>
      <c r="C484" s="1" t="n">
        <v>45473</v>
      </c>
      <c r="D484" t="inlineStr">
        <is>
          <t>NORRBOTTENS LÄN</t>
        </is>
      </c>
      <c r="E484" t="inlineStr">
        <is>
          <t>ARVIDSJAUR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3262-2024</t>
        </is>
      </c>
      <c r="B485" s="1" t="n">
        <v>45316</v>
      </c>
      <c r="C485" s="1" t="n">
        <v>45473</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3265-2024</t>
        </is>
      </c>
      <c r="B486" s="1" t="n">
        <v>45316</v>
      </c>
      <c r="C486" s="1" t="n">
        <v>45473</v>
      </c>
      <c r="D486" t="inlineStr">
        <is>
          <t>NORRBOTTENS LÄN</t>
        </is>
      </c>
      <c r="E486" t="inlineStr">
        <is>
          <t>ARVIDSJAUR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3299-2024</t>
        </is>
      </c>
      <c r="B487" s="1" t="n">
        <v>45316</v>
      </c>
      <c r="C487" s="1" t="n">
        <v>45473</v>
      </c>
      <c r="D487" t="inlineStr">
        <is>
          <t>NORRBOTTENS LÄN</t>
        </is>
      </c>
      <c r="E487" t="inlineStr">
        <is>
          <t>ARVIDSJAUR</t>
        </is>
      </c>
      <c r="F487" t="inlineStr">
        <is>
          <t>Allmännings- och besparingsskogar</t>
        </is>
      </c>
      <c r="G487" t="n">
        <v>5</v>
      </c>
      <c r="H487" t="n">
        <v>0</v>
      </c>
      <c r="I487" t="n">
        <v>0</v>
      </c>
      <c r="J487" t="n">
        <v>0</v>
      </c>
      <c r="K487" t="n">
        <v>0</v>
      </c>
      <c r="L487" t="n">
        <v>0</v>
      </c>
      <c r="M487" t="n">
        <v>0</v>
      </c>
      <c r="N487" t="n">
        <v>0</v>
      </c>
      <c r="O487" t="n">
        <v>0</v>
      </c>
      <c r="P487" t="n">
        <v>0</v>
      </c>
      <c r="Q487" t="n">
        <v>0</v>
      </c>
      <c r="R487" s="2" t="inlineStr"/>
    </row>
    <row r="488" ht="15" customHeight="1">
      <c r="A488" t="inlineStr">
        <is>
          <t>A 3343-2024</t>
        </is>
      </c>
      <c r="B488" s="1" t="n">
        <v>45317</v>
      </c>
      <c r="C488" s="1" t="n">
        <v>45473</v>
      </c>
      <c r="D488" t="inlineStr">
        <is>
          <t>NORRBOTTENS LÄN</t>
        </is>
      </c>
      <c r="E488" t="inlineStr">
        <is>
          <t>ARVIDSJAUR</t>
        </is>
      </c>
      <c r="G488" t="n">
        <v>10.9</v>
      </c>
      <c r="H488" t="n">
        <v>0</v>
      </c>
      <c r="I488" t="n">
        <v>0</v>
      </c>
      <c r="J488" t="n">
        <v>0</v>
      </c>
      <c r="K488" t="n">
        <v>0</v>
      </c>
      <c r="L488" t="n">
        <v>0</v>
      </c>
      <c r="M488" t="n">
        <v>0</v>
      </c>
      <c r="N488" t="n">
        <v>0</v>
      </c>
      <c r="O488" t="n">
        <v>0</v>
      </c>
      <c r="P488" t="n">
        <v>0</v>
      </c>
      <c r="Q488" t="n">
        <v>0</v>
      </c>
      <c r="R488" s="2" t="inlineStr"/>
    </row>
    <row r="489" ht="15" customHeight="1">
      <c r="A489" t="inlineStr">
        <is>
          <t>A 4539-2024</t>
        </is>
      </c>
      <c r="B489" s="1" t="n">
        <v>45327</v>
      </c>
      <c r="C489" s="1" t="n">
        <v>45473</v>
      </c>
      <c r="D489" t="inlineStr">
        <is>
          <t>NORRBOTTENS LÄN</t>
        </is>
      </c>
      <c r="E489" t="inlineStr">
        <is>
          <t>ARVIDSJAUR</t>
        </is>
      </c>
      <c r="G489" t="n">
        <v>5.4</v>
      </c>
      <c r="H489" t="n">
        <v>0</v>
      </c>
      <c r="I489" t="n">
        <v>0</v>
      </c>
      <c r="J489" t="n">
        <v>0</v>
      </c>
      <c r="K489" t="n">
        <v>0</v>
      </c>
      <c r="L489" t="n">
        <v>0</v>
      </c>
      <c r="M489" t="n">
        <v>0</v>
      </c>
      <c r="N489" t="n">
        <v>0</v>
      </c>
      <c r="O489" t="n">
        <v>0</v>
      </c>
      <c r="P489" t="n">
        <v>0</v>
      </c>
      <c r="Q489" t="n">
        <v>0</v>
      </c>
      <c r="R489" s="2" t="inlineStr"/>
    </row>
    <row r="490" ht="15" customHeight="1">
      <c r="A490" t="inlineStr">
        <is>
          <t>A 4934-2024</t>
        </is>
      </c>
      <c r="B490" s="1" t="n">
        <v>45329</v>
      </c>
      <c r="C490" s="1" t="n">
        <v>45473</v>
      </c>
      <c r="D490" t="inlineStr">
        <is>
          <t>NORRBOTTENS LÄN</t>
        </is>
      </c>
      <c r="E490" t="inlineStr">
        <is>
          <t>ARVIDSJAUR</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4937-2024</t>
        </is>
      </c>
      <c r="B491" s="1" t="n">
        <v>45329</v>
      </c>
      <c r="C491" s="1" t="n">
        <v>45473</v>
      </c>
      <c r="D491" t="inlineStr">
        <is>
          <t>NORRBOTTENS LÄN</t>
        </is>
      </c>
      <c r="E491" t="inlineStr">
        <is>
          <t>ARVIDSJAUR</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4989-2024</t>
        </is>
      </c>
      <c r="B492" s="1" t="n">
        <v>45329</v>
      </c>
      <c r="C492" s="1" t="n">
        <v>45473</v>
      </c>
      <c r="D492" t="inlineStr">
        <is>
          <t>NORRBOTTENS LÄN</t>
        </is>
      </c>
      <c r="E492" t="inlineStr">
        <is>
          <t>ARVIDSJAUR</t>
        </is>
      </c>
      <c r="F492" t="inlineStr">
        <is>
          <t>Sveaskog</t>
        </is>
      </c>
      <c r="G492" t="n">
        <v>57.4</v>
      </c>
      <c r="H492" t="n">
        <v>0</v>
      </c>
      <c r="I492" t="n">
        <v>0</v>
      </c>
      <c r="J492" t="n">
        <v>0</v>
      </c>
      <c r="K492" t="n">
        <v>0</v>
      </c>
      <c r="L492" t="n">
        <v>0</v>
      </c>
      <c r="M492" t="n">
        <v>0</v>
      </c>
      <c r="N492" t="n">
        <v>0</v>
      </c>
      <c r="O492" t="n">
        <v>0</v>
      </c>
      <c r="P492" t="n">
        <v>0</v>
      </c>
      <c r="Q492" t="n">
        <v>0</v>
      </c>
      <c r="R492" s="2" t="inlineStr"/>
    </row>
    <row r="493" ht="15" customHeight="1">
      <c r="A493" t="inlineStr">
        <is>
          <t>A 4935-2024</t>
        </is>
      </c>
      <c r="B493" s="1" t="n">
        <v>45329</v>
      </c>
      <c r="C493" s="1" t="n">
        <v>45473</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5210-2024</t>
        </is>
      </c>
      <c r="B494" s="1" t="n">
        <v>45330</v>
      </c>
      <c r="C494" s="1" t="n">
        <v>45473</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5197-2024</t>
        </is>
      </c>
      <c r="B495" s="1" t="n">
        <v>45330</v>
      </c>
      <c r="C495" s="1" t="n">
        <v>45473</v>
      </c>
      <c r="D495" t="inlineStr">
        <is>
          <t>NORRBOTTENS LÄN</t>
        </is>
      </c>
      <c r="E495" t="inlineStr">
        <is>
          <t>ARVIDSJAUR</t>
        </is>
      </c>
      <c r="G495" t="n">
        <v>4.1</v>
      </c>
      <c r="H495" t="n">
        <v>0</v>
      </c>
      <c r="I495" t="n">
        <v>0</v>
      </c>
      <c r="J495" t="n">
        <v>0</v>
      </c>
      <c r="K495" t="n">
        <v>0</v>
      </c>
      <c r="L495" t="n">
        <v>0</v>
      </c>
      <c r="M495" t="n">
        <v>0</v>
      </c>
      <c r="N495" t="n">
        <v>0</v>
      </c>
      <c r="O495" t="n">
        <v>0</v>
      </c>
      <c r="P495" t="n">
        <v>0</v>
      </c>
      <c r="Q495" t="n">
        <v>0</v>
      </c>
      <c r="R495" s="2" t="inlineStr"/>
    </row>
    <row r="496" ht="15" customHeight="1">
      <c r="A496" t="inlineStr">
        <is>
          <t>A 5702-2024</t>
        </is>
      </c>
      <c r="B496" s="1" t="n">
        <v>45334</v>
      </c>
      <c r="C496" s="1" t="n">
        <v>45473</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6574-2024</t>
        </is>
      </c>
      <c r="B497" s="1" t="n">
        <v>45341</v>
      </c>
      <c r="C497" s="1" t="n">
        <v>45473</v>
      </c>
      <c r="D497" t="inlineStr">
        <is>
          <t>NORRBOTTENS LÄN</t>
        </is>
      </c>
      <c r="E497" t="inlineStr">
        <is>
          <t>ARVIDSJAUR</t>
        </is>
      </c>
      <c r="F497" t="inlineStr">
        <is>
          <t>Sveaskog</t>
        </is>
      </c>
      <c r="G497" t="n">
        <v>27.1</v>
      </c>
      <c r="H497" t="n">
        <v>0</v>
      </c>
      <c r="I497" t="n">
        <v>0</v>
      </c>
      <c r="J497" t="n">
        <v>0</v>
      </c>
      <c r="K497" t="n">
        <v>0</v>
      </c>
      <c r="L497" t="n">
        <v>0</v>
      </c>
      <c r="M497" t="n">
        <v>0</v>
      </c>
      <c r="N497" t="n">
        <v>0</v>
      </c>
      <c r="O497" t="n">
        <v>0</v>
      </c>
      <c r="P497" t="n">
        <v>0</v>
      </c>
      <c r="Q497" t="n">
        <v>0</v>
      </c>
      <c r="R497" s="2" t="inlineStr"/>
    </row>
    <row r="498" ht="15" customHeight="1">
      <c r="A498" t="inlineStr">
        <is>
          <t>A 6862-2024</t>
        </is>
      </c>
      <c r="B498" s="1" t="n">
        <v>45342</v>
      </c>
      <c r="C498" s="1" t="n">
        <v>45473</v>
      </c>
      <c r="D498" t="inlineStr">
        <is>
          <t>NORRBOTTENS LÄN</t>
        </is>
      </c>
      <c r="E498" t="inlineStr">
        <is>
          <t>ARVIDSJAUR</t>
        </is>
      </c>
      <c r="G498" t="n">
        <v>8.5</v>
      </c>
      <c r="H498" t="n">
        <v>0</v>
      </c>
      <c r="I498" t="n">
        <v>0</v>
      </c>
      <c r="J498" t="n">
        <v>0</v>
      </c>
      <c r="K498" t="n">
        <v>0</v>
      </c>
      <c r="L498" t="n">
        <v>0</v>
      </c>
      <c r="M498" t="n">
        <v>0</v>
      </c>
      <c r="N498" t="n">
        <v>0</v>
      </c>
      <c r="O498" t="n">
        <v>0</v>
      </c>
      <c r="P498" t="n">
        <v>0</v>
      </c>
      <c r="Q498" t="n">
        <v>0</v>
      </c>
      <c r="R498" s="2" t="inlineStr"/>
    </row>
    <row r="499" ht="15" customHeight="1">
      <c r="A499" t="inlineStr">
        <is>
          <t>A 7790-2024</t>
        </is>
      </c>
      <c r="B499" s="1" t="n">
        <v>45348</v>
      </c>
      <c r="C499" s="1" t="n">
        <v>45473</v>
      </c>
      <c r="D499" t="inlineStr">
        <is>
          <t>NORRBOTTENS LÄN</t>
        </is>
      </c>
      <c r="E499" t="inlineStr">
        <is>
          <t>ARVIDSJAUR</t>
        </is>
      </c>
      <c r="G499" t="n">
        <v>7.7</v>
      </c>
      <c r="H499" t="n">
        <v>0</v>
      </c>
      <c r="I499" t="n">
        <v>0</v>
      </c>
      <c r="J499" t="n">
        <v>0</v>
      </c>
      <c r="K499" t="n">
        <v>0</v>
      </c>
      <c r="L499" t="n">
        <v>0</v>
      </c>
      <c r="M499" t="n">
        <v>0</v>
      </c>
      <c r="N499" t="n">
        <v>0</v>
      </c>
      <c r="O499" t="n">
        <v>0</v>
      </c>
      <c r="P499" t="n">
        <v>0</v>
      </c>
      <c r="Q499" t="n">
        <v>0</v>
      </c>
      <c r="R499" s="2" t="inlineStr"/>
    </row>
    <row r="500" ht="15" customHeight="1">
      <c r="A500" t="inlineStr">
        <is>
          <t>A 9621-2024</t>
        </is>
      </c>
      <c r="B500" s="1" t="n">
        <v>45361</v>
      </c>
      <c r="C500" s="1" t="n">
        <v>45473</v>
      </c>
      <c r="D500" t="inlineStr">
        <is>
          <t>NORRBOTTENS LÄN</t>
        </is>
      </c>
      <c r="E500" t="inlineStr">
        <is>
          <t>ARVIDSJAUR</t>
        </is>
      </c>
      <c r="G500" t="n">
        <v>0.4</v>
      </c>
      <c r="H500" t="n">
        <v>0</v>
      </c>
      <c r="I500" t="n">
        <v>0</v>
      </c>
      <c r="J500" t="n">
        <v>0</v>
      </c>
      <c r="K500" t="n">
        <v>0</v>
      </c>
      <c r="L500" t="n">
        <v>0</v>
      </c>
      <c r="M500" t="n">
        <v>0</v>
      </c>
      <c r="N500" t="n">
        <v>0</v>
      </c>
      <c r="O500" t="n">
        <v>0</v>
      </c>
      <c r="P500" t="n">
        <v>0</v>
      </c>
      <c r="Q500" t="n">
        <v>0</v>
      </c>
      <c r="R500" s="2" t="inlineStr"/>
    </row>
    <row r="501" ht="15" customHeight="1">
      <c r="A501" t="inlineStr">
        <is>
          <t>A 10130-2024</t>
        </is>
      </c>
      <c r="B501" s="1" t="n">
        <v>45364</v>
      </c>
      <c r="C501" s="1" t="n">
        <v>45473</v>
      </c>
      <c r="D501" t="inlineStr">
        <is>
          <t>NORRBOTTENS LÄN</t>
        </is>
      </c>
      <c r="E501" t="inlineStr">
        <is>
          <t>ARVIDSJAUR</t>
        </is>
      </c>
      <c r="F501" t="inlineStr">
        <is>
          <t>Sveaskog</t>
        </is>
      </c>
      <c r="G501" t="n">
        <v>22.5</v>
      </c>
      <c r="H501" t="n">
        <v>0</v>
      </c>
      <c r="I501" t="n">
        <v>0</v>
      </c>
      <c r="J501" t="n">
        <v>0</v>
      </c>
      <c r="K501" t="n">
        <v>0</v>
      </c>
      <c r="L501" t="n">
        <v>0</v>
      </c>
      <c r="M501" t="n">
        <v>0</v>
      </c>
      <c r="N501" t="n">
        <v>0</v>
      </c>
      <c r="O501" t="n">
        <v>0</v>
      </c>
      <c r="P501" t="n">
        <v>0</v>
      </c>
      <c r="Q501" t="n">
        <v>0</v>
      </c>
      <c r="R501" s="2" t="inlineStr"/>
    </row>
    <row r="502" ht="15" customHeight="1">
      <c r="A502" t="inlineStr">
        <is>
          <t>A 10126-2024</t>
        </is>
      </c>
      <c r="B502" s="1" t="n">
        <v>45364</v>
      </c>
      <c r="C502" s="1" t="n">
        <v>45473</v>
      </c>
      <c r="D502" t="inlineStr">
        <is>
          <t>NORRBOTTENS LÄN</t>
        </is>
      </c>
      <c r="E502" t="inlineStr">
        <is>
          <t>ARVIDSJAUR</t>
        </is>
      </c>
      <c r="F502" t="inlineStr">
        <is>
          <t>Sveaskog</t>
        </is>
      </c>
      <c r="G502" t="n">
        <v>19.8</v>
      </c>
      <c r="H502" t="n">
        <v>0</v>
      </c>
      <c r="I502" t="n">
        <v>0</v>
      </c>
      <c r="J502" t="n">
        <v>0</v>
      </c>
      <c r="K502" t="n">
        <v>0</v>
      </c>
      <c r="L502" t="n">
        <v>0</v>
      </c>
      <c r="M502" t="n">
        <v>0</v>
      </c>
      <c r="N502" t="n">
        <v>0</v>
      </c>
      <c r="O502" t="n">
        <v>0</v>
      </c>
      <c r="P502" t="n">
        <v>0</v>
      </c>
      <c r="Q502" t="n">
        <v>0</v>
      </c>
      <c r="R502" s="2" t="inlineStr"/>
    </row>
    <row r="503" ht="15" customHeight="1">
      <c r="A503" t="inlineStr">
        <is>
          <t>A 10243-2024</t>
        </is>
      </c>
      <c r="B503" s="1" t="n">
        <v>45365</v>
      </c>
      <c r="C503" s="1" t="n">
        <v>45473</v>
      </c>
      <c r="D503" t="inlineStr">
        <is>
          <t>NORRBOTTENS LÄN</t>
        </is>
      </c>
      <c r="E503" t="inlineStr">
        <is>
          <t>ARVIDSJAUR</t>
        </is>
      </c>
      <c r="F503" t="inlineStr">
        <is>
          <t>Sveaskog</t>
        </is>
      </c>
      <c r="G503" t="n">
        <v>7.5</v>
      </c>
      <c r="H503" t="n">
        <v>0</v>
      </c>
      <c r="I503" t="n">
        <v>0</v>
      </c>
      <c r="J503" t="n">
        <v>0</v>
      </c>
      <c r="K503" t="n">
        <v>0</v>
      </c>
      <c r="L503" t="n">
        <v>0</v>
      </c>
      <c r="M503" t="n">
        <v>0</v>
      </c>
      <c r="N503" t="n">
        <v>0</v>
      </c>
      <c r="O503" t="n">
        <v>0</v>
      </c>
      <c r="P503" t="n">
        <v>0</v>
      </c>
      <c r="Q503" t="n">
        <v>0</v>
      </c>
      <c r="R503" s="2" t="inlineStr"/>
    </row>
    <row r="504" ht="15" customHeight="1">
      <c r="A504" t="inlineStr">
        <is>
          <t>A 10538-2024</t>
        </is>
      </c>
      <c r="B504" s="1" t="n">
        <v>45366</v>
      </c>
      <c r="C504" s="1" t="n">
        <v>45473</v>
      </c>
      <c r="D504" t="inlineStr">
        <is>
          <t>NORRBOTTENS LÄN</t>
        </is>
      </c>
      <c r="E504" t="inlineStr">
        <is>
          <t>ARVIDSJAUR</t>
        </is>
      </c>
      <c r="G504" t="n">
        <v>4.8</v>
      </c>
      <c r="H504" t="n">
        <v>0</v>
      </c>
      <c r="I504" t="n">
        <v>0</v>
      </c>
      <c r="J504" t="n">
        <v>0</v>
      </c>
      <c r="K504" t="n">
        <v>0</v>
      </c>
      <c r="L504" t="n">
        <v>0</v>
      </c>
      <c r="M504" t="n">
        <v>0</v>
      </c>
      <c r="N504" t="n">
        <v>0</v>
      </c>
      <c r="O504" t="n">
        <v>0</v>
      </c>
      <c r="P504" t="n">
        <v>0</v>
      </c>
      <c r="Q504" t="n">
        <v>0</v>
      </c>
      <c r="R504" s="2" t="inlineStr"/>
    </row>
    <row r="505" ht="15" customHeight="1">
      <c r="A505" t="inlineStr">
        <is>
          <t>A 10846-2024</t>
        </is>
      </c>
      <c r="B505" s="1" t="n">
        <v>45369</v>
      </c>
      <c r="C505" s="1" t="n">
        <v>45473</v>
      </c>
      <c r="D505" t="inlineStr">
        <is>
          <t>NORRBOTTENS LÄN</t>
        </is>
      </c>
      <c r="E505" t="inlineStr">
        <is>
          <t>ARVIDSJAUR</t>
        </is>
      </c>
      <c r="G505" t="n">
        <v>5.9</v>
      </c>
      <c r="H505" t="n">
        <v>0</v>
      </c>
      <c r="I505" t="n">
        <v>0</v>
      </c>
      <c r="J505" t="n">
        <v>0</v>
      </c>
      <c r="K505" t="n">
        <v>0</v>
      </c>
      <c r="L505" t="n">
        <v>0</v>
      </c>
      <c r="M505" t="n">
        <v>0</v>
      </c>
      <c r="N505" t="n">
        <v>0</v>
      </c>
      <c r="O505" t="n">
        <v>0</v>
      </c>
      <c r="P505" t="n">
        <v>0</v>
      </c>
      <c r="Q505" t="n">
        <v>0</v>
      </c>
      <c r="R505" s="2" t="inlineStr"/>
    </row>
    <row r="506" ht="15" customHeight="1">
      <c r="A506" t="inlineStr">
        <is>
          <t>A 10845-2024</t>
        </is>
      </c>
      <c r="B506" s="1" t="n">
        <v>45369</v>
      </c>
      <c r="C506" s="1" t="n">
        <v>45473</v>
      </c>
      <c r="D506" t="inlineStr">
        <is>
          <t>NORRBOTTENS LÄN</t>
        </is>
      </c>
      <c r="E506" t="inlineStr">
        <is>
          <t>ARVIDSJAUR</t>
        </is>
      </c>
      <c r="G506" t="n">
        <v>1.9</v>
      </c>
      <c r="H506" t="n">
        <v>0</v>
      </c>
      <c r="I506" t="n">
        <v>0</v>
      </c>
      <c r="J506" t="n">
        <v>0</v>
      </c>
      <c r="K506" t="n">
        <v>0</v>
      </c>
      <c r="L506" t="n">
        <v>0</v>
      </c>
      <c r="M506" t="n">
        <v>0</v>
      </c>
      <c r="N506" t="n">
        <v>0</v>
      </c>
      <c r="O506" t="n">
        <v>0</v>
      </c>
      <c r="P506" t="n">
        <v>0</v>
      </c>
      <c r="Q506" t="n">
        <v>0</v>
      </c>
      <c r="R506" s="2" t="inlineStr"/>
    </row>
    <row r="507" ht="15" customHeight="1">
      <c r="A507" t="inlineStr">
        <is>
          <t>A 10848-2024</t>
        </is>
      </c>
      <c r="B507" s="1" t="n">
        <v>45369</v>
      </c>
      <c r="C507" s="1" t="n">
        <v>45473</v>
      </c>
      <c r="D507" t="inlineStr">
        <is>
          <t>NORRBOTTENS LÄN</t>
        </is>
      </c>
      <c r="E507" t="inlineStr">
        <is>
          <t>ARVIDSJAUR</t>
        </is>
      </c>
      <c r="G507" t="n">
        <v>3.5</v>
      </c>
      <c r="H507" t="n">
        <v>0</v>
      </c>
      <c r="I507" t="n">
        <v>0</v>
      </c>
      <c r="J507" t="n">
        <v>0</v>
      </c>
      <c r="K507" t="n">
        <v>0</v>
      </c>
      <c r="L507" t="n">
        <v>0</v>
      </c>
      <c r="M507" t="n">
        <v>0</v>
      </c>
      <c r="N507" t="n">
        <v>0</v>
      </c>
      <c r="O507" t="n">
        <v>0</v>
      </c>
      <c r="P507" t="n">
        <v>0</v>
      </c>
      <c r="Q507" t="n">
        <v>0</v>
      </c>
      <c r="R507" s="2" t="inlineStr"/>
    </row>
    <row r="508" ht="15" customHeight="1">
      <c r="A508" t="inlineStr">
        <is>
          <t>A 12062-2024</t>
        </is>
      </c>
      <c r="B508" s="1" t="n">
        <v>45376</v>
      </c>
      <c r="C508" s="1" t="n">
        <v>45473</v>
      </c>
      <c r="D508" t="inlineStr">
        <is>
          <t>NORRBOTTENS LÄN</t>
        </is>
      </c>
      <c r="E508" t="inlineStr">
        <is>
          <t>ARVIDSJAUR</t>
        </is>
      </c>
      <c r="F508" t="inlineStr">
        <is>
          <t>Allmännings- och besparingsskogar</t>
        </is>
      </c>
      <c r="G508" t="n">
        <v>3.3</v>
      </c>
      <c r="H508" t="n">
        <v>0</v>
      </c>
      <c r="I508" t="n">
        <v>0</v>
      </c>
      <c r="J508" t="n">
        <v>0</v>
      </c>
      <c r="K508" t="n">
        <v>0</v>
      </c>
      <c r="L508" t="n">
        <v>0</v>
      </c>
      <c r="M508" t="n">
        <v>0</v>
      </c>
      <c r="N508" t="n">
        <v>0</v>
      </c>
      <c r="O508" t="n">
        <v>0</v>
      </c>
      <c r="P508" t="n">
        <v>0</v>
      </c>
      <c r="Q508" t="n">
        <v>0</v>
      </c>
      <c r="R508" s="2" t="inlineStr"/>
    </row>
    <row r="509" ht="15" customHeight="1">
      <c r="A509" t="inlineStr">
        <is>
          <t>A 14977-2024</t>
        </is>
      </c>
      <c r="B509" s="1" t="n">
        <v>45398</v>
      </c>
      <c r="C509" s="1" t="n">
        <v>45473</v>
      </c>
      <c r="D509" t="inlineStr">
        <is>
          <t>NORRBOTTENS LÄN</t>
        </is>
      </c>
      <c r="E509" t="inlineStr">
        <is>
          <t>ARVIDSJAUR</t>
        </is>
      </c>
      <c r="F509" t="inlineStr">
        <is>
          <t>SCA</t>
        </is>
      </c>
      <c r="G509" t="n">
        <v>55.7</v>
      </c>
      <c r="H509" t="n">
        <v>0</v>
      </c>
      <c r="I509" t="n">
        <v>0</v>
      </c>
      <c r="J509" t="n">
        <v>0</v>
      </c>
      <c r="K509" t="n">
        <v>0</v>
      </c>
      <c r="L509" t="n">
        <v>0</v>
      </c>
      <c r="M509" t="n">
        <v>0</v>
      </c>
      <c r="N509" t="n">
        <v>0</v>
      </c>
      <c r="O509" t="n">
        <v>0</v>
      </c>
      <c r="P509" t="n">
        <v>0</v>
      </c>
      <c r="Q509" t="n">
        <v>0</v>
      </c>
      <c r="R509" s="2" t="inlineStr"/>
    </row>
    <row r="510" ht="15" customHeight="1">
      <c r="A510" t="inlineStr">
        <is>
          <t>A 15091-2024</t>
        </is>
      </c>
      <c r="B510" s="1" t="n">
        <v>45399</v>
      </c>
      <c r="C510" s="1" t="n">
        <v>45473</v>
      </c>
      <c r="D510" t="inlineStr">
        <is>
          <t>NORRBOTTENS LÄN</t>
        </is>
      </c>
      <c r="E510" t="inlineStr">
        <is>
          <t>ARVIDSJAUR</t>
        </is>
      </c>
      <c r="F510" t="inlineStr">
        <is>
          <t>Sveaskog</t>
        </is>
      </c>
      <c r="G510" t="n">
        <v>41.6</v>
      </c>
      <c r="H510" t="n">
        <v>0</v>
      </c>
      <c r="I510" t="n">
        <v>0</v>
      </c>
      <c r="J510" t="n">
        <v>0</v>
      </c>
      <c r="K510" t="n">
        <v>0</v>
      </c>
      <c r="L510" t="n">
        <v>0</v>
      </c>
      <c r="M510" t="n">
        <v>0</v>
      </c>
      <c r="N510" t="n">
        <v>0</v>
      </c>
      <c r="O510" t="n">
        <v>0</v>
      </c>
      <c r="P510" t="n">
        <v>0</v>
      </c>
      <c r="Q510" t="n">
        <v>0</v>
      </c>
      <c r="R510" s="2" t="inlineStr"/>
    </row>
    <row r="511" ht="15" customHeight="1">
      <c r="A511" t="inlineStr">
        <is>
          <t>A 15715-2024</t>
        </is>
      </c>
      <c r="B511" s="1" t="n">
        <v>45404</v>
      </c>
      <c r="C511" s="1" t="n">
        <v>45473</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16911-2024</t>
        </is>
      </c>
      <c r="B512" s="1" t="n">
        <v>45411</v>
      </c>
      <c r="C512" s="1" t="n">
        <v>45473</v>
      </c>
      <c r="D512" t="inlineStr">
        <is>
          <t>NORRBOTTENS LÄN</t>
        </is>
      </c>
      <c r="E512" t="inlineStr">
        <is>
          <t>ARVIDSJAUR</t>
        </is>
      </c>
      <c r="F512" t="inlineStr">
        <is>
          <t>Sveaskog</t>
        </is>
      </c>
      <c r="G512" t="n">
        <v>34.1</v>
      </c>
      <c r="H512" t="n">
        <v>0</v>
      </c>
      <c r="I512" t="n">
        <v>0</v>
      </c>
      <c r="J512" t="n">
        <v>0</v>
      </c>
      <c r="K512" t="n">
        <v>0</v>
      </c>
      <c r="L512" t="n">
        <v>0</v>
      </c>
      <c r="M512" t="n">
        <v>0</v>
      </c>
      <c r="N512" t="n">
        <v>0</v>
      </c>
      <c r="O512" t="n">
        <v>0</v>
      </c>
      <c r="P512" t="n">
        <v>0</v>
      </c>
      <c r="Q512" t="n">
        <v>0</v>
      </c>
      <c r="R512" s="2" t="inlineStr"/>
    </row>
    <row r="513" ht="15" customHeight="1">
      <c r="A513" t="inlineStr">
        <is>
          <t>A 17453-2024</t>
        </is>
      </c>
      <c r="B513" s="1" t="n">
        <v>45415</v>
      </c>
      <c r="C513" s="1" t="n">
        <v>45473</v>
      </c>
      <c r="D513" t="inlineStr">
        <is>
          <t>NORRBOTTENS LÄN</t>
        </is>
      </c>
      <c r="E513" t="inlineStr">
        <is>
          <t>ARVIDSJAUR</t>
        </is>
      </c>
      <c r="G513" t="n">
        <v>3.7</v>
      </c>
      <c r="H513" t="n">
        <v>0</v>
      </c>
      <c r="I513" t="n">
        <v>0</v>
      </c>
      <c r="J513" t="n">
        <v>0</v>
      </c>
      <c r="K513" t="n">
        <v>0</v>
      </c>
      <c r="L513" t="n">
        <v>0</v>
      </c>
      <c r="M513" t="n">
        <v>0</v>
      </c>
      <c r="N513" t="n">
        <v>0</v>
      </c>
      <c r="O513" t="n">
        <v>0</v>
      </c>
      <c r="P513" t="n">
        <v>0</v>
      </c>
      <c r="Q513" t="n">
        <v>0</v>
      </c>
      <c r="R513" s="2" t="inlineStr"/>
    </row>
    <row r="514" ht="15" customHeight="1">
      <c r="A514" t="inlineStr">
        <is>
          <t>A 18785-2024</t>
        </is>
      </c>
      <c r="B514" s="1" t="n">
        <v>45426</v>
      </c>
      <c r="C514" s="1" t="n">
        <v>45473</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18780-2024</t>
        </is>
      </c>
      <c r="B515" s="1" t="n">
        <v>45426</v>
      </c>
      <c r="C515" s="1" t="n">
        <v>45473</v>
      </c>
      <c r="D515" t="inlineStr">
        <is>
          <t>NORRBOTTENS LÄN</t>
        </is>
      </c>
      <c r="E515" t="inlineStr">
        <is>
          <t>ARVIDSJAUR</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20582-2024</t>
        </is>
      </c>
      <c r="B516" s="1" t="n">
        <v>45436</v>
      </c>
      <c r="C516" s="1" t="n">
        <v>45473</v>
      </c>
      <c r="D516" t="inlineStr">
        <is>
          <t>NORRBOTTENS LÄN</t>
        </is>
      </c>
      <c r="E516" t="inlineStr">
        <is>
          <t>ARVIDSJAUR</t>
        </is>
      </c>
      <c r="F516" t="inlineStr">
        <is>
          <t>Sveaskog</t>
        </is>
      </c>
      <c r="G516" t="n">
        <v>12.4</v>
      </c>
      <c r="H516" t="n">
        <v>0</v>
      </c>
      <c r="I516" t="n">
        <v>0</v>
      </c>
      <c r="J516" t="n">
        <v>0</v>
      </c>
      <c r="K516" t="n">
        <v>0</v>
      </c>
      <c r="L516" t="n">
        <v>0</v>
      </c>
      <c r="M516" t="n">
        <v>0</v>
      </c>
      <c r="N516" t="n">
        <v>0</v>
      </c>
      <c r="O516" t="n">
        <v>0</v>
      </c>
      <c r="P516" t="n">
        <v>0</v>
      </c>
      <c r="Q516" t="n">
        <v>0</v>
      </c>
      <c r="R516" s="2" t="inlineStr"/>
    </row>
    <row r="517" ht="15" customHeight="1">
      <c r="A517" t="inlineStr">
        <is>
          <t>A 20574-2024</t>
        </is>
      </c>
      <c r="B517" s="1" t="n">
        <v>45436</v>
      </c>
      <c r="C517" s="1" t="n">
        <v>45473</v>
      </c>
      <c r="D517" t="inlineStr">
        <is>
          <t>NORRBOTTENS LÄN</t>
        </is>
      </c>
      <c r="E517" t="inlineStr">
        <is>
          <t>ARVIDSJAUR</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20593-2024</t>
        </is>
      </c>
      <c r="B518" s="1" t="n">
        <v>45436</v>
      </c>
      <c r="C518" s="1" t="n">
        <v>45473</v>
      </c>
      <c r="D518" t="inlineStr">
        <is>
          <t>NORRBOTTENS LÄN</t>
        </is>
      </c>
      <c r="E518" t="inlineStr">
        <is>
          <t>ARVIDSJAUR</t>
        </is>
      </c>
      <c r="F518" t="inlineStr">
        <is>
          <t>Sveaskog</t>
        </is>
      </c>
      <c r="G518" t="n">
        <v>7.1</v>
      </c>
      <c r="H518" t="n">
        <v>0</v>
      </c>
      <c r="I518" t="n">
        <v>0</v>
      </c>
      <c r="J518" t="n">
        <v>0</v>
      </c>
      <c r="K518" t="n">
        <v>0</v>
      </c>
      <c r="L518" t="n">
        <v>0</v>
      </c>
      <c r="M518" t="n">
        <v>0</v>
      </c>
      <c r="N518" t="n">
        <v>0</v>
      </c>
      <c r="O518" t="n">
        <v>0</v>
      </c>
      <c r="P518" t="n">
        <v>0</v>
      </c>
      <c r="Q518" t="n">
        <v>0</v>
      </c>
      <c r="R518" s="2" t="inlineStr"/>
    </row>
    <row r="519" ht="15" customHeight="1">
      <c r="A519" t="inlineStr">
        <is>
          <t>A 20573-2024</t>
        </is>
      </c>
      <c r="B519" s="1" t="n">
        <v>45436</v>
      </c>
      <c r="C519" s="1" t="n">
        <v>45473</v>
      </c>
      <c r="D519" t="inlineStr">
        <is>
          <t>NORRBOTTENS LÄN</t>
        </is>
      </c>
      <c r="E519" t="inlineStr">
        <is>
          <t>ARVIDSJAUR</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20811-2024</t>
        </is>
      </c>
      <c r="B520" s="1" t="n">
        <v>45439</v>
      </c>
      <c r="C520" s="1" t="n">
        <v>45473</v>
      </c>
      <c r="D520" t="inlineStr">
        <is>
          <t>NORRBOTTENS LÄN</t>
        </is>
      </c>
      <c r="E520" t="inlineStr">
        <is>
          <t>ARVIDSJAUR</t>
        </is>
      </c>
      <c r="G520" t="n">
        <v>1.6</v>
      </c>
      <c r="H520" t="n">
        <v>0</v>
      </c>
      <c r="I520" t="n">
        <v>0</v>
      </c>
      <c r="J520" t="n">
        <v>0</v>
      </c>
      <c r="K520" t="n">
        <v>0</v>
      </c>
      <c r="L520" t="n">
        <v>0</v>
      </c>
      <c r="M520" t="n">
        <v>0</v>
      </c>
      <c r="N520" t="n">
        <v>0</v>
      </c>
      <c r="O520" t="n">
        <v>0</v>
      </c>
      <c r="P520" t="n">
        <v>0</v>
      </c>
      <c r="Q520" t="n">
        <v>0</v>
      </c>
      <c r="R520" s="2" t="inlineStr"/>
    </row>
    <row r="521" ht="15" customHeight="1">
      <c r="A521" t="inlineStr">
        <is>
          <t>A 21358-2024</t>
        </is>
      </c>
      <c r="B521" s="1" t="n">
        <v>45440</v>
      </c>
      <c r="C521" s="1" t="n">
        <v>45473</v>
      </c>
      <c r="D521" t="inlineStr">
        <is>
          <t>NORRBOTTENS LÄN</t>
        </is>
      </c>
      <c r="E521" t="inlineStr">
        <is>
          <t>ARVIDSJAUR</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21704-2024</t>
        </is>
      </c>
      <c r="B522" s="1" t="n">
        <v>45442</v>
      </c>
      <c r="C522" s="1" t="n">
        <v>45473</v>
      </c>
      <c r="D522" t="inlineStr">
        <is>
          <t>NORRBOTTENS LÄN</t>
        </is>
      </c>
      <c r="E522" t="inlineStr">
        <is>
          <t>ARVIDSJAUR</t>
        </is>
      </c>
      <c r="G522" t="n">
        <v>3.1</v>
      </c>
      <c r="H522" t="n">
        <v>0</v>
      </c>
      <c r="I522" t="n">
        <v>0</v>
      </c>
      <c r="J522" t="n">
        <v>0</v>
      </c>
      <c r="K522" t="n">
        <v>0</v>
      </c>
      <c r="L522" t="n">
        <v>0</v>
      </c>
      <c r="M522" t="n">
        <v>0</v>
      </c>
      <c r="N522" t="n">
        <v>0</v>
      </c>
      <c r="O522" t="n">
        <v>0</v>
      </c>
      <c r="P522" t="n">
        <v>0</v>
      </c>
      <c r="Q522" t="n">
        <v>0</v>
      </c>
      <c r="R522" s="2" t="inlineStr"/>
    </row>
    <row r="523" ht="15" customHeight="1">
      <c r="A523" t="inlineStr">
        <is>
          <t>A 22691-2024</t>
        </is>
      </c>
      <c r="B523" s="1" t="n">
        <v>45448</v>
      </c>
      <c r="C523" s="1" t="n">
        <v>45473</v>
      </c>
      <c r="D523" t="inlineStr">
        <is>
          <t>NORRBOTTENS LÄN</t>
        </is>
      </c>
      <c r="E523" t="inlineStr">
        <is>
          <t>ARVIDSJAUR</t>
        </is>
      </c>
      <c r="F523" t="inlineStr">
        <is>
          <t>Sveaskog</t>
        </is>
      </c>
      <c r="G523" t="n">
        <v>11.2</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45473</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45473</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22996-2024</t>
        </is>
      </c>
      <c r="B526" s="1" t="n">
        <v>45450</v>
      </c>
      <c r="C526" s="1" t="n">
        <v>45473</v>
      </c>
      <c r="D526" t="inlineStr">
        <is>
          <t>NORRBOTTENS LÄN</t>
        </is>
      </c>
      <c r="E526" t="inlineStr">
        <is>
          <t>ARVIDSJAUR</t>
        </is>
      </c>
      <c r="F526" t="inlineStr">
        <is>
          <t>Sveaskog</t>
        </is>
      </c>
      <c r="G526" t="n">
        <v>8.9</v>
      </c>
      <c r="H526" t="n">
        <v>0</v>
      </c>
      <c r="I526" t="n">
        <v>0</v>
      </c>
      <c r="J526" t="n">
        <v>0</v>
      </c>
      <c r="K526" t="n">
        <v>0</v>
      </c>
      <c r="L526" t="n">
        <v>0</v>
      </c>
      <c r="M526" t="n">
        <v>0</v>
      </c>
      <c r="N526" t="n">
        <v>0</v>
      </c>
      <c r="O526" t="n">
        <v>0</v>
      </c>
      <c r="P526" t="n">
        <v>0</v>
      </c>
      <c r="Q526" t="n">
        <v>0</v>
      </c>
      <c r="R526" s="2" t="inlineStr"/>
    </row>
    <row r="527" ht="15" customHeight="1">
      <c r="A527" t="inlineStr">
        <is>
          <t>A 22997-2024</t>
        </is>
      </c>
      <c r="B527" s="1" t="n">
        <v>45450</v>
      </c>
      <c r="C527" s="1" t="n">
        <v>45473</v>
      </c>
      <c r="D527" t="inlineStr">
        <is>
          <t>NORRBOTTENS LÄN</t>
        </is>
      </c>
      <c r="E527" t="inlineStr">
        <is>
          <t>ARVIDSJAUR</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23589-2024</t>
        </is>
      </c>
      <c r="B528" s="1" t="n">
        <v>45454</v>
      </c>
      <c r="C528" s="1" t="n">
        <v>45473</v>
      </c>
      <c r="D528" t="inlineStr">
        <is>
          <t>NORRBOTTENS LÄN</t>
        </is>
      </c>
      <c r="E528" t="inlineStr">
        <is>
          <t>ARVIDSJAUR</t>
        </is>
      </c>
      <c r="G528" t="n">
        <v>9.5</v>
      </c>
      <c r="H528" t="n">
        <v>0</v>
      </c>
      <c r="I528" t="n">
        <v>0</v>
      </c>
      <c r="J528" t="n">
        <v>0</v>
      </c>
      <c r="K528" t="n">
        <v>0</v>
      </c>
      <c r="L528" t="n">
        <v>0</v>
      </c>
      <c r="M528" t="n">
        <v>0</v>
      </c>
      <c r="N528" t="n">
        <v>0</v>
      </c>
      <c r="O528" t="n">
        <v>0</v>
      </c>
      <c r="P528" t="n">
        <v>0</v>
      </c>
      <c r="Q528" t="n">
        <v>0</v>
      </c>
      <c r="R528" s="2" t="inlineStr"/>
    </row>
    <row r="529" ht="15" customHeight="1">
      <c r="A529" t="inlineStr">
        <is>
          <t>A 23592-2024</t>
        </is>
      </c>
      <c r="B529" s="1" t="n">
        <v>45454</v>
      </c>
      <c r="C529" s="1" t="n">
        <v>45473</v>
      </c>
      <c r="D529" t="inlineStr">
        <is>
          <t>NORRBOTTENS LÄN</t>
        </is>
      </c>
      <c r="E529" t="inlineStr">
        <is>
          <t>ARVIDSJAUR</t>
        </is>
      </c>
      <c r="G529" t="n">
        <v>2.4</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45473</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24854-2024</t>
        </is>
      </c>
      <c r="B531" s="1" t="n">
        <v>45461</v>
      </c>
      <c r="C531" s="1" t="n">
        <v>45473</v>
      </c>
      <c r="D531" t="inlineStr">
        <is>
          <t>NORRBOTTENS LÄN</t>
        </is>
      </c>
      <c r="E531" t="inlineStr">
        <is>
          <t>ARVIDSJAUR</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24836-2024</t>
        </is>
      </c>
      <c r="B532" s="1" t="n">
        <v>45461</v>
      </c>
      <c r="C532" s="1" t="n">
        <v>45473</v>
      </c>
      <c r="D532" t="inlineStr">
        <is>
          <t>NORRBOTTENS LÄN</t>
        </is>
      </c>
      <c r="E532" t="inlineStr">
        <is>
          <t>ARVIDSJAUR</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25045-2024</t>
        </is>
      </c>
      <c r="B533" s="1" t="n">
        <v>45462</v>
      </c>
      <c r="C533" s="1" t="n">
        <v>45473</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25121-2024</t>
        </is>
      </c>
      <c r="B534" s="1" t="n">
        <v>45462</v>
      </c>
      <c r="C534" s="1" t="n">
        <v>45473</v>
      </c>
      <c r="D534" t="inlineStr">
        <is>
          <t>NORRBOTTENS LÄN</t>
        </is>
      </c>
      <c r="E534" t="inlineStr">
        <is>
          <t>ARVIDSJAUR</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25043-2024</t>
        </is>
      </c>
      <c r="B535" s="1" t="n">
        <v>45462</v>
      </c>
      <c r="C535" s="1" t="n">
        <v>45473</v>
      </c>
      <c r="D535" t="inlineStr">
        <is>
          <t>NORRBOTTENS LÄN</t>
        </is>
      </c>
      <c r="E535" t="inlineStr">
        <is>
          <t>ARVIDSJAUR</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25478-2024</t>
        </is>
      </c>
      <c r="B536" s="1" t="n">
        <v>45463</v>
      </c>
      <c r="C536" s="1" t="n">
        <v>45473</v>
      </c>
      <c r="D536" t="inlineStr">
        <is>
          <t>NORRBOTTENS LÄN</t>
        </is>
      </c>
      <c r="E536" t="inlineStr">
        <is>
          <t>ARVIDSJAUR</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25599-2024</t>
        </is>
      </c>
      <c r="B537" s="1" t="n">
        <v>45463</v>
      </c>
      <c r="C537" s="1" t="n">
        <v>45473</v>
      </c>
      <c r="D537" t="inlineStr">
        <is>
          <t>NORRBOTTENS LÄN</t>
        </is>
      </c>
      <c r="E537" t="inlineStr">
        <is>
          <t>ARVIDSJAUR</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25790-2024</t>
        </is>
      </c>
      <c r="B538" s="1" t="n">
        <v>45467</v>
      </c>
      <c r="C538" s="1" t="n">
        <v>45473</v>
      </c>
      <c r="D538" t="inlineStr">
        <is>
          <t>NORRBOTTENS LÄN</t>
        </is>
      </c>
      <c r="E538" t="inlineStr">
        <is>
          <t>ARVIDSJAUR</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25913-2024</t>
        </is>
      </c>
      <c r="B539" s="1" t="n">
        <v>45467</v>
      </c>
      <c r="C539" s="1" t="n">
        <v>45473</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26691-2024</t>
        </is>
      </c>
      <c r="B540" s="1" t="n">
        <v>45470</v>
      </c>
      <c r="C540" s="1" t="n">
        <v>45473</v>
      </c>
      <c r="D540" t="inlineStr">
        <is>
          <t>NORRBOTTENS LÄN</t>
        </is>
      </c>
      <c r="E540" t="inlineStr">
        <is>
          <t>ARVIDSJAUR</t>
        </is>
      </c>
      <c r="F540" t="inlineStr">
        <is>
          <t>Sveaskog</t>
        </is>
      </c>
      <c r="G540" t="n">
        <v>21.6</v>
      </c>
      <c r="H540" t="n">
        <v>0</v>
      </c>
      <c r="I540" t="n">
        <v>0</v>
      </c>
      <c r="J540" t="n">
        <v>0</v>
      </c>
      <c r="K540" t="n">
        <v>0</v>
      </c>
      <c r="L540" t="n">
        <v>0</v>
      </c>
      <c r="M540" t="n">
        <v>0</v>
      </c>
      <c r="N540" t="n">
        <v>0</v>
      </c>
      <c r="O540" t="n">
        <v>0</v>
      </c>
      <c r="P540" t="n">
        <v>0</v>
      </c>
      <c r="Q540" t="n">
        <v>0</v>
      </c>
      <c r="R540" s="2" t="inlineStr"/>
    </row>
    <row r="541" ht="15" customHeight="1">
      <c r="A541" t="inlineStr">
        <is>
          <t>A 26686-2024</t>
        </is>
      </c>
      <c r="B541" s="1" t="n">
        <v>45470</v>
      </c>
      <c r="C541" s="1" t="n">
        <v>45473</v>
      </c>
      <c r="D541" t="inlineStr">
        <is>
          <t>NORRBOTTENS LÄN</t>
        </is>
      </c>
      <c r="E541" t="inlineStr">
        <is>
          <t>ARVIDSJAUR</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26684-2024</t>
        </is>
      </c>
      <c r="B542" s="1" t="n">
        <v>45470</v>
      </c>
      <c r="C542" s="1" t="n">
        <v>45473</v>
      </c>
      <c r="D542" t="inlineStr">
        <is>
          <t>NORRBOTTENS LÄN</t>
        </is>
      </c>
      <c r="E542" t="inlineStr">
        <is>
          <t>ARVIDSJAUR</t>
        </is>
      </c>
      <c r="F542" t="inlineStr">
        <is>
          <t>Sveaskog</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26689-2024</t>
        </is>
      </c>
      <c r="B543" s="1" t="n">
        <v>45470</v>
      </c>
      <c r="C543" s="1" t="n">
        <v>45473</v>
      </c>
      <c r="D543" t="inlineStr">
        <is>
          <t>NORRBOTTENS LÄN</t>
        </is>
      </c>
      <c r="E543" t="inlineStr">
        <is>
          <t>ARVIDSJAUR</t>
        </is>
      </c>
      <c r="F543" t="inlineStr">
        <is>
          <t>Sveaskog</t>
        </is>
      </c>
      <c r="G543" t="n">
        <v>11.8</v>
      </c>
      <c r="H543" t="n">
        <v>0</v>
      </c>
      <c r="I543" t="n">
        <v>0</v>
      </c>
      <c r="J543" t="n">
        <v>0</v>
      </c>
      <c r="K543" t="n">
        <v>0</v>
      </c>
      <c r="L543" t="n">
        <v>0</v>
      </c>
      <c r="M543" t="n">
        <v>0</v>
      </c>
      <c r="N543" t="n">
        <v>0</v>
      </c>
      <c r="O543" t="n">
        <v>0</v>
      </c>
      <c r="P543" t="n">
        <v>0</v>
      </c>
      <c r="Q543" t="n">
        <v>0</v>
      </c>
      <c r="R543" s="2" t="inlineStr"/>
    </row>
    <row r="544" ht="15" customHeight="1">
      <c r="A544" t="inlineStr">
        <is>
          <t>A 26687-2024</t>
        </is>
      </c>
      <c r="B544" s="1" t="n">
        <v>45470</v>
      </c>
      <c r="C544" s="1" t="n">
        <v>45473</v>
      </c>
      <c r="D544" t="inlineStr">
        <is>
          <t>NORRBOTTENS LÄN</t>
        </is>
      </c>
      <c r="E544" t="inlineStr">
        <is>
          <t>ARVIDSJAUR</t>
        </is>
      </c>
      <c r="F544" t="inlineStr">
        <is>
          <t>Sveaskog</t>
        </is>
      </c>
      <c r="G544" t="n">
        <v>7.7</v>
      </c>
      <c r="H544" t="n">
        <v>0</v>
      </c>
      <c r="I544" t="n">
        <v>0</v>
      </c>
      <c r="J544" t="n">
        <v>0</v>
      </c>
      <c r="K544" t="n">
        <v>0</v>
      </c>
      <c r="L544" t="n">
        <v>0</v>
      </c>
      <c r="M544" t="n">
        <v>0</v>
      </c>
      <c r="N544" t="n">
        <v>0</v>
      </c>
      <c r="O544" t="n">
        <v>0</v>
      </c>
      <c r="P544" t="n">
        <v>0</v>
      </c>
      <c r="Q544" t="n">
        <v>0</v>
      </c>
      <c r="R544" s="2" t="inlineStr"/>
    </row>
    <row r="545" ht="15" customHeight="1">
      <c r="A545" t="inlineStr">
        <is>
          <t>A 26819-2024</t>
        </is>
      </c>
      <c r="B545" s="1" t="n">
        <v>45470</v>
      </c>
      <c r="C545" s="1" t="n">
        <v>45473</v>
      </c>
      <c r="D545" t="inlineStr">
        <is>
          <t>NORRBOTTENS LÄN</t>
        </is>
      </c>
      <c r="E545" t="inlineStr">
        <is>
          <t>ARVIDSJAUR</t>
        </is>
      </c>
      <c r="F545" t="inlineStr">
        <is>
          <t>Sveaskog</t>
        </is>
      </c>
      <c r="G545" t="n">
        <v>6.5</v>
      </c>
      <c r="H545" t="n">
        <v>0</v>
      </c>
      <c r="I545" t="n">
        <v>0</v>
      </c>
      <c r="J545" t="n">
        <v>0</v>
      </c>
      <c r="K545" t="n">
        <v>0</v>
      </c>
      <c r="L545" t="n">
        <v>0</v>
      </c>
      <c r="M545" t="n">
        <v>0</v>
      </c>
      <c r="N545" t="n">
        <v>0</v>
      </c>
      <c r="O545" t="n">
        <v>0</v>
      </c>
      <c r="P545" t="n">
        <v>0</v>
      </c>
      <c r="Q545" t="n">
        <v>0</v>
      </c>
      <c r="R545" s="2" t="inlineStr"/>
    </row>
    <row r="546" ht="15" customHeight="1">
      <c r="A546" t="inlineStr">
        <is>
          <t>A 26841-2024</t>
        </is>
      </c>
      <c r="B546" s="1" t="n">
        <v>45470</v>
      </c>
      <c r="C546" s="1" t="n">
        <v>45473</v>
      </c>
      <c r="D546" t="inlineStr">
        <is>
          <t>NORRBOTTENS LÄN</t>
        </is>
      </c>
      <c r="E546" t="inlineStr">
        <is>
          <t>ARVIDSJAUR</t>
        </is>
      </c>
      <c r="G546" t="n">
        <v>1.5</v>
      </c>
      <c r="H546" t="n">
        <v>0</v>
      </c>
      <c r="I546" t="n">
        <v>0</v>
      </c>
      <c r="J546" t="n">
        <v>0</v>
      </c>
      <c r="K546" t="n">
        <v>0</v>
      </c>
      <c r="L546" t="n">
        <v>0</v>
      </c>
      <c r="M546" t="n">
        <v>0</v>
      </c>
      <c r="N546" t="n">
        <v>0</v>
      </c>
      <c r="O546" t="n">
        <v>0</v>
      </c>
      <c r="P546" t="n">
        <v>0</v>
      </c>
      <c r="Q546" t="n">
        <v>0</v>
      </c>
      <c r="R546" s="2" t="inlineStr"/>
    </row>
    <row r="547" ht="15" customHeight="1">
      <c r="A547" t="inlineStr">
        <is>
          <t>A 26835-2024</t>
        </is>
      </c>
      <c r="B547" s="1" t="n">
        <v>45470</v>
      </c>
      <c r="C547" s="1" t="n">
        <v>45473</v>
      </c>
      <c r="D547" t="inlineStr">
        <is>
          <t>NORRBOTTENS LÄN</t>
        </is>
      </c>
      <c r="E547" t="inlineStr">
        <is>
          <t>ARVIDSJAUR</t>
        </is>
      </c>
      <c r="G547" t="n">
        <v>1.5</v>
      </c>
      <c r="H547" t="n">
        <v>0</v>
      </c>
      <c r="I547" t="n">
        <v>0</v>
      </c>
      <c r="J547" t="n">
        <v>0</v>
      </c>
      <c r="K547" t="n">
        <v>0</v>
      </c>
      <c r="L547" t="n">
        <v>0</v>
      </c>
      <c r="M547" t="n">
        <v>0</v>
      </c>
      <c r="N547" t="n">
        <v>0</v>
      </c>
      <c r="O547" t="n">
        <v>0</v>
      </c>
      <c r="P547" t="n">
        <v>0</v>
      </c>
      <c r="Q547" t="n">
        <v>0</v>
      </c>
      <c r="R547" s="2" t="inlineStr"/>
    </row>
    <row r="548">
      <c r="A548" t="inlineStr">
        <is>
          <t>A 27118-2024</t>
        </is>
      </c>
      <c r="B548" s="1" t="n">
        <v>45471</v>
      </c>
      <c r="C548" s="1" t="n">
        <v>45473</v>
      </c>
      <c r="D548" t="inlineStr">
        <is>
          <t>NORRBOTTENS LÄN</t>
        </is>
      </c>
      <c r="E548" t="inlineStr">
        <is>
          <t>ARVIDSJAUR</t>
        </is>
      </c>
      <c r="F548" t="inlineStr">
        <is>
          <t>Sveaskog</t>
        </is>
      </c>
      <c r="G548" t="n">
        <v>18.2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2024-06-30T10:08:50Z</dcterms:created>
  <dcterms:modified xmlns:dcterms="http://purl.org/dc/terms/" xmlns:xsi="http://www.w3.org/2001/XMLSchema-instance" xsi:type="dcterms:W3CDTF">2024-06-30T10:08:50Z</dcterms:modified>
</cp:coreProperties>
</file>