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46228</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46228</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46228</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46228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46228</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10242-2026</t>
        </is>
      </c>
      <c r="B9" t="inlineStr">
        <is>
          <t>avverkningsanmälan</t>
        </is>
      </c>
      <c r="C9" t="inlineStr">
        <is>
          <t>Föryngringsavverkning</t>
        </is>
      </c>
      <c r="D9" s="1" t="n">
        <v>46076</v>
      </c>
      <c r="E9" s="1" t="n">
        <v>46228</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58862-2024</t>
        </is>
      </c>
      <c r="B10" t="inlineStr">
        <is>
          <t>avverkningsanmälan</t>
        </is>
      </c>
      <c r="C10" t="inlineStr">
        <is>
          <t>Föryngringsavverkning</t>
        </is>
      </c>
      <c r="D10" s="1" t="n">
        <v>45635</v>
      </c>
      <c r="E10" s="1" t="n">
        <v>46228</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35247-2022</t>
        </is>
      </c>
      <c r="B11" t="inlineStr">
        <is>
          <t>avverkningsanmälan</t>
        </is>
      </c>
      <c r="C11" t="inlineStr">
        <is>
          <t>Föryngringsavverkning</t>
        </is>
      </c>
      <c r="D11" s="1" t="n">
        <v>44797</v>
      </c>
      <c r="E11" s="1" t="n">
        <v>46228</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54098-2025</t>
        </is>
      </c>
      <c r="B12" t="inlineStr">
        <is>
          <t>avverkningsanmälan</t>
        </is>
      </c>
      <c r="C12" t="inlineStr">
        <is>
          <t>Föryngringsavverkning</t>
        </is>
      </c>
      <c r="D12" s="1" t="n">
        <v>45964</v>
      </c>
      <c r="E12" s="1" t="n">
        <v>46228</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46228</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46228</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46228</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46228</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46228</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46228</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46228</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46228</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46228</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46228</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46228</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46228</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46228</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46228</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61137-2022</t>
        </is>
      </c>
      <c r="B27" t="inlineStr">
        <is>
          <t>avverkningsanmälan</t>
        </is>
      </c>
      <c r="C27" t="inlineStr">
        <is>
          <t>Föryngringsavverkning</t>
        </is>
      </c>
      <c r="D27" s="1" t="n">
        <v>44915</v>
      </c>
      <c r="E27" s="1" t="n">
        <v>46228</v>
      </c>
      <c r="F27" t="inlineStr">
        <is>
          <t>NORRBOTTENS LÄN</t>
        </is>
      </c>
      <c r="G27" t="inlineStr">
        <is>
          <t>ARVIDSJAUR</t>
        </is>
      </c>
      <c r="H27" t="inlineStr">
        <is>
          <t>Sveaskog</t>
        </is>
      </c>
      <c r="I27" t="n">
        <v>10.5</v>
      </c>
      <c r="J27" t="n">
        <v>1</v>
      </c>
      <c r="K27" t="n">
        <v>1</v>
      </c>
      <c r="L27" t="n">
        <v>1</v>
      </c>
      <c r="M27" t="n">
        <v>0</v>
      </c>
      <c r="N27" t="n">
        <v>0</v>
      </c>
      <c r="O27" t="n">
        <v>0</v>
      </c>
      <c r="P27" t="n">
        <v>0</v>
      </c>
      <c r="Q27" t="n">
        <v>1</v>
      </c>
      <c r="R27" t="n">
        <v>0</v>
      </c>
      <c r="S27" t="n">
        <v>3</v>
      </c>
      <c r="T27" t="n">
        <v>3</v>
      </c>
      <c r="U27" t="n">
        <v>3</v>
      </c>
      <c r="V27" s="2" t="inlineStr">
        <is>
          <t>Sandsyra
Ögonpyrola
Revlummer</t>
        </is>
      </c>
      <c r="W27">
        <f>HYPERLINK("https://klasma.github.io/Logging_2505/artfynd/A 61137-2022 artfynd.xlsx", "A 61137-2022")</f>
        <v/>
      </c>
      <c r="X27">
        <f>HYPERLINK("https://klasma.github.io/Logging_2505/kartor/A 61137-2022 karta.png", "A 61137-2022")</f>
        <v/>
      </c>
      <c r="Y27">
        <f>HYPERLINK("https://klasma.github.io/Logging_2505/kartor_geotiff/A 61137-2022 georefererad karta.tif", "A 61137-2022")</f>
        <v/>
      </c>
      <c r="AA27">
        <f>HYPERLINK("https://klasma.github.io/Logging_2505/klagomål/A 61137-2022 FSC-klagomål.docx", "A 61137-2022")</f>
        <v/>
      </c>
      <c r="AB27">
        <f>HYPERLINK("https://klasma.github.io/Logging_2505/klagomålsmail/A 61137-2022 FSC-klagomål mail.docx", "A 61137-2022")</f>
        <v/>
      </c>
      <c r="AC27">
        <f>HYPERLINK("https://klasma.github.io/Logging_2505/tillsyn/A 61137-2022 tillsynsbegäran.docx", "A 61137-2022")</f>
        <v/>
      </c>
      <c r="AD27">
        <f>HYPERLINK("https://klasma.github.io/Logging_2505/tillsynsmail/A 61137-2022 tillsynsbegäran mail.docx", "A 61137-2022")</f>
        <v/>
      </c>
    </row>
    <row r="28" ht="15" customHeight="1">
      <c r="A28" t="inlineStr">
        <is>
          <t>A 47099-2025</t>
        </is>
      </c>
      <c r="B28" t="inlineStr">
        <is>
          <t>avverkningsanmälan</t>
        </is>
      </c>
      <c r="C28" t="inlineStr">
        <is>
          <t>Föryngringsavverkning</t>
        </is>
      </c>
      <c r="D28" s="1" t="n">
        <v>45929</v>
      </c>
      <c r="E28" s="1" t="n">
        <v>46228</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46228</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36451-2024</t>
        </is>
      </c>
      <c r="B30" t="inlineStr">
        <is>
          <t>avverkningsanmälan</t>
        </is>
      </c>
      <c r="C30" t="inlineStr">
        <is>
          <t>Föryngringsavverkning</t>
        </is>
      </c>
      <c r="D30" s="1" t="n">
        <v>45537</v>
      </c>
      <c r="E30" s="1" t="n">
        <v>46228</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46228</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46228</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46228</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46228</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46228</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61172-2025</t>
        </is>
      </c>
      <c r="B36" t="inlineStr">
        <is>
          <t>avverkningsanmälan</t>
        </is>
      </c>
      <c r="C36" t="inlineStr">
        <is>
          <t>Föryngringsavverkning</t>
        </is>
      </c>
      <c r="D36" s="1" t="n">
        <v>45999</v>
      </c>
      <c r="E36" s="1" t="n">
        <v>46228</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1728-2026</t>
        </is>
      </c>
      <c r="B37" t="inlineStr">
        <is>
          <t>avverkningsanmälan</t>
        </is>
      </c>
      <c r="C37" t="inlineStr">
        <is>
          <t>Föryngringsavverkning</t>
        </is>
      </c>
      <c r="D37" s="1" t="n">
        <v>46034</v>
      </c>
      <c r="E37" s="1" t="n">
        <v>46228</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30048-2026</t>
        </is>
      </c>
      <c r="B38" t="inlineStr">
        <is>
          <t>avverkningsanmälan</t>
        </is>
      </c>
      <c r="C38" t="inlineStr">
        <is>
          <t>Föryngringsavverkning</t>
        </is>
      </c>
      <c r="D38" s="1" t="n">
        <v>46206</v>
      </c>
      <c r="E38" s="1" t="n">
        <v>46228</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11634-2025</t>
        </is>
      </c>
      <c r="B39" t="inlineStr">
        <is>
          <t>avverkningsanmälan</t>
        </is>
      </c>
      <c r="C39" t="inlineStr">
        <is>
          <t>Föryngringsavverkning</t>
        </is>
      </c>
      <c r="D39" s="1" t="n">
        <v>45726</v>
      </c>
      <c r="E39" s="1" t="n">
        <v>46228</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53163-2024</t>
        </is>
      </c>
      <c r="B40" t="inlineStr">
        <is>
          <t>avverkningsanmälan</t>
        </is>
      </c>
      <c r="C40" t="inlineStr">
        <is>
          <t>Föryngringsavverkning</t>
        </is>
      </c>
      <c r="D40" s="1" t="n">
        <v>45611</v>
      </c>
      <c r="E40" s="1" t="n">
        <v>46228</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26560-2025</t>
        </is>
      </c>
      <c r="B41" t="inlineStr">
        <is>
          <t>avverkningsanmälan</t>
        </is>
      </c>
      <c r="C41" t="inlineStr">
        <is>
          <t>Föryngringsavverkning</t>
        </is>
      </c>
      <c r="D41" s="1" t="n">
        <v>45807</v>
      </c>
      <c r="E41" s="1" t="n">
        <v>46228</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46228</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46228</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50826-2025</t>
        </is>
      </c>
      <c r="B44" t="inlineStr">
        <is>
          <t>avverkningsanmälan</t>
        </is>
      </c>
      <c r="C44" t="inlineStr">
        <is>
          <t>Föryngringsavverkning</t>
        </is>
      </c>
      <c r="D44" s="1" t="n">
        <v>45946</v>
      </c>
      <c r="E44" s="1" t="n">
        <v>46228</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46228</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46228</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27539-2026</t>
        </is>
      </c>
      <c r="B47" t="inlineStr">
        <is>
          <t>avverkningsanmälan</t>
        </is>
      </c>
      <c r="C47" t="inlineStr">
        <is>
          <t>Föryngringsavverkning</t>
        </is>
      </c>
      <c r="D47" s="1" t="n">
        <v>46190</v>
      </c>
      <c r="E47" s="1" t="n">
        <v>46228</v>
      </c>
      <c r="F47" t="inlineStr">
        <is>
          <t>NORRBOTTENS LÄN</t>
        </is>
      </c>
      <c r="G47" t="inlineStr">
        <is>
          <t>ARVIDSJAUR</t>
        </is>
      </c>
      <c r="H47" t="inlineStr">
        <is>
          <t>Sveaskog</t>
        </is>
      </c>
      <c r="I47" t="n">
        <v>13.5</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27539-2026 artfynd.xlsx", "A 27539-2026")</f>
        <v/>
      </c>
      <c r="X47">
        <f>HYPERLINK("https://klasma.github.io/Logging_2505/kartor/A 27539-2026 karta.png", "A 27539-2026")</f>
        <v/>
      </c>
      <c r="Y47">
        <f>HYPERLINK("https://klasma.github.io/Logging_2505/kartor_geotiff/A 27539-2026 georefererad karta.tif", "A 27539-2026")</f>
        <v/>
      </c>
      <c r="AA47">
        <f>HYPERLINK("https://klasma.github.io/Logging_2505/klagomål/A 27539-2026 FSC-klagomål.docx", "A 27539-2026")</f>
        <v/>
      </c>
      <c r="AB47">
        <f>HYPERLINK("https://klasma.github.io/Logging_2505/klagomålsmail/A 27539-2026 FSC-klagomål mail.docx", "A 27539-2026")</f>
        <v/>
      </c>
      <c r="AC47">
        <f>HYPERLINK("https://klasma.github.io/Logging_2505/tillsyn/A 27539-2026 tillsynsbegäran.docx", "A 27539-2026")</f>
        <v/>
      </c>
      <c r="AD47">
        <f>HYPERLINK("https://klasma.github.io/Logging_2505/tillsynsmail/A 27539-2026 tillsynsbegäran mail.docx", "A 27539-2026")</f>
        <v/>
      </c>
    </row>
    <row r="48" ht="15" customHeight="1">
      <c r="A48" t="inlineStr">
        <is>
          <t>A 57795-2025</t>
        </is>
      </c>
      <c r="B48" t="inlineStr">
        <is>
          <t>avverkningsanmälan</t>
        </is>
      </c>
      <c r="C48" t="inlineStr">
        <is>
          <t>Föryngringsavverkning</t>
        </is>
      </c>
      <c r="D48" s="1" t="n">
        <v>45981</v>
      </c>
      <c r="E48" s="1" t="n">
        <v>46228</v>
      </c>
      <c r="F48" t="inlineStr">
        <is>
          <t>NORRBOTTENS LÄN</t>
        </is>
      </c>
      <c r="G48" t="inlineStr">
        <is>
          <t>ARVIDSJAUR</t>
        </is>
      </c>
      <c r="H48" t="inlineStr">
        <is>
          <t>Sveaskog</t>
        </is>
      </c>
      <c r="I48" t="n">
        <v>21.6</v>
      </c>
      <c r="J48" t="n">
        <v>1</v>
      </c>
      <c r="K48" t="n">
        <v>0</v>
      </c>
      <c r="L48" t="n">
        <v>1</v>
      </c>
      <c r="M48" t="n">
        <v>0</v>
      </c>
      <c r="N48" t="n">
        <v>0</v>
      </c>
      <c r="O48" t="n">
        <v>0</v>
      </c>
      <c r="P48" t="n">
        <v>0</v>
      </c>
      <c r="Q48" t="n">
        <v>1</v>
      </c>
      <c r="R48" t="n">
        <v>0</v>
      </c>
      <c r="S48" t="n">
        <v>1</v>
      </c>
      <c r="T48" t="n">
        <v>1</v>
      </c>
      <c r="U48" t="n">
        <v>0</v>
      </c>
      <c r="V48" s="2" t="inlineStr">
        <is>
          <t>Lavskrika</t>
        </is>
      </c>
      <c r="W48">
        <f>HYPERLINK("https://klasma.github.io/Logging_2505/artfynd/A 57795-2025 artfynd.xlsx", "A 57795-2025")</f>
        <v/>
      </c>
      <c r="X48">
        <f>HYPERLINK("https://klasma.github.io/Logging_2505/kartor/A 57795-2025 karta.png", "A 57795-2025")</f>
        <v/>
      </c>
      <c r="Y48">
        <f>HYPERLINK("https://klasma.github.io/Logging_2505/kartor_geotiff/A 57795-2025 georefererad karta.tif", "A 57795-2025")</f>
        <v/>
      </c>
      <c r="AA48">
        <f>HYPERLINK("https://klasma.github.io/Logging_2505/klagomål/A 57795-2025 FSC-klagomål.docx", "A 57795-2025")</f>
        <v/>
      </c>
      <c r="AB48">
        <f>HYPERLINK("https://klasma.github.io/Logging_2505/klagomålsmail/A 57795-2025 FSC-klagomål mail.docx", "A 57795-2025")</f>
        <v/>
      </c>
      <c r="AC48">
        <f>HYPERLINK("https://klasma.github.io/Logging_2505/tillsyn/A 57795-2025 tillsynsbegäran.docx", "A 57795-2025")</f>
        <v/>
      </c>
      <c r="AD48">
        <f>HYPERLINK("https://klasma.github.io/Logging_2505/tillsynsmail/A 57795-2025 tillsynsbegäran mail.docx", "A 57795-2025")</f>
        <v/>
      </c>
      <c r="AE48">
        <f>HYPERLINK("https://klasma.github.io/Logging_2505/fåglar/A 57795-2025 prioriterade fågelarter.docx", "A 57795-2025")</f>
        <v/>
      </c>
    </row>
    <row r="49" ht="15" customHeight="1">
      <c r="A49" t="inlineStr">
        <is>
          <t>A 60560-2025</t>
        </is>
      </c>
      <c r="B49" t="inlineStr">
        <is>
          <t>avverkningsanmälan</t>
        </is>
      </c>
      <c r="C49" t="inlineStr">
        <is>
          <t>Föryngringsavverkning</t>
        </is>
      </c>
      <c r="D49" s="1" t="n">
        <v>45994</v>
      </c>
      <c r="E49" s="1" t="n">
        <v>46228</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46228</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46228</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45386-2024</t>
        </is>
      </c>
      <c r="B52" t="inlineStr">
        <is>
          <t>avverkningsanmälan</t>
        </is>
      </c>
      <c r="C52" t="inlineStr">
        <is>
          <t>Föryngringsavverkning</t>
        </is>
      </c>
      <c r="D52" s="1" t="n">
        <v>45576</v>
      </c>
      <c r="E52" s="1" t="n">
        <v>46228</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30825-2026</t>
        </is>
      </c>
      <c r="B53" t="inlineStr">
        <is>
          <t>avverkningsanmälan</t>
        </is>
      </c>
      <c r="C53" t="inlineStr">
        <is>
          <t>Föryngringsavverkning</t>
        </is>
      </c>
      <c r="D53" s="1" t="n">
        <v>46212</v>
      </c>
      <c r="E53" s="1" t="n">
        <v>46228</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37649-2024</t>
        </is>
      </c>
      <c r="B54" t="inlineStr">
        <is>
          <t>avverkningsanmälan</t>
        </is>
      </c>
      <c r="C54" t="inlineStr">
        <is>
          <t>Avverkning för annat ändamål</t>
        </is>
      </c>
      <c r="D54" s="1" t="n">
        <v>45541</v>
      </c>
      <c r="E54" s="1" t="n">
        <v>46228</v>
      </c>
      <c r="F54" t="inlineStr">
        <is>
          <t>NORRBOTTENS LÄN</t>
        </is>
      </c>
      <c r="G54" t="inlineStr">
        <is>
          <t>ARVIDSJAUR</t>
        </is>
      </c>
      <c r="H54" t="inlineStr">
        <is>
          <t>Allmännings- och besparingsskogar</t>
        </is>
      </c>
      <c r="I54" t="n">
        <v>6.1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HYPERLINK("https://klasma.github.io/Logging_2505/artfynd/A 37649-2024 artfynd.xlsx", "A 37649-2024")</f>
        <v/>
      </c>
      <c r="X54">
        <f>HYPERLINK("https://klasma.github.io/Logging_2505/kartor/A 37649-2024 karta.png", "A 37649-2024")</f>
        <v/>
      </c>
      <c r="Y54">
        <f>HYPERLINK("https://klasma.github.io/Logging_2505/kartor_geotiff/A 37649-2024 georefererad karta.tif", "A 37649-2024")</f>
        <v/>
      </c>
      <c r="Z54">
        <f>HYPERLINK("https://klasma.github.io/Logging_2505/knärot/A 37649-2024 karta knärot.png", "A 37649-2024")</f>
        <v/>
      </c>
      <c r="AA54">
        <f>HYPERLINK("https://klasma.github.io/Logging_2505/klagomål/A 37649-2024 FSC-klagomål.docx", "A 37649-2024")</f>
        <v/>
      </c>
      <c r="AB54">
        <f>HYPERLINK("https://klasma.github.io/Logging_2505/klagomålsmail/A 37649-2024 FSC-klagomål mail.docx", "A 37649-2024")</f>
        <v/>
      </c>
      <c r="AC54">
        <f>HYPERLINK("https://klasma.github.io/Logging_2505/tillsyn/A 37649-2024 tillsynsbegäran.docx", "A 37649-2024")</f>
        <v/>
      </c>
      <c r="AD54">
        <f>HYPERLINK("https://klasma.github.io/Logging_2505/tillsynsmail/A 37649-2024 tillsynsbegäran mail.docx", "A 37649-2024")</f>
        <v/>
      </c>
    </row>
    <row r="55" ht="15" customHeight="1">
      <c r="A55" t="inlineStr">
        <is>
          <t>A 14054-2026</t>
        </is>
      </c>
      <c r="B55" t="inlineStr">
        <is>
          <t>avverkningsanmälan</t>
        </is>
      </c>
      <c r="C55" t="inlineStr">
        <is>
          <t>Avverkning för annat ändamål</t>
        </is>
      </c>
      <c r="D55" s="1" t="n">
        <v>46099</v>
      </c>
      <c r="E55" s="1" t="n">
        <v>46228</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25738-2026</t>
        </is>
      </c>
      <c r="B56" t="inlineStr">
        <is>
          <t>avverkningsanmälan</t>
        </is>
      </c>
      <c r="C56" t="inlineStr">
        <is>
          <t>Föryngringsavverkning</t>
        </is>
      </c>
      <c r="D56" s="1" t="n">
        <v>46178</v>
      </c>
      <c r="E56" s="1" t="n">
        <v>46228</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54539-2024</t>
        </is>
      </c>
      <c r="B57" t="inlineStr">
        <is>
          <t>avverkningsanmälan</t>
        </is>
      </c>
      <c r="C57" t="inlineStr">
        <is>
          <t>Föryngringsavverkning</t>
        </is>
      </c>
      <c r="D57" s="1" t="n">
        <v>45617</v>
      </c>
      <c r="E57" s="1" t="n">
        <v>46228</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46228</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45769-2021</t>
        </is>
      </c>
      <c r="B59" t="inlineStr">
        <is>
          <t>avverkningsanmälan</t>
        </is>
      </c>
      <c r="C59" t="inlineStr">
        <is>
          <t>Föryngringsavverkning</t>
        </is>
      </c>
      <c r="D59" s="1" t="n">
        <v>44441</v>
      </c>
      <c r="E59" s="1" t="n">
        <v>46228</v>
      </c>
      <c r="F59" t="inlineStr">
        <is>
          <t>NORRBOTTENS LÄN</t>
        </is>
      </c>
      <c r="G59" t="inlineStr">
        <is>
          <t>ARVIDSJAUR</t>
        </is>
      </c>
      <c r="I59" t="n">
        <v>1.4</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HYPERLINK("https://klasma.github.io/Logging_2505/artfynd/A 45769-2021 artfynd.xlsx", "A 45769-2021")</f>
        <v/>
      </c>
      <c r="X59">
        <f>HYPERLINK("https://klasma.github.io/Logging_2505/kartor/A 45769-2021 karta.png", "A 45769-2021")</f>
        <v/>
      </c>
      <c r="Y59">
        <f>HYPERLINK("https://klasma.github.io/Logging_2505/kartor_geotiff/A 45769-2021 georefererad karta.tif", "A 45769-2021")</f>
        <v/>
      </c>
      <c r="AA59">
        <f>HYPERLINK("https://klasma.github.io/Logging_2505/klagomål/A 45769-2021 FSC-klagomål.docx", "A 45769-2021")</f>
        <v/>
      </c>
      <c r="AB59">
        <f>HYPERLINK("https://klasma.github.io/Logging_2505/klagomålsmail/A 45769-2021 FSC-klagomål mail.docx", "A 45769-2021")</f>
        <v/>
      </c>
      <c r="AC59">
        <f>HYPERLINK("https://klasma.github.io/Logging_2505/tillsyn/A 45769-2021 tillsynsbegäran.docx", "A 45769-2021")</f>
        <v/>
      </c>
      <c r="AD59">
        <f>HYPERLINK("https://klasma.github.io/Logging_2505/tillsynsmail/A 45769-2021 tillsynsbegäran mail.docx", "A 45769-2021")</f>
        <v/>
      </c>
      <c r="AE59">
        <f>HYPERLINK("https://klasma.github.io/Logging_2505/fåglar/A 45769-2021 prioriterade fågelarter.docx", "A 45769-2021")</f>
        <v/>
      </c>
    </row>
    <row r="60" ht="15" customHeight="1">
      <c r="A60" t="inlineStr">
        <is>
          <t>A 29314-2023</t>
        </is>
      </c>
      <c r="B60" t="inlineStr">
        <is>
          <t>avverkningsanmälan</t>
        </is>
      </c>
      <c r="C60" t="inlineStr">
        <is>
          <t>Föryngringsavverkning</t>
        </is>
      </c>
      <c r="D60" s="1" t="n">
        <v>45105</v>
      </c>
      <c r="E60" s="1" t="n">
        <v>46228</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28894-2025</t>
        </is>
      </c>
      <c r="B61" t="inlineStr">
        <is>
          <t>avverkningsanmälan</t>
        </is>
      </c>
      <c r="C61" t="inlineStr">
        <is>
          <t>Föryngringsavverkning</t>
        </is>
      </c>
      <c r="D61" s="1" t="n">
        <v>45820</v>
      </c>
      <c r="E61" s="1" t="n">
        <v>46228</v>
      </c>
      <c r="F61" t="inlineStr">
        <is>
          <t>NORRBOTTENS LÄN</t>
        </is>
      </c>
      <c r="G61" t="inlineStr">
        <is>
          <t>ARVIDSJAUR</t>
        </is>
      </c>
      <c r="H61" t="inlineStr">
        <is>
          <t>Sveaskog</t>
        </is>
      </c>
      <c r="I61" t="n">
        <v>14.2</v>
      </c>
      <c r="J61" t="n">
        <v>1</v>
      </c>
      <c r="K61" t="n">
        <v>0</v>
      </c>
      <c r="L61" t="n">
        <v>0</v>
      </c>
      <c r="M61" t="n">
        <v>0</v>
      </c>
      <c r="N61" t="n">
        <v>0</v>
      </c>
      <c r="O61" t="n">
        <v>0</v>
      </c>
      <c r="P61" t="n">
        <v>0</v>
      </c>
      <c r="Q61" t="n">
        <v>0</v>
      </c>
      <c r="R61" t="n">
        <v>0</v>
      </c>
      <c r="S61" t="n">
        <v>1</v>
      </c>
      <c r="T61" t="n">
        <v>1</v>
      </c>
      <c r="U61" t="n">
        <v>1</v>
      </c>
      <c r="V61" s="2" t="inlineStr">
        <is>
          <t>Trana</t>
        </is>
      </c>
      <c r="W61">
        <f>HYPERLINK("https://klasma.github.io/Logging_2505/artfynd/A 28894-2025 artfynd.xlsx", "A 28894-2025")</f>
        <v/>
      </c>
      <c r="X61">
        <f>HYPERLINK("https://klasma.github.io/Logging_2505/kartor/A 28894-2025 karta.png", "A 28894-2025")</f>
        <v/>
      </c>
      <c r="Y61">
        <f>HYPERLINK("https://klasma.github.io/Logging_2505/kartor_geotiff/A 28894-2025 georefererad karta.tif", "A 28894-2025")</f>
        <v/>
      </c>
      <c r="AA61">
        <f>HYPERLINK("https://klasma.github.io/Logging_2505/klagomål/A 28894-2025 FSC-klagomål.docx", "A 28894-2025")</f>
        <v/>
      </c>
      <c r="AB61">
        <f>HYPERLINK("https://klasma.github.io/Logging_2505/klagomålsmail/A 28894-2025 FSC-klagomål mail.docx", "A 28894-2025")</f>
        <v/>
      </c>
      <c r="AC61">
        <f>HYPERLINK("https://klasma.github.io/Logging_2505/tillsyn/A 28894-2025 tillsynsbegäran.docx", "A 28894-2025")</f>
        <v/>
      </c>
      <c r="AD61">
        <f>HYPERLINK("https://klasma.github.io/Logging_2505/tillsynsmail/A 28894-2025 tillsynsbegäran mail.docx", "A 28894-2025")</f>
        <v/>
      </c>
      <c r="AE61">
        <f>HYPERLINK("https://klasma.github.io/Logging_2505/fåglar/A 28894-2025 prioriterade fågelarter.docx", "A 28894-2025")</f>
        <v/>
      </c>
    </row>
    <row r="62" ht="15" customHeight="1">
      <c r="A62" t="inlineStr">
        <is>
          <t>S 1662-2025</t>
        </is>
      </c>
      <c r="B62" t="inlineStr">
        <is>
          <t>samrådsanmälan</t>
        </is>
      </c>
      <c r="C62" t="inlineStr">
        <is>
          <t>Skogsgödsling</t>
        </is>
      </c>
      <c r="D62" s="1" t="n">
        <v>45800</v>
      </c>
      <c r="E62" s="1" t="n">
        <v>46228</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46228</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46228</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46228</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46228</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46228</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46228</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46228</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46228</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46228</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46228</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46228</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46228</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46228</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46228</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46228</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46228</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46228</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46228</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46228</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46228</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46228</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46228</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46228</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46228</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46228</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46228</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46228</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46228</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46228</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46228</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46228</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46228</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46228</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46228</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21704-2024</t>
        </is>
      </c>
      <c r="B97" t="inlineStr">
        <is>
          <t>avverkningsanmälan</t>
        </is>
      </c>
      <c r="C97" t="inlineStr">
        <is>
          <t>Föryngringsavverkning</t>
        </is>
      </c>
      <c r="D97" s="1" t="n">
        <v>45442</v>
      </c>
      <c r="E97" s="1" t="n">
        <v>46228</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30752-2023</t>
        </is>
      </c>
      <c r="B98" t="inlineStr">
        <is>
          <t>avverkningsanmälan</t>
        </is>
      </c>
      <c r="C98" t="inlineStr">
        <is>
          <t>Föryngringsavverkning</t>
        </is>
      </c>
      <c r="D98" s="1" t="n">
        <v>45103</v>
      </c>
      <c r="E98" s="1" t="n">
        <v>46228</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46228</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39619-2022</t>
        </is>
      </c>
      <c r="B100" t="inlineStr">
        <is>
          <t>avverkningsanmälan</t>
        </is>
      </c>
      <c r="C100" t="inlineStr">
        <is>
          <t>Föryngringsavverkning</t>
        </is>
      </c>
      <c r="D100" s="1" t="n">
        <v>44818</v>
      </c>
      <c r="E100" s="1" t="n">
        <v>46228</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46228</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10851-2025</t>
        </is>
      </c>
      <c r="B102" t="inlineStr">
        <is>
          <t>avverkningsanmälan</t>
        </is>
      </c>
      <c r="C102" t="inlineStr">
        <is>
          <t>Föryngringsavverkning</t>
        </is>
      </c>
      <c r="D102" s="1" t="n">
        <v>45722</v>
      </c>
      <c r="E102" s="1" t="n">
        <v>46228</v>
      </c>
      <c r="F102" t="inlineStr">
        <is>
          <t>NORRBOTTENS LÄN</t>
        </is>
      </c>
      <c r="G102" t="inlineStr">
        <is>
          <t>ARVIDSJAUR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4937-2024</t>
        </is>
      </c>
      <c r="B103" t="inlineStr">
        <is>
          <t>avverkningsanmälan</t>
        </is>
      </c>
      <c r="C103" t="inlineStr">
        <is>
          <t>Avverkning för annat ändamål</t>
        </is>
      </c>
      <c r="D103" s="1" t="n">
        <v>45329</v>
      </c>
      <c r="E103" s="1" t="n">
        <v>46228</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46228</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36483-2022</t>
        </is>
      </c>
      <c r="B105" t="inlineStr">
        <is>
          <t>avverkningsanmälan</t>
        </is>
      </c>
      <c r="C105" t="inlineStr">
        <is>
          <t>Föryngringsavverkning</t>
        </is>
      </c>
      <c r="D105" s="1" t="n">
        <v>44804</v>
      </c>
      <c r="E105" s="1" t="n">
        <v>46228</v>
      </c>
      <c r="F105" t="inlineStr">
        <is>
          <t>NORRBOTTENS LÄN</t>
        </is>
      </c>
      <c r="G105" t="inlineStr">
        <is>
          <t>ARVIDSJAUR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12794-2023</t>
        </is>
      </c>
      <c r="B106" t="inlineStr">
        <is>
          <t>avverkningsanmälan</t>
        </is>
      </c>
      <c r="C106" t="inlineStr">
        <is>
          <t>Avverkning för annat ändamål</t>
        </is>
      </c>
      <c r="D106" s="1" t="n">
        <v>45001</v>
      </c>
      <c r="E106" s="1" t="n">
        <v>46228</v>
      </c>
      <c r="F106" t="inlineStr">
        <is>
          <t>NORRBOTTENS LÄN</t>
        </is>
      </c>
      <c r="G106" t="inlineStr">
        <is>
          <t>ARVIDSJAUR</t>
        </is>
      </c>
      <c r="H106" t="inlineStr">
        <is>
          <t>Sveaskog</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46228</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59325-2022</t>
        </is>
      </c>
      <c r="B108" t="inlineStr">
        <is>
          <t>avverkningsanmälan</t>
        </is>
      </c>
      <c r="C108" t="inlineStr">
        <is>
          <t>Föryngringsavverkning</t>
        </is>
      </c>
      <c r="D108" s="1" t="n">
        <v>44904</v>
      </c>
      <c r="E108" s="1" t="n">
        <v>46228</v>
      </c>
      <c r="F108" t="inlineStr">
        <is>
          <t>NORRBOTTENS LÄN</t>
        </is>
      </c>
      <c r="G108" t="inlineStr">
        <is>
          <t>ARVIDSJAUR</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60466-2022</t>
        </is>
      </c>
      <c r="B109" t="inlineStr">
        <is>
          <t>avverkningsanmälan</t>
        </is>
      </c>
      <c r="C109" t="inlineStr">
        <is>
          <t>Föryngringsavverkning</t>
        </is>
      </c>
      <c r="D109" s="1" t="n">
        <v>44911</v>
      </c>
      <c r="E109" s="1" t="n">
        <v>46228</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46228</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46228</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46228</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2116-2024</t>
        </is>
      </c>
      <c r="B113" t="inlineStr">
        <is>
          <t>avverkningsanmälan</t>
        </is>
      </c>
      <c r="C113" t="inlineStr">
        <is>
          <t>Föryngringsavverkning</t>
        </is>
      </c>
      <c r="D113" s="1" t="n">
        <v>45309</v>
      </c>
      <c r="E113" s="1" t="n">
        <v>46228</v>
      </c>
      <c r="F113" t="inlineStr">
        <is>
          <t>NORRBOTTENS LÄN</t>
        </is>
      </c>
      <c r="G113" t="inlineStr">
        <is>
          <t>ARVIDSJAUR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48291-2023</t>
        </is>
      </c>
      <c r="B114" t="inlineStr">
        <is>
          <t>avverkningsanmälan</t>
        </is>
      </c>
      <c r="C114" t="inlineStr">
        <is>
          <t>Avverkning för annat ändamål</t>
        </is>
      </c>
      <c r="D114" s="1" t="n">
        <v>45201</v>
      </c>
      <c r="E114" s="1" t="n">
        <v>46228</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38271-2024</t>
        </is>
      </c>
      <c r="B115" t="inlineStr">
        <is>
          <t>avverkningsanmälan</t>
        </is>
      </c>
      <c r="C115" t="inlineStr">
        <is>
          <t>Föryngringsavverkning</t>
        </is>
      </c>
      <c r="D115" s="1" t="n">
        <v>45545</v>
      </c>
      <c r="E115" s="1" t="n">
        <v>46228</v>
      </c>
      <c r="F115" t="inlineStr">
        <is>
          <t>NORRBOTTENS LÄN</t>
        </is>
      </c>
      <c r="G115" t="inlineStr">
        <is>
          <t>ARVIDSJAUR</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9996-2023</t>
        </is>
      </c>
      <c r="B116" t="inlineStr">
        <is>
          <t>avverkningsanmälan</t>
        </is>
      </c>
      <c r="C116" t="inlineStr">
        <is>
          <t>Föryngringsavverkning</t>
        </is>
      </c>
      <c r="D116" s="1" t="n">
        <v>44979</v>
      </c>
      <c r="E116" s="1" t="n">
        <v>46228</v>
      </c>
      <c r="F116" t="inlineStr">
        <is>
          <t>NORRBOTTENS LÄN</t>
        </is>
      </c>
      <c r="G116" t="inlineStr">
        <is>
          <t>ARVIDSJAUR</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1355-2024</t>
        </is>
      </c>
      <c r="B117" t="inlineStr">
        <is>
          <t>avverkningsanmälan</t>
        </is>
      </c>
      <c r="C117" t="inlineStr">
        <is>
          <t>Föryngringsavverkning</t>
        </is>
      </c>
      <c r="D117" s="1" t="n">
        <v>45303</v>
      </c>
      <c r="E117" s="1" t="n">
        <v>46228</v>
      </c>
      <c r="F117" t="inlineStr">
        <is>
          <t>NORRBOTTENS LÄN</t>
        </is>
      </c>
      <c r="G117" t="inlineStr">
        <is>
          <t>ARVIDSJAUR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27742-2024</t>
        </is>
      </c>
      <c r="B118" t="inlineStr">
        <is>
          <t>avverkningsanmälan</t>
        </is>
      </c>
      <c r="C118" t="inlineStr">
        <is>
          <t>Föryngringsavverkning</t>
        </is>
      </c>
      <c r="D118" s="1" t="n">
        <v>45475</v>
      </c>
      <c r="E118" s="1" t="n">
        <v>46228</v>
      </c>
      <c r="F118" t="inlineStr">
        <is>
          <t>NORRBOTTENS LÄN</t>
        </is>
      </c>
      <c r="G118" t="inlineStr">
        <is>
          <t>ARVIDSJAUR</t>
        </is>
      </c>
      <c r="I118" t="n">
        <v>16.8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10130-2024</t>
        </is>
      </c>
      <c r="B119" t="inlineStr">
        <is>
          <t>avverkningsanmälan</t>
        </is>
      </c>
      <c r="C119" t="inlineStr">
        <is>
          <t>Föryngringsavverkning</t>
        </is>
      </c>
      <c r="D119" s="1" t="n">
        <v>45364</v>
      </c>
      <c r="E119" s="1" t="n">
        <v>46228</v>
      </c>
      <c r="F119" t="inlineStr">
        <is>
          <t>NORRBOTTENS LÄN</t>
        </is>
      </c>
      <c r="G119" t="inlineStr">
        <is>
          <t>ARVIDSJAUR</t>
        </is>
      </c>
      <c r="H119" t="inlineStr">
        <is>
          <t>Sveaskog</t>
        </is>
      </c>
      <c r="I119" t="n">
        <v>22.5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11998-2025</t>
        </is>
      </c>
      <c r="B120" t="inlineStr">
        <is>
          <t>avverkningsanmälan</t>
        </is>
      </c>
      <c r="C120" t="inlineStr">
        <is>
          <t>Föryngringsavverkning</t>
        </is>
      </c>
      <c r="D120" s="1" t="n">
        <v>45728</v>
      </c>
      <c r="E120" s="1" t="n">
        <v>46228</v>
      </c>
      <c r="F120" t="inlineStr">
        <is>
          <t>NORRBOTTENS LÄN</t>
        </is>
      </c>
      <c r="G120" t="inlineStr">
        <is>
          <t>ARVIDSJAUR</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26687-2024</t>
        </is>
      </c>
      <c r="B121" t="inlineStr">
        <is>
          <t>avverkningsanmälan</t>
        </is>
      </c>
      <c r="C121" t="inlineStr">
        <is>
          <t>Föryngringsavverkning</t>
        </is>
      </c>
      <c r="D121" s="1" t="n">
        <v>45470</v>
      </c>
      <c r="E121" s="1" t="n">
        <v>46228</v>
      </c>
      <c r="F121" t="inlineStr">
        <is>
          <t>NORRBOTTENS LÄN</t>
        </is>
      </c>
      <c r="G121" t="inlineStr">
        <is>
          <t>ARVIDSJAUR</t>
        </is>
      </c>
      <c r="H121" t="inlineStr">
        <is>
          <t>Sveaskog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50889-2024</t>
        </is>
      </c>
      <c r="B122" t="inlineStr">
        <is>
          <t>avverkningsanmälan</t>
        </is>
      </c>
      <c r="C122" t="inlineStr">
        <is>
          <t>Föryngringsavverkning</t>
        </is>
      </c>
      <c r="D122" s="1" t="n">
        <v>45602</v>
      </c>
      <c r="E122" s="1" t="n">
        <v>46228</v>
      </c>
      <c r="F122" t="inlineStr">
        <is>
          <t>NORRBOTTENS LÄN</t>
        </is>
      </c>
      <c r="G122" t="inlineStr">
        <is>
          <t>ARVIDSJAUR</t>
        </is>
      </c>
      <c r="H122" t="inlineStr">
        <is>
          <t>Sveaskog</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20698-2022</t>
        </is>
      </c>
      <c r="B123" t="inlineStr">
        <is>
          <t>avverkningsanmälan</t>
        </is>
      </c>
      <c r="C123" t="inlineStr">
        <is>
          <t>Föryngringsavverkning</t>
        </is>
      </c>
      <c r="D123" s="1" t="n">
        <v>44700</v>
      </c>
      <c r="E123" s="1" t="n">
        <v>46228</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36090-2023</t>
        </is>
      </c>
      <c r="B124" t="inlineStr">
        <is>
          <t>avverkningsanmälan</t>
        </is>
      </c>
      <c r="C124" t="inlineStr">
        <is>
          <t>Föryngringsavverkning</t>
        </is>
      </c>
      <c r="D124" s="1" t="n">
        <v>45149</v>
      </c>
      <c r="E124" s="1" t="n">
        <v>46228</v>
      </c>
      <c r="F124" t="inlineStr">
        <is>
          <t>NORRBOTTENS LÄN</t>
        </is>
      </c>
      <c r="G124" t="inlineStr">
        <is>
          <t>ARVIDSJAUR</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52646-2023</t>
        </is>
      </c>
      <c r="B125" t="inlineStr">
        <is>
          <t>avverkningsanmälan</t>
        </is>
      </c>
      <c r="C125" t="inlineStr">
        <is>
          <t>Föryngringsavverkning</t>
        </is>
      </c>
      <c r="D125" s="1" t="n">
        <v>45225</v>
      </c>
      <c r="E125" s="1" t="n">
        <v>46228</v>
      </c>
      <c r="F125" t="inlineStr">
        <is>
          <t>NORRBOTTENS LÄN</t>
        </is>
      </c>
      <c r="G125" t="inlineStr">
        <is>
          <t>ARVIDSJAUR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41235-2022</t>
        </is>
      </c>
      <c r="B126" t="inlineStr">
        <is>
          <t>avverkningsanmälan</t>
        </is>
      </c>
      <c r="C126" t="inlineStr">
        <is>
          <t>Föryngringsavverkning</t>
        </is>
      </c>
      <c r="D126" s="1" t="n">
        <v>44825</v>
      </c>
      <c r="E126" s="1" t="n">
        <v>46228</v>
      </c>
      <c r="F126" t="inlineStr">
        <is>
          <t>NORRBOTTENS LÄN</t>
        </is>
      </c>
      <c r="G126" t="inlineStr">
        <is>
          <t>ARVIDSJAUR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37180-2025</t>
        </is>
      </c>
      <c r="B127" t="inlineStr">
        <is>
          <t>avverkningsanmälan</t>
        </is>
      </c>
      <c r="C127" t="inlineStr">
        <is>
          <t>Föryngringsavverkning</t>
        </is>
      </c>
      <c r="D127" s="1" t="n">
        <v>45875</v>
      </c>
      <c r="E127" s="1" t="n">
        <v>46228</v>
      </c>
      <c r="F127" t="inlineStr">
        <is>
          <t>NORRBOTTENS LÄN</t>
        </is>
      </c>
      <c r="G127" t="inlineStr">
        <is>
          <t>ARVIDSJAUR</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37191-2025</t>
        </is>
      </c>
      <c r="B128" t="inlineStr">
        <is>
          <t>avverkningsanmälan</t>
        </is>
      </c>
      <c r="C128" t="inlineStr">
        <is>
          <t>Avverkning för annat ändamål</t>
        </is>
      </c>
      <c r="D128" s="1" t="n">
        <v>45875</v>
      </c>
      <c r="E128" s="1" t="n">
        <v>46228</v>
      </c>
      <c r="F128" t="inlineStr">
        <is>
          <t>NORRBOTTENS LÄN</t>
        </is>
      </c>
      <c r="G128" t="inlineStr">
        <is>
          <t>ARVIDSJAUR</t>
        </is>
      </c>
      <c r="H128" t="inlineStr">
        <is>
          <t>Sveaskog</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37454-2025</t>
        </is>
      </c>
      <c r="B129" t="inlineStr">
        <is>
          <t>avverkningsanmälan</t>
        </is>
      </c>
      <c r="C129" t="inlineStr">
        <is>
          <t>Föryngringsavverkning</t>
        </is>
      </c>
      <c r="D129" s="1" t="n">
        <v>45877</v>
      </c>
      <c r="E129" s="1" t="n">
        <v>46228</v>
      </c>
      <c r="F129" t="inlineStr">
        <is>
          <t>NORRBOTTENS LÄN</t>
        </is>
      </c>
      <c r="G129" t="inlineStr">
        <is>
          <t>ARVIDSJAUR</t>
        </is>
      </c>
      <c r="H129" t="inlineStr">
        <is>
          <t>Sveaskog</t>
        </is>
      </c>
      <c r="I129" t="n">
        <v>23.4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37448-2025</t>
        </is>
      </c>
      <c r="B130" t="inlineStr">
        <is>
          <t>avverkningsanmälan</t>
        </is>
      </c>
      <c r="C130" t="inlineStr">
        <is>
          <t>Föryngringsavverkning</t>
        </is>
      </c>
      <c r="D130" s="1" t="n">
        <v>45877</v>
      </c>
      <c r="E130" s="1" t="n">
        <v>46228</v>
      </c>
      <c r="F130" t="inlineStr">
        <is>
          <t>NORRBOTTENS LÄN</t>
        </is>
      </c>
      <c r="G130" t="inlineStr">
        <is>
          <t>ARVIDSJAUR</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45127-2021</t>
        </is>
      </c>
      <c r="B131" t="inlineStr">
        <is>
          <t>avverkningsanmälan</t>
        </is>
      </c>
      <c r="C131" t="inlineStr">
        <is>
          <t>Föryngringsavverkning</t>
        </is>
      </c>
      <c r="D131" s="1" t="n">
        <v>44439</v>
      </c>
      <c r="E131" s="1" t="n">
        <v>46228</v>
      </c>
      <c r="F131" t="inlineStr">
        <is>
          <t>NORRBOTTENS LÄN</t>
        </is>
      </c>
      <c r="G131" t="inlineStr">
        <is>
          <t>ARVIDSJAUR</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37788-2025</t>
        </is>
      </c>
      <c r="B132" t="inlineStr">
        <is>
          <t>avverkningsanmälan</t>
        </is>
      </c>
      <c r="C132" t="inlineStr">
        <is>
          <t>Föryngringsavverkning</t>
        </is>
      </c>
      <c r="D132" s="1" t="n">
        <v>45881</v>
      </c>
      <c r="E132" s="1" t="n">
        <v>46228</v>
      </c>
      <c r="F132" t="inlineStr">
        <is>
          <t>NORRBOTTENS LÄN</t>
        </is>
      </c>
      <c r="G132" t="inlineStr">
        <is>
          <t>ARVIDSJAUR</t>
        </is>
      </c>
      <c r="H132" t="inlineStr">
        <is>
          <t>Sveaskog</t>
        </is>
      </c>
      <c r="I132" t="n">
        <v>13.8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37789-2025</t>
        </is>
      </c>
      <c r="B133" t="inlineStr">
        <is>
          <t>avverkningsanmälan</t>
        </is>
      </c>
      <c r="C133" t="inlineStr">
        <is>
          <t>Föryngringsavverkning</t>
        </is>
      </c>
      <c r="D133" s="1" t="n">
        <v>45881</v>
      </c>
      <c r="E133" s="1" t="n">
        <v>46228</v>
      </c>
      <c r="F133" t="inlineStr">
        <is>
          <t>NORRBOTTENS LÄN</t>
        </is>
      </c>
      <c r="G133" t="inlineStr">
        <is>
          <t>ARVIDSJAUR</t>
        </is>
      </c>
      <c r="H133" t="inlineStr">
        <is>
          <t>Sveaskog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31050-2024</t>
        </is>
      </c>
      <c r="B134" t="inlineStr">
        <is>
          <t>avverkningsanmälan</t>
        </is>
      </c>
      <c r="C134" t="inlineStr">
        <is>
          <t>Avverkning för annat ändamål</t>
        </is>
      </c>
      <c r="D134" s="1" t="n">
        <v>45502</v>
      </c>
      <c r="E134" s="1" t="n">
        <v>46228</v>
      </c>
      <c r="F134" t="inlineStr">
        <is>
          <t>NORRBOTTENS LÄN</t>
        </is>
      </c>
      <c r="G134" t="inlineStr">
        <is>
          <t>ARVIDSJAUR</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48608-2024</t>
        </is>
      </c>
      <c r="B135" t="inlineStr">
        <is>
          <t>avverkningsanmälan</t>
        </is>
      </c>
      <c r="C135" t="inlineStr">
        <is>
          <t>Föryngringsavverkning</t>
        </is>
      </c>
      <c r="D135" s="1" t="n">
        <v>45593</v>
      </c>
      <c r="E135" s="1" t="n">
        <v>46228</v>
      </c>
      <c r="F135" t="inlineStr">
        <is>
          <t>NORRBOTTENS LÄN</t>
        </is>
      </c>
      <c r="G135" t="inlineStr">
        <is>
          <t>ARVIDSJAUR</t>
        </is>
      </c>
      <c r="H135" t="inlineStr">
        <is>
          <t>Sveaskog</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37790-2025</t>
        </is>
      </c>
      <c r="B136" t="inlineStr">
        <is>
          <t>avverkningsanmälan</t>
        </is>
      </c>
      <c r="C136" t="inlineStr">
        <is>
          <t>Föryngringsavverkning</t>
        </is>
      </c>
      <c r="D136" s="1" t="n">
        <v>45881</v>
      </c>
      <c r="E136" s="1" t="n">
        <v>46228</v>
      </c>
      <c r="F136" t="inlineStr">
        <is>
          <t>NORRBOTTENS LÄN</t>
        </is>
      </c>
      <c r="G136" t="inlineStr">
        <is>
          <t>ARVIDSJAUR</t>
        </is>
      </c>
      <c r="H136" t="inlineStr">
        <is>
          <t>Sveaskog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53683-2024</t>
        </is>
      </c>
      <c r="B137" t="inlineStr">
        <is>
          <t>avverkningsanmälan</t>
        </is>
      </c>
      <c r="C137" t="inlineStr">
        <is>
          <t>Föryngringsavverkning</t>
        </is>
      </c>
      <c r="D137" s="1" t="n">
        <v>45612</v>
      </c>
      <c r="E137" s="1" t="n">
        <v>46228</v>
      </c>
      <c r="F137" t="inlineStr">
        <is>
          <t>NORRBOTTENS LÄN</t>
        </is>
      </c>
      <c r="G137" t="inlineStr">
        <is>
          <t>ARVIDSJAUR</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60516-2022</t>
        </is>
      </c>
      <c r="B138" t="inlineStr">
        <is>
          <t>avverkningsanmälan</t>
        </is>
      </c>
      <c r="C138" t="inlineStr">
        <is>
          <t>Föryngringsavverkning</t>
        </is>
      </c>
      <c r="D138" s="1" t="n">
        <v>44911</v>
      </c>
      <c r="E138" s="1" t="n">
        <v>46228</v>
      </c>
      <c r="F138" t="inlineStr">
        <is>
          <t>NORRBOTTENS LÄN</t>
        </is>
      </c>
      <c r="G138" t="inlineStr">
        <is>
          <t>ARVIDSJAUR</t>
        </is>
      </c>
      <c r="H138" t="inlineStr">
        <is>
          <t>Sveaskog</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39402-2025</t>
        </is>
      </c>
      <c r="B139" t="inlineStr">
        <is>
          <t>avverkningsanmälan</t>
        </is>
      </c>
      <c r="C139" t="inlineStr">
        <is>
          <t>Avverkning för annat ändamål</t>
        </is>
      </c>
      <c r="D139" s="1" t="n">
        <v>45889</v>
      </c>
      <c r="E139" s="1" t="n">
        <v>46228</v>
      </c>
      <c r="F139" t="inlineStr">
        <is>
          <t>NORRBOTTENS LÄN</t>
        </is>
      </c>
      <c r="G139" t="inlineStr">
        <is>
          <t>ARVIDSJAUR</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39397-2025</t>
        </is>
      </c>
      <c r="B140" t="inlineStr">
        <is>
          <t>avverkningsanmälan</t>
        </is>
      </c>
      <c r="C140" t="inlineStr">
        <is>
          <t>Avverkning för annat ändamål</t>
        </is>
      </c>
      <c r="D140" s="1" t="n">
        <v>45889</v>
      </c>
      <c r="E140" s="1" t="n">
        <v>46228</v>
      </c>
      <c r="F140" t="inlineStr">
        <is>
          <t>NORRBOTTENS LÄN</t>
        </is>
      </c>
      <c r="G140" t="inlineStr">
        <is>
          <t>ARVIDSJAUR</t>
        </is>
      </c>
      <c r="H140" t="inlineStr">
        <is>
          <t>Sveaskog</t>
        </is>
      </c>
      <c r="I140" t="n">
        <v>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39006-2025</t>
        </is>
      </c>
      <c r="B141" t="inlineStr">
        <is>
          <t>avverkningsanmälan</t>
        </is>
      </c>
      <c r="C141" t="inlineStr">
        <is>
          <t>Föryngringsavverkning</t>
        </is>
      </c>
      <c r="D141" s="1" t="n">
        <v>45888</v>
      </c>
      <c r="E141" s="1" t="n">
        <v>46228</v>
      </c>
      <c r="F141" t="inlineStr">
        <is>
          <t>NORRBOTTENS LÄN</t>
        </is>
      </c>
      <c r="G141" t="inlineStr">
        <is>
          <t>ARVIDSJAUR</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39584-2025</t>
        </is>
      </c>
      <c r="B142" t="inlineStr">
        <is>
          <t>avverkningsanmälan</t>
        </is>
      </c>
      <c r="C142" t="inlineStr">
        <is>
          <t>Avverkning för annat ändamål</t>
        </is>
      </c>
      <c r="D142" s="1" t="n">
        <v>45890</v>
      </c>
      <c r="E142" s="1" t="n">
        <v>46228</v>
      </c>
      <c r="F142" t="inlineStr">
        <is>
          <t>NORRBOTTENS LÄN</t>
        </is>
      </c>
      <c r="G142" t="inlineStr">
        <is>
          <t>ARVIDSJAUR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10838-2025</t>
        </is>
      </c>
      <c r="B143" t="inlineStr">
        <is>
          <t>avverkningsanmälan</t>
        </is>
      </c>
      <c r="C143" t="inlineStr">
        <is>
          <t>Föryngringsavverkning</t>
        </is>
      </c>
      <c r="D143" s="1" t="n">
        <v>45722</v>
      </c>
      <c r="E143" s="1" t="n">
        <v>46228</v>
      </c>
      <c r="F143" t="inlineStr">
        <is>
          <t>NORRBOTTENS LÄN</t>
        </is>
      </c>
      <c r="G143" t="inlineStr">
        <is>
          <t>ARVIDSJAUR</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2309-2023</t>
        </is>
      </c>
      <c r="B144" t="inlineStr">
        <is>
          <t>avverkningsanmälan</t>
        </is>
      </c>
      <c r="C144" t="inlineStr">
        <is>
          <t>Föryngringsavverkning</t>
        </is>
      </c>
      <c r="D144" s="1" t="n">
        <v>44942</v>
      </c>
      <c r="E144" s="1" t="n">
        <v>46228</v>
      </c>
      <c r="F144" t="inlineStr">
        <is>
          <t>NORRBOTTENS LÄN</t>
        </is>
      </c>
      <c r="G144" t="inlineStr">
        <is>
          <t>ARVIDSJAUR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60888-2021</t>
        </is>
      </c>
      <c r="B145" t="inlineStr">
        <is>
          <t>avverkningsanmälan</t>
        </is>
      </c>
      <c r="C145" t="inlineStr">
        <is>
          <t>Avverkning för annat ändamål</t>
        </is>
      </c>
      <c r="D145" s="1" t="n">
        <v>44497</v>
      </c>
      <c r="E145" s="1" t="n">
        <v>46228</v>
      </c>
      <c r="F145" t="inlineStr">
        <is>
          <t>NORRBOTTENS LÄN</t>
        </is>
      </c>
      <c r="G145" t="inlineStr">
        <is>
          <t>ARVIDSJAUR</t>
        </is>
      </c>
      <c r="H145" t="inlineStr">
        <is>
          <t>Sveaskog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2778-2023</t>
        </is>
      </c>
      <c r="B146" t="inlineStr">
        <is>
          <t>avverkningsanmälan</t>
        </is>
      </c>
      <c r="C146" t="inlineStr">
        <is>
          <t>Avverkning för att bevara och utveckla /försöksver</t>
        </is>
      </c>
      <c r="D146" s="1" t="n">
        <v>44944</v>
      </c>
      <c r="E146" s="1" t="n">
        <v>46228</v>
      </c>
      <c r="F146" t="inlineStr">
        <is>
          <t>NORRBOTTENS LÄN</t>
        </is>
      </c>
      <c r="G146" t="inlineStr">
        <is>
          <t>ARVIDSJAUR</t>
        </is>
      </c>
      <c r="H146" t="inlineStr">
        <is>
          <t>Sveaskog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25121-2024</t>
        </is>
      </c>
      <c r="B147" t="inlineStr">
        <is>
          <t>avverkningsanmälan</t>
        </is>
      </c>
      <c r="C147" t="inlineStr">
        <is>
          <t>Föryngringsavverkning</t>
        </is>
      </c>
      <c r="D147" s="1" t="n">
        <v>45462</v>
      </c>
      <c r="E147" s="1" t="n">
        <v>46228</v>
      </c>
      <c r="F147" t="inlineStr">
        <is>
          <t>NORRBOTTENS LÄN</t>
        </is>
      </c>
      <c r="G147" t="inlineStr">
        <is>
          <t>ARVIDSJAUR</t>
        </is>
      </c>
      <c r="H147" t="inlineStr">
        <is>
          <t>Sveaskog</t>
        </is>
      </c>
      <c r="I147" t="n">
        <v>9.699999999999999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54529-2023</t>
        </is>
      </c>
      <c r="B148" t="inlineStr">
        <is>
          <t>avverkningsanmälan</t>
        </is>
      </c>
      <c r="C148" t="inlineStr">
        <is>
          <t>Föryngringsavverkning</t>
        </is>
      </c>
      <c r="D148" s="1" t="n">
        <v>45226</v>
      </c>
      <c r="E148" s="1" t="n">
        <v>46228</v>
      </c>
      <c r="F148" t="inlineStr">
        <is>
          <t>NORRBOTTENS LÄN</t>
        </is>
      </c>
      <c r="G148" t="inlineStr">
        <is>
          <t>ARVIDSJAUR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42694-2021</t>
        </is>
      </c>
      <c r="B149" t="inlineStr">
        <is>
          <t>avverkningsanmälan</t>
        </is>
      </c>
      <c r="C149" t="inlineStr">
        <is>
          <t>Föryngringsavverkning</t>
        </is>
      </c>
      <c r="D149" s="1" t="n">
        <v>44428</v>
      </c>
      <c r="E149" s="1" t="n">
        <v>46228</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43198-2025</t>
        </is>
      </c>
      <c r="B150" t="inlineStr">
        <is>
          <t>avverkningsanmälan</t>
        </is>
      </c>
      <c r="C150" t="inlineStr">
        <is>
          <t>Föryngringsavverkning</t>
        </is>
      </c>
      <c r="D150" s="1" t="n">
        <v>45910</v>
      </c>
      <c r="E150" s="1" t="n">
        <v>46228</v>
      </c>
      <c r="F150" t="inlineStr">
        <is>
          <t>NORRBOTTENS LÄN</t>
        </is>
      </c>
      <c r="G150" t="inlineStr">
        <is>
          <t>ARVIDSJAUR</t>
        </is>
      </c>
      <c r="H150" t="inlineStr">
        <is>
          <t>Sveaskog</t>
        </is>
      </c>
      <c r="I150" t="n">
        <v>17.9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46228</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43165-2025</t>
        </is>
      </c>
      <c r="B152" t="inlineStr">
        <is>
          <t>avverkningsanmälan</t>
        </is>
      </c>
      <c r="C152" t="inlineStr">
        <is>
          <t>Föryngringsavverkning</t>
        </is>
      </c>
      <c r="D152" s="1" t="n">
        <v>45910</v>
      </c>
      <c r="E152" s="1" t="n">
        <v>46228</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43184-2025</t>
        </is>
      </c>
      <c r="B153" t="inlineStr">
        <is>
          <t>avverkningsanmälan</t>
        </is>
      </c>
      <c r="C153" t="inlineStr">
        <is>
          <t>Föryngringsavverkning</t>
        </is>
      </c>
      <c r="D153" s="1" t="n">
        <v>45910</v>
      </c>
      <c r="E153" s="1" t="n">
        <v>46228</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46228</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46228</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48358-2024</t>
        </is>
      </c>
      <c r="B156" t="inlineStr">
        <is>
          <t>avverkningsanmälan</t>
        </is>
      </c>
      <c r="C156" t="inlineStr">
        <is>
          <t>Föryngringsavverkning</t>
        </is>
      </c>
      <c r="D156" s="1" t="n">
        <v>45590</v>
      </c>
      <c r="E156" s="1" t="n">
        <v>46228</v>
      </c>
      <c r="F156" t="inlineStr">
        <is>
          <t>NORRBOTTENS LÄN</t>
        </is>
      </c>
      <c r="G156" t="inlineStr">
        <is>
          <t>ARVIDSJAUR</t>
        </is>
      </c>
      <c r="H156" t="inlineStr">
        <is>
          <t>Sveaskog</t>
        </is>
      </c>
      <c r="I156" t="n">
        <v>20.3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46228</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46228</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46228</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46228</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46228</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46228</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46228</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45217-2025</t>
        </is>
      </c>
      <c r="B164" t="inlineStr">
        <is>
          <t>avverkningsanmälan</t>
        </is>
      </c>
      <c r="C164" t="inlineStr">
        <is>
          <t>Föryngringsavverkning</t>
        </is>
      </c>
      <c r="D164" s="1" t="n">
        <v>45919</v>
      </c>
      <c r="E164" s="1" t="n">
        <v>46228</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46228</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46228</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46228</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46228</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48892-2024</t>
        </is>
      </c>
      <c r="B169" t="inlineStr">
        <is>
          <t>avverkningsanmälan</t>
        </is>
      </c>
      <c r="C169" t="inlineStr">
        <is>
          <t>Föryngringsavverkning</t>
        </is>
      </c>
      <c r="D169" s="1" t="n">
        <v>45594</v>
      </c>
      <c r="E169" s="1" t="n">
        <v>46228</v>
      </c>
      <c r="F169" t="inlineStr">
        <is>
          <t>NORRBOTTENS LÄN</t>
        </is>
      </c>
      <c r="G169" t="inlineStr">
        <is>
          <t>ARVIDSJAUR</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45643-2025</t>
        </is>
      </c>
      <c r="B170" t="inlineStr">
        <is>
          <t>avverkningsanmälan</t>
        </is>
      </c>
      <c r="C170" t="inlineStr">
        <is>
          <t>Föryngringsavverkning</t>
        </is>
      </c>
      <c r="D170" s="1" t="n">
        <v>45923</v>
      </c>
      <c r="E170" s="1" t="n">
        <v>46228</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46170-2025</t>
        </is>
      </c>
      <c r="B171" t="inlineStr">
        <is>
          <t>avverkningsanmälan</t>
        </is>
      </c>
      <c r="C171" t="inlineStr">
        <is>
          <t>Föryngringsavverkning</t>
        </is>
      </c>
      <c r="D171" s="1" t="n">
        <v>45924</v>
      </c>
      <c r="E171" s="1" t="n">
        <v>46228</v>
      </c>
      <c r="F171" t="inlineStr">
        <is>
          <t>NORRBOTTENS LÄN</t>
        </is>
      </c>
      <c r="G171" t="inlineStr">
        <is>
          <t>ARVIDSJAUR</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45984-2025</t>
        </is>
      </c>
      <c r="B172" t="inlineStr">
        <is>
          <t>avverkningsanmälan</t>
        </is>
      </c>
      <c r="C172" t="inlineStr">
        <is>
          <t>Föryngringsavverkning</t>
        </is>
      </c>
      <c r="D172" s="1" t="n">
        <v>45924</v>
      </c>
      <c r="E172" s="1" t="n">
        <v>46228</v>
      </c>
      <c r="F172" t="inlineStr">
        <is>
          <t>NORRBOTTENS LÄN</t>
        </is>
      </c>
      <c r="G172" t="inlineStr">
        <is>
          <t>ARVIDSJAUR</t>
        </is>
      </c>
      <c r="H172" t="inlineStr">
        <is>
          <t>Sveaskog</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46228</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46228</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22997-2024</t>
        </is>
      </c>
      <c r="B175" t="inlineStr">
        <is>
          <t>avverkningsanmälan</t>
        </is>
      </c>
      <c r="C175" t="inlineStr">
        <is>
          <t>Föryngringsavverkning</t>
        </is>
      </c>
      <c r="D175" s="1" t="n">
        <v>45450</v>
      </c>
      <c r="E175" s="1" t="n">
        <v>46228</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47039-2025</t>
        </is>
      </c>
      <c r="B176" t="inlineStr">
        <is>
          <t>avverkningsanmälan</t>
        </is>
      </c>
      <c r="C176" t="inlineStr">
        <is>
          <t>Avverkning för annat ändamål</t>
        </is>
      </c>
      <c r="D176" s="1" t="n">
        <v>45929</v>
      </c>
      <c r="E176" s="1" t="n">
        <v>46228</v>
      </c>
      <c r="F176" t="inlineStr">
        <is>
          <t>NORRBOTTENS LÄN</t>
        </is>
      </c>
      <c r="G176" t="inlineStr">
        <is>
          <t>ARVIDSJAUR</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48331-2025</t>
        </is>
      </c>
      <c r="B177" t="inlineStr">
        <is>
          <t>avverkningsanmälan</t>
        </is>
      </c>
      <c r="C177" t="inlineStr">
        <is>
          <t>Föryngringsavverkning</t>
        </is>
      </c>
      <c r="D177" s="1" t="n">
        <v>45933</v>
      </c>
      <c r="E177" s="1" t="n">
        <v>46228</v>
      </c>
      <c r="F177" t="inlineStr">
        <is>
          <t>NORRBOTTENS LÄN</t>
        </is>
      </c>
      <c r="G177" t="inlineStr">
        <is>
          <t>ARVIDSJAUR</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54218-2024</t>
        </is>
      </c>
      <c r="B178" t="inlineStr">
        <is>
          <t>avverkningsanmälan</t>
        </is>
      </c>
      <c r="C178" t="inlineStr">
        <is>
          <t>Föryngringsavverkning</t>
        </is>
      </c>
      <c r="D178" s="1" t="n">
        <v>45616</v>
      </c>
      <c r="E178" s="1" t="n">
        <v>46228</v>
      </c>
      <c r="F178" t="inlineStr">
        <is>
          <t>NORRBOTTENS LÄN</t>
        </is>
      </c>
      <c r="G178" t="inlineStr">
        <is>
          <t>ARVIDSJAUR</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11582-2025</t>
        </is>
      </c>
      <c r="B179" t="inlineStr">
        <is>
          <t>avverkningsanmälan</t>
        </is>
      </c>
      <c r="C179" t="inlineStr">
        <is>
          <t>Föryngringsavverkning</t>
        </is>
      </c>
      <c r="D179" s="1" t="n">
        <v>45726</v>
      </c>
      <c r="E179" s="1" t="n">
        <v>46228</v>
      </c>
      <c r="F179" t="inlineStr">
        <is>
          <t>NORRBOTTENS LÄN</t>
        </is>
      </c>
      <c r="G179" t="inlineStr">
        <is>
          <t>ARVIDSJAUR</t>
        </is>
      </c>
      <c r="H179" t="inlineStr">
        <is>
          <t>Allmännings- och besparingsskogar</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48005-2025</t>
        </is>
      </c>
      <c r="B180" t="inlineStr">
        <is>
          <t>avverkningsanmälan</t>
        </is>
      </c>
      <c r="C180" t="inlineStr">
        <is>
          <t>Föryngringsavverkning</t>
        </is>
      </c>
      <c r="D180" s="1" t="n">
        <v>45932</v>
      </c>
      <c r="E180" s="1" t="n">
        <v>46228</v>
      </c>
      <c r="F180" t="inlineStr">
        <is>
          <t>NORRBOTTENS LÄN</t>
        </is>
      </c>
      <c r="G180" t="inlineStr">
        <is>
          <t>ARVIDSJAUR</t>
        </is>
      </c>
      <c r="H180" t="inlineStr">
        <is>
          <t>Sveaskog</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46228</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45034-2023</t>
        </is>
      </c>
      <c r="B182" t="inlineStr">
        <is>
          <t>avverkningsanmälan</t>
        </is>
      </c>
      <c r="C182" t="inlineStr">
        <is>
          <t>Föryngringsavverkning</t>
        </is>
      </c>
      <c r="D182" s="1" t="n">
        <v>45191</v>
      </c>
      <c r="E182" s="1" t="n">
        <v>46228</v>
      </c>
      <c r="F182" t="inlineStr">
        <is>
          <t>NORRBOTTENS LÄN</t>
        </is>
      </c>
      <c r="G182" t="inlineStr">
        <is>
          <t>ARVIDSJAUR</t>
        </is>
      </c>
      <c r="H182" t="inlineStr">
        <is>
          <t>Sveaskog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46228</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48008-2025</t>
        </is>
      </c>
      <c r="B184" t="inlineStr">
        <is>
          <t>avverkningsanmälan</t>
        </is>
      </c>
      <c r="C184" t="inlineStr">
        <is>
          <t>Föryngringsavverkning</t>
        </is>
      </c>
      <c r="D184" s="1" t="n">
        <v>45932</v>
      </c>
      <c r="E184" s="1" t="n">
        <v>46228</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48856-2025</t>
        </is>
      </c>
      <c r="B185" t="inlineStr">
        <is>
          <t>avverkningsanmälan</t>
        </is>
      </c>
      <c r="C185" t="inlineStr">
        <is>
          <t>Föryngringsavverkning</t>
        </is>
      </c>
      <c r="D185" s="1" t="n">
        <v>45937</v>
      </c>
      <c r="E185" s="1" t="n">
        <v>46228</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46228</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51403-2025</t>
        </is>
      </c>
      <c r="B187" t="inlineStr">
        <is>
          <t>avverkningsanmälan</t>
        </is>
      </c>
      <c r="C187" t="inlineStr">
        <is>
          <t>Föryngringsavverkning</t>
        </is>
      </c>
      <c r="D187" s="1" t="n">
        <v>45950</v>
      </c>
      <c r="E187" s="1" t="n">
        <v>46228</v>
      </c>
      <c r="F187" t="inlineStr">
        <is>
          <t>NORRBOTTENS LÄN</t>
        </is>
      </c>
      <c r="G187" t="inlineStr">
        <is>
          <t>ARVIDSJAUR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46228</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29514-2025</t>
        </is>
      </c>
      <c r="B189" t="inlineStr">
        <is>
          <t>avverkningsanmälan</t>
        </is>
      </c>
      <c r="C189" t="inlineStr">
        <is>
          <t>Föryngringsavverkning</t>
        </is>
      </c>
      <c r="D189" s="1" t="n">
        <v>45825</v>
      </c>
      <c r="E189" s="1" t="n">
        <v>46228</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46228</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24810-2023</t>
        </is>
      </c>
      <c r="B191" t="inlineStr">
        <is>
          <t>avverkningsanmälan</t>
        </is>
      </c>
      <c r="C191" t="inlineStr">
        <is>
          <t>Föryngringsavverkning</t>
        </is>
      </c>
      <c r="D191" s="1" t="n">
        <v>45084</v>
      </c>
      <c r="E191" s="1" t="n">
        <v>46228</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50350-2025</t>
        </is>
      </c>
      <c r="B192" t="inlineStr">
        <is>
          <t>avverkningsanmälan</t>
        </is>
      </c>
      <c r="C192" t="inlineStr">
        <is>
          <t>Föryngringsavverkning</t>
        </is>
      </c>
      <c r="D192" s="1" t="n">
        <v>45944</v>
      </c>
      <c r="E192" s="1" t="n">
        <v>46228</v>
      </c>
      <c r="F192" t="inlineStr">
        <is>
          <t>NORRBOTTENS LÄN</t>
        </is>
      </c>
      <c r="G192" t="inlineStr">
        <is>
          <t>ARVIDSJAUR</t>
        </is>
      </c>
      <c r="H192" t="inlineStr">
        <is>
          <t>Sveaskog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36791-2024</t>
        </is>
      </c>
      <c r="B193" t="inlineStr">
        <is>
          <t>avverkningsanmälan</t>
        </is>
      </c>
      <c r="C193" t="inlineStr">
        <is>
          <t>Föryngringsavverkning</t>
        </is>
      </c>
      <c r="D193" s="1" t="n">
        <v>45538</v>
      </c>
      <c r="E193" s="1" t="n">
        <v>46228</v>
      </c>
      <c r="F193" t="inlineStr">
        <is>
          <t>NORRBOTTENS LÄN</t>
        </is>
      </c>
      <c r="G193" t="inlineStr">
        <is>
          <t>ARVIDSJAUR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46228</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46228</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52645-2023</t>
        </is>
      </c>
      <c r="B196" t="inlineStr">
        <is>
          <t>avverkningsanmälan</t>
        </is>
      </c>
      <c r="C196" t="inlineStr">
        <is>
          <t>Föryngringsavverkning</t>
        </is>
      </c>
      <c r="D196" s="1" t="n">
        <v>45225</v>
      </c>
      <c r="E196" s="1" t="n">
        <v>46228</v>
      </c>
      <c r="F196" t="inlineStr">
        <is>
          <t>NORRBOTTENS LÄN</t>
        </is>
      </c>
      <c r="G196" t="inlineStr">
        <is>
          <t>ARVIDSJAUR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46228</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46228</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22565-2025</t>
        </is>
      </c>
      <c r="B199" t="inlineStr">
        <is>
          <t>avverkningsanmälan</t>
        </is>
      </c>
      <c r="C199" t="inlineStr">
        <is>
          <t>Föryngringsavverkning</t>
        </is>
      </c>
      <c r="D199" s="1" t="n">
        <v>45786</v>
      </c>
      <c r="E199" s="1" t="n">
        <v>46228</v>
      </c>
      <c r="F199" t="inlineStr">
        <is>
          <t>NORRBOTTENS LÄN</t>
        </is>
      </c>
      <c r="G199" t="inlineStr">
        <is>
          <t>ARVIDSJAUR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51406-2025</t>
        </is>
      </c>
      <c r="B200" t="inlineStr">
        <is>
          <t>avverkningsanmälan</t>
        </is>
      </c>
      <c r="C200" t="inlineStr">
        <is>
          <t>Föryngringsavverkning</t>
        </is>
      </c>
      <c r="D200" s="1" t="n">
        <v>45950</v>
      </c>
      <c r="E200" s="1" t="n">
        <v>46228</v>
      </c>
      <c r="F200" t="inlineStr">
        <is>
          <t>NORRBOTTENS LÄN</t>
        </is>
      </c>
      <c r="G200" t="inlineStr">
        <is>
          <t>ARVIDSJAUR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46228</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46228</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27142-2026</t>
        </is>
      </c>
      <c r="B203" t="inlineStr">
        <is>
          <t>avverkningsanmälan</t>
        </is>
      </c>
      <c r="C203" t="inlineStr">
        <is>
          <t>Avverkning för annat ändamål</t>
        </is>
      </c>
      <c r="D203" s="1" t="n">
        <v>46188</v>
      </c>
      <c r="E203" s="1" t="n">
        <v>46228</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27144-2026</t>
        </is>
      </c>
      <c r="B204" t="inlineStr">
        <is>
          <t>avverkningsanmälan</t>
        </is>
      </c>
      <c r="C204" t="inlineStr">
        <is>
          <t>Avverkning för annat ändamål</t>
        </is>
      </c>
      <c r="D204" s="1" t="n">
        <v>46188</v>
      </c>
      <c r="E204" s="1" t="n">
        <v>46228</v>
      </c>
      <c r="F204" t="inlineStr">
        <is>
          <t>NORRBOTTENS LÄN</t>
        </is>
      </c>
      <c r="G204" t="inlineStr">
        <is>
          <t>ARVIDSJAUR</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46228</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46228</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26394-2026</t>
        </is>
      </c>
      <c r="B207" t="inlineStr">
        <is>
          <t>avverkningsanmälan</t>
        </is>
      </c>
      <c r="C207" t="inlineStr">
        <is>
          <t>Föryngringsavverkning</t>
        </is>
      </c>
      <c r="D207" s="1" t="n">
        <v>46182</v>
      </c>
      <c r="E207" s="1" t="n">
        <v>46228</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21054-2026</t>
        </is>
      </c>
      <c r="B208" t="inlineStr">
        <is>
          <t>avverkningsanmälan</t>
        </is>
      </c>
      <c r="C208" t="inlineStr">
        <is>
          <t>Föryngringsavverkning</t>
        </is>
      </c>
      <c r="D208" s="1" t="n">
        <v>46146</v>
      </c>
      <c r="E208" s="1" t="n">
        <v>46228</v>
      </c>
      <c r="F208" t="inlineStr">
        <is>
          <t>NORRBOTTENS LÄN</t>
        </is>
      </c>
      <c r="G208" t="inlineStr">
        <is>
          <t>ARVIDSJAUR</t>
        </is>
      </c>
      <c r="H208" t="inlineStr">
        <is>
          <t>Sveaskog</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21255-2026</t>
        </is>
      </c>
      <c r="B209" t="inlineStr">
        <is>
          <t>avverkningsanmälan</t>
        </is>
      </c>
      <c r="C209" t="inlineStr">
        <is>
          <t>Föryngringsavverkning</t>
        </is>
      </c>
      <c r="D209" s="1" t="n">
        <v>46147</v>
      </c>
      <c r="E209" s="1" t="n">
        <v>46228</v>
      </c>
      <c r="F209" t="inlineStr">
        <is>
          <t>NORRBOTTENS LÄN</t>
        </is>
      </c>
      <c r="G209" t="inlineStr">
        <is>
          <t>ARVIDSJAUR</t>
        </is>
      </c>
      <c r="H209" t="inlineStr">
        <is>
          <t>Sveaskog</t>
        </is>
      </c>
      <c r="I209" t="n">
        <v>28.3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27101-2026</t>
        </is>
      </c>
      <c r="B210" t="inlineStr">
        <is>
          <t>avverkningsanmälan</t>
        </is>
      </c>
      <c r="C210" t="inlineStr">
        <is>
          <t>Avverkning för annat ändamål</t>
        </is>
      </c>
      <c r="D210" s="1" t="n">
        <v>46188</v>
      </c>
      <c r="E210" s="1" t="n">
        <v>46228</v>
      </c>
      <c r="F210" t="inlineStr">
        <is>
          <t>NORRBOTTENS LÄN</t>
        </is>
      </c>
      <c r="G210" t="inlineStr">
        <is>
          <t>ARVIDSJAUR</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27157-2026</t>
        </is>
      </c>
      <c r="B211" t="inlineStr">
        <is>
          <t>avverkningsanmälan</t>
        </is>
      </c>
      <c r="C211" t="inlineStr">
        <is>
          <t>Avverkning för annat ändamål</t>
        </is>
      </c>
      <c r="D211" s="1" t="n">
        <v>46188</v>
      </c>
      <c r="E211" s="1" t="n">
        <v>46228</v>
      </c>
      <c r="F211" t="inlineStr">
        <is>
          <t>NORRBOTTENS LÄN</t>
        </is>
      </c>
      <c r="G211" t="inlineStr">
        <is>
          <t>ARVIDSJAUR</t>
        </is>
      </c>
      <c r="H211" t="inlineStr">
        <is>
          <t>Sveaskog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21056-2026</t>
        </is>
      </c>
      <c r="B212" t="inlineStr">
        <is>
          <t>avverkningsanmälan</t>
        </is>
      </c>
      <c r="C212" t="inlineStr">
        <is>
          <t>Föryngringsavverkning</t>
        </is>
      </c>
      <c r="D212" s="1" t="n">
        <v>46146</v>
      </c>
      <c r="E212" s="1" t="n">
        <v>46228</v>
      </c>
      <c r="F212" t="inlineStr">
        <is>
          <t>NORRBOTTENS LÄN</t>
        </is>
      </c>
      <c r="G212" t="inlineStr">
        <is>
          <t>ARVIDSJAUR</t>
        </is>
      </c>
      <c r="H212" t="inlineStr">
        <is>
          <t>Sveaskog</t>
        </is>
      </c>
      <c r="I212" t="n">
        <v>16.7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21057-2026</t>
        </is>
      </c>
      <c r="B213" t="inlineStr">
        <is>
          <t>avverkningsanmälan</t>
        </is>
      </c>
      <c r="C213" t="inlineStr">
        <is>
          <t>Föryngringsavverkning</t>
        </is>
      </c>
      <c r="D213" s="1" t="n">
        <v>46146</v>
      </c>
      <c r="E213" s="1" t="n">
        <v>46228</v>
      </c>
      <c r="F213" t="inlineStr">
        <is>
          <t>NORRBOTTENS LÄN</t>
        </is>
      </c>
      <c r="G213" t="inlineStr">
        <is>
          <t>ARVIDSJAUR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21061-2026</t>
        </is>
      </c>
      <c r="B214" t="inlineStr">
        <is>
          <t>avverkningsanmälan</t>
        </is>
      </c>
      <c r="C214" t="inlineStr">
        <is>
          <t>Föryngringsavverkning</t>
        </is>
      </c>
      <c r="D214" s="1" t="n">
        <v>46146</v>
      </c>
      <c r="E214" s="1" t="n">
        <v>46228</v>
      </c>
      <c r="F214" t="inlineStr">
        <is>
          <t>NORRBOTTENS LÄN</t>
        </is>
      </c>
      <c r="G214" t="inlineStr">
        <is>
          <t>ARVIDSJAUR</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22688-2024</t>
        </is>
      </c>
      <c r="B215" t="inlineStr">
        <is>
          <t>avverkningsanmälan</t>
        </is>
      </c>
      <c r="C215" t="inlineStr">
        <is>
          <t>Föryngringsavverkning</t>
        </is>
      </c>
      <c r="D215" s="1" t="n">
        <v>45448</v>
      </c>
      <c r="E215" s="1" t="n">
        <v>46228</v>
      </c>
      <c r="F215" t="inlineStr">
        <is>
          <t>NORRBOTTENS LÄN</t>
        </is>
      </c>
      <c r="G215" t="inlineStr">
        <is>
          <t>ARVIDSJAUR</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22691-2024</t>
        </is>
      </c>
      <c r="B216" t="inlineStr">
        <is>
          <t>avverkningsanmälan</t>
        </is>
      </c>
      <c r="C216" t="inlineStr">
        <is>
          <t>Föryngringsavverkning</t>
        </is>
      </c>
      <c r="D216" s="1" t="n">
        <v>45448</v>
      </c>
      <c r="E216" s="1" t="n">
        <v>46228</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21062-2026</t>
        </is>
      </c>
      <c r="B217" t="inlineStr">
        <is>
          <t>avverkningsanmälan</t>
        </is>
      </c>
      <c r="C217" t="inlineStr">
        <is>
          <t>Föryngringsavverkning</t>
        </is>
      </c>
      <c r="D217" s="1" t="n">
        <v>46146</v>
      </c>
      <c r="E217" s="1" t="n">
        <v>46228</v>
      </c>
      <c r="F217" t="inlineStr">
        <is>
          <t>NORRBOTTENS LÄN</t>
        </is>
      </c>
      <c r="G217" t="inlineStr">
        <is>
          <t>ARVIDSJAUR</t>
        </is>
      </c>
      <c r="H217" t="inlineStr">
        <is>
          <t>Sveaskog</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49141-2022</t>
        </is>
      </c>
      <c r="B218" t="inlineStr">
        <is>
          <t>avverkningsanmälan</t>
        </is>
      </c>
      <c r="C218" t="inlineStr">
        <is>
          <t>Föryngringsavverkning</t>
        </is>
      </c>
      <c r="D218" s="1" t="n">
        <v>44860</v>
      </c>
      <c r="E218" s="1" t="n">
        <v>46228</v>
      </c>
      <c r="F218" t="inlineStr">
        <is>
          <t>NORRBOTTENS LÄN</t>
        </is>
      </c>
      <c r="G218" t="inlineStr">
        <is>
          <t>ARVIDSJAUR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27160-2026</t>
        </is>
      </c>
      <c r="B219" t="inlineStr">
        <is>
          <t>avverkningsanmälan</t>
        </is>
      </c>
      <c r="C219" t="inlineStr">
        <is>
          <t>Avverkning för annat ändamål</t>
        </is>
      </c>
      <c r="D219" s="1" t="n">
        <v>46188</v>
      </c>
      <c r="E219" s="1" t="n">
        <v>46228</v>
      </c>
      <c r="F219" t="inlineStr">
        <is>
          <t>NORRBOTTENS LÄN</t>
        </is>
      </c>
      <c r="G219" t="inlineStr">
        <is>
          <t>ARVIDSJAUR</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36452-2024</t>
        </is>
      </c>
      <c r="B220" t="inlineStr">
        <is>
          <t>avverkningsanmälan</t>
        </is>
      </c>
      <c r="C220" t="inlineStr">
        <is>
          <t>Föryngringsavverkning</t>
        </is>
      </c>
      <c r="D220" s="1" t="n">
        <v>45537</v>
      </c>
      <c r="E220" s="1" t="n">
        <v>46228</v>
      </c>
      <c r="F220" t="inlineStr">
        <is>
          <t>NORRBOTTENS LÄN</t>
        </is>
      </c>
      <c r="G220" t="inlineStr">
        <is>
          <t>ARVIDSJAUR</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54223-2025</t>
        </is>
      </c>
      <c r="B221" t="inlineStr">
        <is>
          <t>avverkningsanmälan</t>
        </is>
      </c>
      <c r="C221" t="inlineStr">
        <is>
          <t>Föryngringsavverkning</t>
        </is>
      </c>
      <c r="D221" s="1" t="n">
        <v>45964</v>
      </c>
      <c r="E221" s="1" t="n">
        <v>46228</v>
      </c>
      <c r="F221" t="inlineStr">
        <is>
          <t>NORRBOTTENS LÄN</t>
        </is>
      </c>
      <c r="G221" t="inlineStr">
        <is>
          <t>ARVIDSJAUR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54304-2025</t>
        </is>
      </c>
      <c r="B222" t="inlineStr">
        <is>
          <t>avverkningsanmälan</t>
        </is>
      </c>
      <c r="C222" t="inlineStr">
        <is>
          <t>Föryngringsavverkning</t>
        </is>
      </c>
      <c r="D222" s="1" t="n">
        <v>45965</v>
      </c>
      <c r="E222" s="1" t="n">
        <v>46228</v>
      </c>
      <c r="F222" t="inlineStr">
        <is>
          <t>NORRBOTTENS LÄN</t>
        </is>
      </c>
      <c r="G222" t="inlineStr">
        <is>
          <t>ARVIDSJAUR</t>
        </is>
      </c>
      <c r="H222" t="inlineStr">
        <is>
          <t>Sveaskog</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54305-2025</t>
        </is>
      </c>
      <c r="B223" t="inlineStr">
        <is>
          <t>avverkningsanmälan</t>
        </is>
      </c>
      <c r="C223" t="inlineStr">
        <is>
          <t>Föryngringsavverkning</t>
        </is>
      </c>
      <c r="D223" s="1" t="n">
        <v>45965</v>
      </c>
      <c r="E223" s="1" t="n">
        <v>46228</v>
      </c>
      <c r="F223" t="inlineStr">
        <is>
          <t>NORRBOTTENS LÄN</t>
        </is>
      </c>
      <c r="G223" t="inlineStr">
        <is>
          <t>ARVIDSJAUR</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54303-2025</t>
        </is>
      </c>
      <c r="B224" t="inlineStr">
        <is>
          <t>avverkningsanmälan</t>
        </is>
      </c>
      <c r="C224" t="inlineStr">
        <is>
          <t>Föryngringsavverkning</t>
        </is>
      </c>
      <c r="D224" s="1" t="n">
        <v>45965</v>
      </c>
      <c r="E224" s="1" t="n">
        <v>46228</v>
      </c>
      <c r="F224" t="inlineStr">
        <is>
          <t>NORRBOTTENS LÄN</t>
        </is>
      </c>
      <c r="G224" t="inlineStr">
        <is>
          <t>ARVIDSJAUR</t>
        </is>
      </c>
      <c r="H224" t="inlineStr">
        <is>
          <t>Sveaskog</t>
        </is>
      </c>
      <c r="I224" t="n">
        <v>14.5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39591-2023</t>
        </is>
      </c>
      <c r="B225" t="inlineStr">
        <is>
          <t>avverkningsanmälan</t>
        </is>
      </c>
      <c r="C225" t="inlineStr">
        <is>
          <t>Föryngringsavverkning</t>
        </is>
      </c>
      <c r="D225" s="1" t="n">
        <v>45167</v>
      </c>
      <c r="E225" s="1" t="n">
        <v>46228</v>
      </c>
      <c r="F225" t="inlineStr">
        <is>
          <t>NORRBOTTENS LÄN</t>
        </is>
      </c>
      <c r="G225" t="inlineStr">
        <is>
          <t>ARVIDSJAUR</t>
        </is>
      </c>
      <c r="H225" t="inlineStr">
        <is>
          <t>Sveaskog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2286-2024</t>
        </is>
      </c>
      <c r="B226" t="inlineStr">
        <is>
          <t>avverkningsanmälan</t>
        </is>
      </c>
      <c r="C226" t="inlineStr">
        <is>
          <t>Föryngringsavverkning</t>
        </is>
      </c>
      <c r="D226" s="1" t="n">
        <v>45310</v>
      </c>
      <c r="E226" s="1" t="n">
        <v>46228</v>
      </c>
      <c r="F226" t="inlineStr">
        <is>
          <t>NORRBOTTENS LÄN</t>
        </is>
      </c>
      <c r="G226" t="inlineStr">
        <is>
          <t>ARVIDSJAUR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55795-2025</t>
        </is>
      </c>
      <c r="B227" t="inlineStr">
        <is>
          <t>avverkningsanmälan</t>
        </is>
      </c>
      <c r="C227" t="inlineStr">
        <is>
          <t>Föryngringsavverkning</t>
        </is>
      </c>
      <c r="D227" s="1" t="n">
        <v>45972</v>
      </c>
      <c r="E227" s="1" t="n">
        <v>46228</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55755-2025</t>
        </is>
      </c>
      <c r="B228" t="inlineStr">
        <is>
          <t>avverkningsanmälan</t>
        </is>
      </c>
      <c r="C228" t="inlineStr">
        <is>
          <t>Föryngringsavverkning</t>
        </is>
      </c>
      <c r="D228" s="1" t="n">
        <v>45972</v>
      </c>
      <c r="E228" s="1" t="n">
        <v>46228</v>
      </c>
      <c r="F228" t="inlineStr">
        <is>
          <t>NORRBOTTENS LÄN</t>
        </is>
      </c>
      <c r="G228" t="inlineStr">
        <is>
          <t>ARVIDSJAUR</t>
        </is>
      </c>
      <c r="H228" t="inlineStr">
        <is>
          <t>Sveaskog</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21418-2026</t>
        </is>
      </c>
      <c r="B229" t="inlineStr">
        <is>
          <t>avverkningsanmälan</t>
        </is>
      </c>
      <c r="C229" t="inlineStr">
        <is>
          <t>Föryngringsavverkning</t>
        </is>
      </c>
      <c r="D229" s="1" t="n">
        <v>46148</v>
      </c>
      <c r="E229" s="1" t="n">
        <v>46228</v>
      </c>
      <c r="F229" t="inlineStr">
        <is>
          <t>NORRBOTTENS LÄN</t>
        </is>
      </c>
      <c r="G229" t="inlineStr">
        <is>
          <t>ARVIDSJAUR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56283-2025</t>
        </is>
      </c>
      <c r="B230" t="inlineStr">
        <is>
          <t>avverkningsanmälan</t>
        </is>
      </c>
      <c r="C230" t="inlineStr">
        <is>
          <t>Föryngringsavverkning</t>
        </is>
      </c>
      <c r="D230" s="1" t="n">
        <v>45974</v>
      </c>
      <c r="E230" s="1" t="n">
        <v>46228</v>
      </c>
      <c r="F230" t="inlineStr">
        <is>
          <t>NORRBOTTENS LÄN</t>
        </is>
      </c>
      <c r="G230" t="inlineStr">
        <is>
          <t>ARVIDSJAUR</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56520-2025</t>
        </is>
      </c>
      <c r="B231" t="inlineStr">
        <is>
          <t>avverkningsanmälan</t>
        </is>
      </c>
      <c r="C231" t="inlineStr">
        <is>
          <t>Föryngringsavverkning</t>
        </is>
      </c>
      <c r="D231" s="1" t="n">
        <v>45975</v>
      </c>
      <c r="E231" s="1" t="n">
        <v>46228</v>
      </c>
      <c r="F231" t="inlineStr">
        <is>
          <t>NORRBOTTENS LÄN</t>
        </is>
      </c>
      <c r="G231" t="inlineStr">
        <is>
          <t>ARVIDSJAUR</t>
        </is>
      </c>
      <c r="H231" t="inlineStr">
        <is>
          <t>Sveaskog</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56588-2025</t>
        </is>
      </c>
      <c r="B232" t="inlineStr">
        <is>
          <t>avverkningsanmälan</t>
        </is>
      </c>
      <c r="C232" t="inlineStr">
        <is>
          <t>Föryngringsavverkning</t>
        </is>
      </c>
      <c r="D232" s="1" t="n">
        <v>45975</v>
      </c>
      <c r="E232" s="1" t="n">
        <v>46228</v>
      </c>
      <c r="F232" t="inlineStr">
        <is>
          <t>NORRBOTTENS LÄN</t>
        </is>
      </c>
      <c r="G232" t="inlineStr">
        <is>
          <t>ARVIDSJAUR</t>
        </is>
      </c>
      <c r="H232" t="inlineStr">
        <is>
          <t>Sveaskog</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56265-2025</t>
        </is>
      </c>
      <c r="B233" t="inlineStr">
        <is>
          <t>avverkningsanmälan</t>
        </is>
      </c>
      <c r="C233" t="inlineStr">
        <is>
          <t>Föryngringsavverkning</t>
        </is>
      </c>
      <c r="D233" s="1" t="n">
        <v>45974</v>
      </c>
      <c r="E233" s="1" t="n">
        <v>46228</v>
      </c>
      <c r="F233" t="inlineStr">
        <is>
          <t>NORRBOTTENS LÄN</t>
        </is>
      </c>
      <c r="G233" t="inlineStr">
        <is>
          <t>ARVIDSJAUR</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56723-2025</t>
        </is>
      </c>
      <c r="B234" t="inlineStr">
        <is>
          <t>avverkningsanmälan</t>
        </is>
      </c>
      <c r="C234" t="inlineStr">
        <is>
          <t>Föryngringsavverkning</t>
        </is>
      </c>
      <c r="D234" s="1" t="n">
        <v>45975</v>
      </c>
      <c r="E234" s="1" t="n">
        <v>46228</v>
      </c>
      <c r="F234" t="inlineStr">
        <is>
          <t>NORRBOTTENS LÄN</t>
        </is>
      </c>
      <c r="G234" t="inlineStr">
        <is>
          <t>ARVIDSJAUR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56657-2025</t>
        </is>
      </c>
      <c r="B235" t="inlineStr">
        <is>
          <t>avverkningsanmälan</t>
        </is>
      </c>
      <c r="C235" t="inlineStr">
        <is>
          <t>Föryngringsavverkning</t>
        </is>
      </c>
      <c r="D235" s="1" t="n">
        <v>45975</v>
      </c>
      <c r="E235" s="1" t="n">
        <v>46228</v>
      </c>
      <c r="F235" t="inlineStr">
        <is>
          <t>NORRBOTTENS LÄN</t>
        </is>
      </c>
      <c r="G235" t="inlineStr">
        <is>
          <t>ARVIDSJAUR</t>
        </is>
      </c>
      <c r="H235" t="inlineStr">
        <is>
          <t>Sveaskog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56680-2025</t>
        </is>
      </c>
      <c r="B236" t="inlineStr">
        <is>
          <t>avverkningsanmälan</t>
        </is>
      </c>
      <c r="C236" t="inlineStr">
        <is>
          <t>Föryngringsavverkning</t>
        </is>
      </c>
      <c r="D236" s="1" t="n">
        <v>45975</v>
      </c>
      <c r="E236" s="1" t="n">
        <v>46228</v>
      </c>
      <c r="F236" t="inlineStr">
        <is>
          <t>NORRBOTTENS LÄN</t>
        </is>
      </c>
      <c r="G236" t="inlineStr">
        <is>
          <t>ARVIDSJAUR</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56168-2025</t>
        </is>
      </c>
      <c r="B237" t="inlineStr">
        <is>
          <t>avverkningsanmälan</t>
        </is>
      </c>
      <c r="C237" t="inlineStr">
        <is>
          <t>Föryngringsavverkning</t>
        </is>
      </c>
      <c r="D237" s="1" t="n">
        <v>45974</v>
      </c>
      <c r="E237" s="1" t="n">
        <v>46228</v>
      </c>
      <c r="F237" t="inlineStr">
        <is>
          <t>NORRBOTTENS LÄN</t>
        </is>
      </c>
      <c r="G237" t="inlineStr">
        <is>
          <t>ARVIDSJAUR</t>
        </is>
      </c>
      <c r="H237" t="inlineStr">
        <is>
          <t>Sveaskog</t>
        </is>
      </c>
      <c r="I237" t="n">
        <v>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56529-2025</t>
        </is>
      </c>
      <c r="B238" t="inlineStr">
        <is>
          <t>avverkningsanmälan</t>
        </is>
      </c>
      <c r="C238" t="inlineStr">
        <is>
          <t>Föryngringsavverkning</t>
        </is>
      </c>
      <c r="D238" s="1" t="n">
        <v>45975</v>
      </c>
      <c r="E238" s="1" t="n">
        <v>46228</v>
      </c>
      <c r="F238" t="inlineStr">
        <is>
          <t>NORRBOTTENS LÄN</t>
        </is>
      </c>
      <c r="G238" t="inlineStr">
        <is>
          <t>ARVIDSJAUR</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56173-2025</t>
        </is>
      </c>
      <c r="B239" t="inlineStr">
        <is>
          <t>avverkningsanmälan</t>
        </is>
      </c>
      <c r="C239" t="inlineStr">
        <is>
          <t>Föryngringsavverkning</t>
        </is>
      </c>
      <c r="D239" s="1" t="n">
        <v>45974</v>
      </c>
      <c r="E239" s="1" t="n">
        <v>46228</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57158-2025</t>
        </is>
      </c>
      <c r="B240" t="inlineStr">
        <is>
          <t>avverkningsanmälan</t>
        </is>
      </c>
      <c r="C240" t="inlineStr">
        <is>
          <t>Föryngringsavverkning</t>
        </is>
      </c>
      <c r="D240" s="1" t="n">
        <v>45978</v>
      </c>
      <c r="E240" s="1" t="n">
        <v>46228</v>
      </c>
      <c r="F240" t="inlineStr">
        <is>
          <t>NORRBOTTENS LÄN</t>
        </is>
      </c>
      <c r="G240" t="inlineStr">
        <is>
          <t>ARVIDSJAUR</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57166-2025</t>
        </is>
      </c>
      <c r="B241" t="inlineStr">
        <is>
          <t>avverkningsanmälan</t>
        </is>
      </c>
      <c r="C241" t="inlineStr">
        <is>
          <t>Föryngringsavverkning</t>
        </is>
      </c>
      <c r="D241" s="1" t="n">
        <v>45978</v>
      </c>
      <c r="E241" s="1" t="n">
        <v>46228</v>
      </c>
      <c r="F241" t="inlineStr">
        <is>
          <t>NORRBOTTENS LÄN</t>
        </is>
      </c>
      <c r="G241" t="inlineStr">
        <is>
          <t>ARVIDSJAUR</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48464-2024</t>
        </is>
      </c>
      <c r="B242" t="inlineStr">
        <is>
          <t>avverkningsanmälan</t>
        </is>
      </c>
      <c r="C242" t="inlineStr">
        <is>
          <t>Föryngringsavverkning</t>
        </is>
      </c>
      <c r="D242" s="1" t="n">
        <v>45590</v>
      </c>
      <c r="E242" s="1" t="n">
        <v>46228</v>
      </c>
      <c r="F242" t="inlineStr">
        <is>
          <t>NORRBOTTENS LÄN</t>
        </is>
      </c>
      <c r="G242" t="inlineStr">
        <is>
          <t>ARVIDSJAUR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57164-2025</t>
        </is>
      </c>
      <c r="B243" t="inlineStr">
        <is>
          <t>avverkningsanmälan</t>
        </is>
      </c>
      <c r="C243" t="inlineStr">
        <is>
          <t>Föryngringsavverkning</t>
        </is>
      </c>
      <c r="D243" s="1" t="n">
        <v>45978</v>
      </c>
      <c r="E243" s="1" t="n">
        <v>46228</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57943-2025</t>
        </is>
      </c>
      <c r="B244" t="inlineStr">
        <is>
          <t>avverkningsanmälan</t>
        </is>
      </c>
      <c r="C244" t="inlineStr">
        <is>
          <t>Föryngringsavverkning</t>
        </is>
      </c>
      <c r="D244" s="1" t="n">
        <v>45982</v>
      </c>
      <c r="E244" s="1" t="n">
        <v>46228</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58202-2025</t>
        </is>
      </c>
      <c r="B245" t="inlineStr">
        <is>
          <t>avverkningsanmälan</t>
        </is>
      </c>
      <c r="C245" t="inlineStr">
        <is>
          <t>Föryngringsavverkning</t>
        </is>
      </c>
      <c r="D245" s="1" t="n">
        <v>45984</v>
      </c>
      <c r="E245" s="1" t="n">
        <v>46228</v>
      </c>
      <c r="F245" t="inlineStr">
        <is>
          <t>NORRBOTTENS LÄN</t>
        </is>
      </c>
      <c r="G245" t="inlineStr">
        <is>
          <t>ARVIDSJAUR</t>
        </is>
      </c>
      <c r="H245" t="inlineStr">
        <is>
          <t>Sveaskog</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58393-2025</t>
        </is>
      </c>
      <c r="B246" t="inlineStr">
        <is>
          <t>avverkningsanmälan</t>
        </is>
      </c>
      <c r="C246" t="inlineStr">
        <is>
          <t>Föryngringsavverkning</t>
        </is>
      </c>
      <c r="D246" s="1" t="n">
        <v>45985</v>
      </c>
      <c r="E246" s="1" t="n">
        <v>46228</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58667-2025</t>
        </is>
      </c>
      <c r="B247" t="inlineStr">
        <is>
          <t>avverkningsanmälan</t>
        </is>
      </c>
      <c r="C247" t="inlineStr">
        <is>
          <t>Föryngringsavverkning</t>
        </is>
      </c>
      <c r="D247" s="1" t="n">
        <v>45986</v>
      </c>
      <c r="E247" s="1" t="n">
        <v>46228</v>
      </c>
      <c r="F247" t="inlineStr">
        <is>
          <t>NORRBOTTENS LÄN</t>
        </is>
      </c>
      <c r="G247" t="inlineStr">
        <is>
          <t>ARVIDSJAUR</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58570-2025</t>
        </is>
      </c>
      <c r="B248" t="inlineStr">
        <is>
          <t>avverkningsanmälan</t>
        </is>
      </c>
      <c r="C248" t="inlineStr">
        <is>
          <t>Föryngringsavverkning</t>
        </is>
      </c>
      <c r="D248" s="1" t="n">
        <v>45986</v>
      </c>
      <c r="E248" s="1" t="n">
        <v>46228</v>
      </c>
      <c r="F248" t="inlineStr">
        <is>
          <t>NORRBOTTENS LÄN</t>
        </is>
      </c>
      <c r="G248" t="inlineStr">
        <is>
          <t>ARVIDSJAUR</t>
        </is>
      </c>
      <c r="H248" t="inlineStr">
        <is>
          <t>Sveaskog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59277-2025</t>
        </is>
      </c>
      <c r="B249" t="inlineStr">
        <is>
          <t>avverkningsanmälan</t>
        </is>
      </c>
      <c r="C249" t="inlineStr">
        <is>
          <t>Föryngringsavverkning</t>
        </is>
      </c>
      <c r="D249" s="1" t="n">
        <v>45988</v>
      </c>
      <c r="E249" s="1" t="n">
        <v>46228</v>
      </c>
      <c r="F249" t="inlineStr">
        <is>
          <t>NORRBOTTENS LÄN</t>
        </is>
      </c>
      <c r="G249" t="inlineStr">
        <is>
          <t>ARVIDSJAUR</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46228</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46228</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60391-2025</t>
        </is>
      </c>
      <c r="B252" t="inlineStr">
        <is>
          <t>avverkningsanmälan</t>
        </is>
      </c>
      <c r="C252" t="inlineStr">
        <is>
          <t>Föryngringsavverkning</t>
        </is>
      </c>
      <c r="D252" s="1" t="n">
        <v>45995</v>
      </c>
      <c r="E252" s="1" t="n">
        <v>46228</v>
      </c>
      <c r="F252" t="inlineStr">
        <is>
          <t>NORRBOTTENS LÄN</t>
        </is>
      </c>
      <c r="G252" t="inlineStr">
        <is>
          <t>ARVIDSJAUR</t>
        </is>
      </c>
      <c r="H252" t="inlineStr">
        <is>
          <t>Sveaskog</t>
        </is>
      </c>
      <c r="I252" t="n">
        <v>14.1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60584-2025</t>
        </is>
      </c>
      <c r="B253" t="inlineStr">
        <is>
          <t>avverkningsanmälan</t>
        </is>
      </c>
      <c r="C253" t="inlineStr">
        <is>
          <t>Föryngringsavverkning</t>
        </is>
      </c>
      <c r="D253" s="1" t="n">
        <v>45996</v>
      </c>
      <c r="E253" s="1" t="n">
        <v>46228</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11623-2025</t>
        </is>
      </c>
      <c r="B254" t="inlineStr">
        <is>
          <t>avverkningsanmälan</t>
        </is>
      </c>
      <c r="C254" t="inlineStr">
        <is>
          <t>Föryngringsavverkning</t>
        </is>
      </c>
      <c r="D254" s="1" t="n">
        <v>45726</v>
      </c>
      <c r="E254" s="1" t="n">
        <v>46228</v>
      </c>
      <c r="F254" t="inlineStr">
        <is>
          <t>NORRBOTTENS LÄN</t>
        </is>
      </c>
      <c r="G254" t="inlineStr">
        <is>
          <t>ARVIDSJAUR</t>
        </is>
      </c>
      <c r="H254" t="inlineStr">
        <is>
          <t>Allmännings- och besparingsskogar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11626-2025</t>
        </is>
      </c>
      <c r="B255" t="inlineStr">
        <is>
          <t>avverkningsanmälan</t>
        </is>
      </c>
      <c r="C255" t="inlineStr">
        <is>
          <t>Föryngringsavverkning</t>
        </is>
      </c>
      <c r="D255" s="1" t="n">
        <v>45726</v>
      </c>
      <c r="E255" s="1" t="n">
        <v>46228</v>
      </c>
      <c r="F255" t="inlineStr">
        <is>
          <t>NORRBOTTENS LÄN</t>
        </is>
      </c>
      <c r="G255" t="inlineStr">
        <is>
          <t>ARVIDSJAUR</t>
        </is>
      </c>
      <c r="H255" t="inlineStr">
        <is>
          <t>Allmännings- och besparingsskogar</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61054-2025</t>
        </is>
      </c>
      <c r="B256" t="inlineStr">
        <is>
          <t>avverkningsanmälan</t>
        </is>
      </c>
      <c r="C256" t="inlineStr">
        <is>
          <t>Föryngringsavverkning</t>
        </is>
      </c>
      <c r="D256" s="1" t="n">
        <v>46000</v>
      </c>
      <c r="E256" s="1" t="n">
        <v>46228</v>
      </c>
      <c r="F256" t="inlineStr">
        <is>
          <t>NORRBOTTENS LÄN</t>
        </is>
      </c>
      <c r="G256" t="inlineStr">
        <is>
          <t>ARVIDSJAUR</t>
        </is>
      </c>
      <c r="H256" t="inlineStr">
        <is>
          <t>Sveaskog</t>
        </is>
      </c>
      <c r="I256" t="n">
        <v>18.4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41313-2021</t>
        </is>
      </c>
      <c r="B257" t="inlineStr">
        <is>
          <t>avverkningsanmälan</t>
        </is>
      </c>
      <c r="C257" t="inlineStr">
        <is>
          <t>Föryngringsavverkning</t>
        </is>
      </c>
      <c r="D257" s="1" t="n">
        <v>44424</v>
      </c>
      <c r="E257" s="1" t="n">
        <v>46228</v>
      </c>
      <c r="F257" t="inlineStr">
        <is>
          <t>NORRBOTTENS LÄN</t>
        </is>
      </c>
      <c r="G257" t="inlineStr">
        <is>
          <t>ARVIDSJAUR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11574-2025</t>
        </is>
      </c>
      <c r="B258" t="inlineStr">
        <is>
          <t>avverkningsanmälan</t>
        </is>
      </c>
      <c r="C258" t="inlineStr">
        <is>
          <t>Föryngringsavverkning</t>
        </is>
      </c>
      <c r="D258" s="1" t="n">
        <v>45726</v>
      </c>
      <c r="E258" s="1" t="n">
        <v>46228</v>
      </c>
      <c r="F258" t="inlineStr">
        <is>
          <t>NORRBOTTENS LÄN</t>
        </is>
      </c>
      <c r="G258" t="inlineStr">
        <is>
          <t>ARVIDSJAUR</t>
        </is>
      </c>
      <c r="H258" t="inlineStr">
        <is>
          <t>Allmännings- och besparingsskogar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41872-2021</t>
        </is>
      </c>
      <c r="B259" t="inlineStr">
        <is>
          <t>avverkningsanmälan</t>
        </is>
      </c>
      <c r="C259" t="inlineStr">
        <is>
          <t>Föryngringsavverkning</t>
        </is>
      </c>
      <c r="D259" s="1" t="n">
        <v>44426</v>
      </c>
      <c r="E259" s="1" t="n">
        <v>46228</v>
      </c>
      <c r="F259" t="inlineStr">
        <is>
          <t>NORRBOTTENS LÄN</t>
        </is>
      </c>
      <c r="G259" t="inlineStr">
        <is>
          <t>ARVIDSJAUR</t>
        </is>
      </c>
      <c r="H259" t="inlineStr">
        <is>
          <t>Sveaskog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49172-2024</t>
        </is>
      </c>
      <c r="B260" t="inlineStr">
        <is>
          <t>avverkningsanmälan</t>
        </is>
      </c>
      <c r="C260" t="inlineStr">
        <is>
          <t>Föryngringsavverkning</t>
        </is>
      </c>
      <c r="D260" s="1" t="n">
        <v>45595</v>
      </c>
      <c r="E260" s="1" t="n">
        <v>46228</v>
      </c>
      <c r="F260" t="inlineStr">
        <is>
          <t>NORRBOTTENS LÄN</t>
        </is>
      </c>
      <c r="G260" t="inlineStr">
        <is>
          <t>ARVIDSJAUR</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45188-2025</t>
        </is>
      </c>
      <c r="B261" t="inlineStr">
        <is>
          <t>avverkningsanmälan</t>
        </is>
      </c>
      <c r="C261" t="inlineStr">
        <is>
          <t>Föryngringsavverkning</t>
        </is>
      </c>
      <c r="D261" s="1" t="n">
        <v>45919</v>
      </c>
      <c r="E261" s="1" t="n">
        <v>46228</v>
      </c>
      <c r="F261" t="inlineStr">
        <is>
          <t>NORRBOTTENS LÄN</t>
        </is>
      </c>
      <c r="G261" t="inlineStr">
        <is>
          <t>ARVIDSJAUR</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63135-2025</t>
        </is>
      </c>
      <c r="B262" t="inlineStr">
        <is>
          <t>avverkningsanmälan</t>
        </is>
      </c>
      <c r="C262" t="inlineStr">
        <is>
          <t>Föryngringsavverkning</t>
        </is>
      </c>
      <c r="D262" s="1" t="n">
        <v>46010</v>
      </c>
      <c r="E262" s="1" t="n">
        <v>46228</v>
      </c>
      <c r="F262" t="inlineStr">
        <is>
          <t>NORRBOTTENS LÄN</t>
        </is>
      </c>
      <c r="G262" t="inlineStr">
        <is>
          <t>ARVIDSJAUR</t>
        </is>
      </c>
      <c r="H262" t="inlineStr">
        <is>
          <t>Allmännings- och besparingsskogar</t>
        </is>
      </c>
      <c r="I262" t="n">
        <v>10.7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28881-2026</t>
        </is>
      </c>
      <c r="B263" t="inlineStr">
        <is>
          <t>avverkningsanmälan</t>
        </is>
      </c>
      <c r="C263" t="inlineStr">
        <is>
          <t>Föryngringsavverkning</t>
        </is>
      </c>
      <c r="D263" s="1" t="n">
        <v>46199</v>
      </c>
      <c r="E263" s="1" t="n">
        <v>46228</v>
      </c>
      <c r="F263" t="inlineStr">
        <is>
          <t>NORRBOTTENS LÄN</t>
        </is>
      </c>
      <c r="G263" t="inlineStr">
        <is>
          <t>ARVIDSJAUR</t>
        </is>
      </c>
      <c r="H263" t="inlineStr">
        <is>
          <t>Sveaskog</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28882-2026</t>
        </is>
      </c>
      <c r="B264" t="inlineStr">
        <is>
          <t>avverkningsanmälan</t>
        </is>
      </c>
      <c r="C264" t="inlineStr">
        <is>
          <t>Föryngringsavverkning</t>
        </is>
      </c>
      <c r="D264" s="1" t="n">
        <v>46199</v>
      </c>
      <c r="E264" s="1" t="n">
        <v>46228</v>
      </c>
      <c r="F264" t="inlineStr">
        <is>
          <t>NORRBOTTENS LÄN</t>
        </is>
      </c>
      <c r="G264" t="inlineStr">
        <is>
          <t>ARVIDSJAUR</t>
        </is>
      </c>
      <c r="H264" t="inlineStr">
        <is>
          <t>Sveaskog</t>
        </is>
      </c>
      <c r="I264" t="n">
        <v>11.6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28942-2026</t>
        </is>
      </c>
      <c r="B265" t="inlineStr">
        <is>
          <t>avverkningsanmälan</t>
        </is>
      </c>
      <c r="C265" t="inlineStr">
        <is>
          <t>Föryngringsavverkning</t>
        </is>
      </c>
      <c r="D265" s="1" t="n">
        <v>46199</v>
      </c>
      <c r="E265" s="1" t="n">
        <v>46228</v>
      </c>
      <c r="F265" t="inlineStr">
        <is>
          <t>NORRBOTTENS LÄN</t>
        </is>
      </c>
      <c r="G265" t="inlineStr">
        <is>
          <t>ARVIDSJAUR</t>
        </is>
      </c>
      <c r="H265" t="inlineStr">
        <is>
          <t>Sveaskog</t>
        </is>
      </c>
      <c r="I265" t="n">
        <v>19.3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53510-2025</t>
        </is>
      </c>
      <c r="B266" t="inlineStr">
        <is>
          <t>avverkningsanmälan</t>
        </is>
      </c>
      <c r="C266" t="inlineStr">
        <is>
          <t>Föryngringsavverkning</t>
        </is>
      </c>
      <c r="D266" s="1" t="n">
        <v>45960</v>
      </c>
      <c r="E266" s="1" t="n">
        <v>46228</v>
      </c>
      <c r="F266" t="inlineStr">
        <is>
          <t>NORRBOTTENS LÄN</t>
        </is>
      </c>
      <c r="G266" t="inlineStr">
        <is>
          <t>ARVIDSJAUR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59593-2025</t>
        </is>
      </c>
      <c r="B267" t="inlineStr">
        <is>
          <t>avverkningsanmälan</t>
        </is>
      </c>
      <c r="C267" t="inlineStr">
        <is>
          <t>Föryngringsavverkning</t>
        </is>
      </c>
      <c r="D267" s="1" t="n">
        <v>45992</v>
      </c>
      <c r="E267" s="1" t="n">
        <v>46228</v>
      </c>
      <c r="F267" t="inlineStr">
        <is>
          <t>NORRBOTTENS LÄN</t>
        </is>
      </c>
      <c r="G267" t="inlineStr">
        <is>
          <t>ARVIDSJAUR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60011-2025</t>
        </is>
      </c>
      <c r="B268" t="inlineStr">
        <is>
          <t>avverkningsanmälan</t>
        </is>
      </c>
      <c r="C268" t="inlineStr">
        <is>
          <t>Föryngringsavverkning</t>
        </is>
      </c>
      <c r="D268" s="1" t="n">
        <v>45993</v>
      </c>
      <c r="E268" s="1" t="n">
        <v>46228</v>
      </c>
      <c r="F268" t="inlineStr">
        <is>
          <t>NORRBOTTENS LÄN</t>
        </is>
      </c>
      <c r="G268" t="inlineStr">
        <is>
          <t>ARVIDSJAUR</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60000-2025</t>
        </is>
      </c>
      <c r="B269" t="inlineStr">
        <is>
          <t>avverkningsanmälan</t>
        </is>
      </c>
      <c r="C269" t="inlineStr">
        <is>
          <t>Föryngringsavverkning</t>
        </is>
      </c>
      <c r="D269" s="1" t="n">
        <v>45993</v>
      </c>
      <c r="E269" s="1" t="n">
        <v>46228</v>
      </c>
      <c r="F269" t="inlineStr">
        <is>
          <t>NORRBOTTENS LÄN</t>
        </is>
      </c>
      <c r="G269" t="inlineStr">
        <is>
          <t>ARVIDSJAUR</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53511-2025</t>
        </is>
      </c>
      <c r="B270" t="inlineStr">
        <is>
          <t>avverkningsanmälan</t>
        </is>
      </c>
      <c r="C270" t="inlineStr">
        <is>
          <t>Föryngringsavverkning</t>
        </is>
      </c>
      <c r="D270" s="1" t="n">
        <v>45960</v>
      </c>
      <c r="E270" s="1" t="n">
        <v>46228</v>
      </c>
      <c r="F270" t="inlineStr">
        <is>
          <t>NORRBOTTENS LÄN</t>
        </is>
      </c>
      <c r="G270" t="inlineStr">
        <is>
          <t>ARVIDSJAUR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57705-2025</t>
        </is>
      </c>
      <c r="B271" t="inlineStr">
        <is>
          <t>avverkningsanmälan</t>
        </is>
      </c>
      <c r="C271" t="inlineStr">
        <is>
          <t>Föryngringsavverkning</t>
        </is>
      </c>
      <c r="D271" s="1" t="n">
        <v>45981</v>
      </c>
      <c r="E271" s="1" t="n">
        <v>46228</v>
      </c>
      <c r="F271" t="inlineStr">
        <is>
          <t>NORRBOTTENS LÄN</t>
        </is>
      </c>
      <c r="G271" t="inlineStr">
        <is>
          <t>ARVIDSJAUR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467-2026</t>
        </is>
      </c>
      <c r="B272" t="inlineStr">
        <is>
          <t>avverkningsanmälan</t>
        </is>
      </c>
      <c r="C272" t="inlineStr">
        <is>
          <t>Föryngringsavverkning</t>
        </is>
      </c>
      <c r="D272" s="1" t="n">
        <v>46029</v>
      </c>
      <c r="E272" s="1" t="n">
        <v>46228</v>
      </c>
      <c r="F272" t="inlineStr">
        <is>
          <t>NORRBOTTENS LÄN</t>
        </is>
      </c>
      <c r="G272" t="inlineStr">
        <is>
          <t>ARVIDSJAUR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56332-2025</t>
        </is>
      </c>
      <c r="B273" t="inlineStr">
        <is>
          <t>avverkningsanmälan</t>
        </is>
      </c>
      <c r="C273" t="inlineStr">
        <is>
          <t>Föryngringsavverkning</t>
        </is>
      </c>
      <c r="D273" s="1" t="n">
        <v>45974</v>
      </c>
      <c r="E273" s="1" t="n">
        <v>46228</v>
      </c>
      <c r="F273" t="inlineStr">
        <is>
          <t>NORRBOTTENS LÄN</t>
        </is>
      </c>
      <c r="G273" t="inlineStr">
        <is>
          <t>ARVIDSJAUR</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40836-2021</t>
        </is>
      </c>
      <c r="B274" t="inlineStr">
        <is>
          <t>avverkningsanmälan</t>
        </is>
      </c>
      <c r="C274" t="inlineStr">
        <is>
          <t>Föryngringsavverkning</t>
        </is>
      </c>
      <c r="D274" s="1" t="n">
        <v>44421</v>
      </c>
      <c r="E274" s="1" t="n">
        <v>46228</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46228</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1707-2026</t>
        </is>
      </c>
      <c r="B276" t="inlineStr">
        <is>
          <t>avverkningsanmälan</t>
        </is>
      </c>
      <c r="C276" t="inlineStr">
        <is>
          <t>Föryngringsavverkning</t>
        </is>
      </c>
      <c r="D276" s="1" t="n">
        <v>46034</v>
      </c>
      <c r="E276" s="1" t="n">
        <v>46228</v>
      </c>
      <c r="F276" t="inlineStr">
        <is>
          <t>NORRBOTTENS LÄN</t>
        </is>
      </c>
      <c r="G276" t="inlineStr">
        <is>
          <t>ARVIDSJAUR</t>
        </is>
      </c>
      <c r="H276" t="inlineStr">
        <is>
          <t>Allmännings- och besparingsskogar</t>
        </is>
      </c>
      <c r="I276" t="n">
        <v>25.5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1620-2026</t>
        </is>
      </c>
      <c r="B277" t="inlineStr">
        <is>
          <t>avverkningsanmälan</t>
        </is>
      </c>
      <c r="C277" t="inlineStr">
        <is>
          <t>Föryngringsavverkning</t>
        </is>
      </c>
      <c r="D277" s="1" t="n">
        <v>46034</v>
      </c>
      <c r="E277" s="1" t="n">
        <v>46228</v>
      </c>
      <c r="F277" t="inlineStr">
        <is>
          <t>NORRBOTTENS LÄN</t>
        </is>
      </c>
      <c r="G277" t="inlineStr">
        <is>
          <t>ARVIDSJAUR</t>
        </is>
      </c>
      <c r="H277" t="inlineStr">
        <is>
          <t>Allmännings- och besparingsskogar</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1914-2026</t>
        </is>
      </c>
      <c r="B278" t="inlineStr">
        <is>
          <t>avverkningsanmälan</t>
        </is>
      </c>
      <c r="C278" t="inlineStr">
        <is>
          <t>Föryngringsavverkning</t>
        </is>
      </c>
      <c r="D278" s="1" t="n">
        <v>46035</v>
      </c>
      <c r="E278" s="1" t="n">
        <v>46228</v>
      </c>
      <c r="F278" t="inlineStr">
        <is>
          <t>NORRBOTTENS LÄN</t>
        </is>
      </c>
      <c r="G278" t="inlineStr">
        <is>
          <t>ARVIDSJAUR</t>
        </is>
      </c>
      <c r="H278" t="inlineStr">
        <is>
          <t>Allmännings- och besparingsskogar</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28357-2025</t>
        </is>
      </c>
      <c r="B279" t="inlineStr">
        <is>
          <t>avverkningsanmälan</t>
        </is>
      </c>
      <c r="C279" t="inlineStr">
        <is>
          <t>Föryngringsavverkning</t>
        </is>
      </c>
      <c r="D279" s="1" t="n">
        <v>45818</v>
      </c>
      <c r="E279" s="1" t="n">
        <v>46228</v>
      </c>
      <c r="F279" t="inlineStr">
        <is>
          <t>NORRBOTTENS LÄN</t>
        </is>
      </c>
      <c r="G279" t="inlineStr">
        <is>
          <t>ARVIDSJAUR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2299-2026</t>
        </is>
      </c>
      <c r="B280" t="inlineStr">
        <is>
          <t>avverkningsanmälan</t>
        </is>
      </c>
      <c r="C280" t="inlineStr">
        <is>
          <t>Föryngringsavverkning</t>
        </is>
      </c>
      <c r="D280" s="1" t="n">
        <v>46034</v>
      </c>
      <c r="E280" s="1" t="n">
        <v>46228</v>
      </c>
      <c r="F280" t="inlineStr">
        <is>
          <t>NORRBOTTENS LÄN</t>
        </is>
      </c>
      <c r="G280" t="inlineStr">
        <is>
          <t>ARVIDSJAUR</t>
        </is>
      </c>
      <c r="H280" t="inlineStr">
        <is>
          <t>Allmännings- och besparingsskogar</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40500-2022</t>
        </is>
      </c>
      <c r="B281" t="inlineStr">
        <is>
          <t>avverkningsanmälan</t>
        </is>
      </c>
      <c r="C281" t="inlineStr">
        <is>
          <t>Föryngringsavverkning</t>
        </is>
      </c>
      <c r="D281" s="1" t="n">
        <v>44819</v>
      </c>
      <c r="E281" s="1" t="n">
        <v>46228</v>
      </c>
      <c r="F281" t="inlineStr">
        <is>
          <t>NORRBOTTENS LÄN</t>
        </is>
      </c>
      <c r="G281" t="inlineStr">
        <is>
          <t>ARVIDSJAUR</t>
        </is>
      </c>
      <c r="H281" t="inlineStr">
        <is>
          <t>Allmännings- och besparingsskogar</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48364-2024</t>
        </is>
      </c>
      <c r="B282" t="inlineStr">
        <is>
          <t>avverkningsanmälan</t>
        </is>
      </c>
      <c r="C282" t="inlineStr">
        <is>
          <t>Föryngringsavverkning</t>
        </is>
      </c>
      <c r="D282" s="1" t="n">
        <v>45590</v>
      </c>
      <c r="E282" s="1" t="n">
        <v>46228</v>
      </c>
      <c r="F282" t="inlineStr">
        <is>
          <t>NORRBOTTENS LÄN</t>
        </is>
      </c>
      <c r="G282" t="inlineStr">
        <is>
          <t>ARVIDSJAUR</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40937-2024</t>
        </is>
      </c>
      <c r="B283" t="inlineStr">
        <is>
          <t>avverkningsanmälan</t>
        </is>
      </c>
      <c r="C283" t="inlineStr">
        <is>
          <t>Föryngringsavverkning</t>
        </is>
      </c>
      <c r="D283" s="1" t="n">
        <v>45558</v>
      </c>
      <c r="E283" s="1" t="n">
        <v>46228</v>
      </c>
      <c r="F283" t="inlineStr">
        <is>
          <t>NORRBOTTENS LÄN</t>
        </is>
      </c>
      <c r="G283" t="inlineStr">
        <is>
          <t>ARVIDSJAUR</t>
        </is>
      </c>
      <c r="H283" t="inlineStr">
        <is>
          <t>Sveaskog</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29327-2026</t>
        </is>
      </c>
      <c r="B284" t="inlineStr">
        <is>
          <t>avverkningsanmälan</t>
        </is>
      </c>
      <c r="C284" t="inlineStr">
        <is>
          <t>Föryngringsavverkning</t>
        </is>
      </c>
      <c r="D284" s="1" t="n">
        <v>46202</v>
      </c>
      <c r="E284" s="1" t="n">
        <v>46228</v>
      </c>
      <c r="F284" t="inlineStr">
        <is>
          <t>NORRBOTTENS LÄN</t>
        </is>
      </c>
      <c r="G284" t="inlineStr">
        <is>
          <t>ARVIDSJAUR</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11542-2025</t>
        </is>
      </c>
      <c r="B285" t="inlineStr">
        <is>
          <t>avverkningsanmälan</t>
        </is>
      </c>
      <c r="C285" t="inlineStr">
        <is>
          <t>Föryngringsavverkning</t>
        </is>
      </c>
      <c r="D285" s="1" t="n">
        <v>45726</v>
      </c>
      <c r="E285" s="1" t="n">
        <v>46228</v>
      </c>
      <c r="F285" t="inlineStr">
        <is>
          <t>NORRBOTTENS LÄN</t>
        </is>
      </c>
      <c r="G285" t="inlineStr">
        <is>
          <t>ARVIDSJAUR</t>
        </is>
      </c>
      <c r="H285" t="inlineStr">
        <is>
          <t>Allmännings- och besparingsskogar</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29332-2026</t>
        </is>
      </c>
      <c r="B286" t="inlineStr">
        <is>
          <t>avverkningsanmälan</t>
        </is>
      </c>
      <c r="C286" t="inlineStr">
        <is>
          <t>Föryngringsavverkning</t>
        </is>
      </c>
      <c r="D286" s="1" t="n">
        <v>46202</v>
      </c>
      <c r="E286" s="1" t="n">
        <v>46228</v>
      </c>
      <c r="F286" t="inlineStr">
        <is>
          <t>NORRBOTTENS LÄN</t>
        </is>
      </c>
      <c r="G286" t="inlineStr">
        <is>
          <t>ARVIDSJAUR</t>
        </is>
      </c>
      <c r="H286" t="inlineStr">
        <is>
          <t>Sveaskog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46228</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46228</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41659-2024</t>
        </is>
      </c>
      <c r="B289" t="inlineStr">
        <is>
          <t>avverkningsanmälan</t>
        </is>
      </c>
      <c r="C289" t="inlineStr">
        <is>
          <t>Avverkning för annat ändamål</t>
        </is>
      </c>
      <c r="D289" s="1" t="n">
        <v>45560</v>
      </c>
      <c r="E289" s="1" t="n">
        <v>46228</v>
      </c>
      <c r="F289" t="inlineStr">
        <is>
          <t>NORRBOTTENS LÄN</t>
        </is>
      </c>
      <c r="G289" t="inlineStr">
        <is>
          <t>ARVIDSJAUR</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46072-2021</t>
        </is>
      </c>
      <c r="B290" t="inlineStr">
        <is>
          <t>avverkningsanmälan</t>
        </is>
      </c>
      <c r="C290" t="inlineStr">
        <is>
          <t>Avverkning för annat ändamål</t>
        </is>
      </c>
      <c r="D290" s="1" t="n">
        <v>44442</v>
      </c>
      <c r="E290" s="1" t="n">
        <v>46228</v>
      </c>
      <c r="F290" t="inlineStr">
        <is>
          <t>NORRBOTTENS LÄN</t>
        </is>
      </c>
      <c r="G290" t="inlineStr">
        <is>
          <t>ARVIDSJAUR</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5314-2026</t>
        </is>
      </c>
      <c r="B291" t="inlineStr">
        <is>
          <t>avverkningsanmälan</t>
        </is>
      </c>
      <c r="C291" t="inlineStr">
        <is>
          <t>Föryngringsavverkning</t>
        </is>
      </c>
      <c r="D291" s="1" t="n">
        <v>46050</v>
      </c>
      <c r="E291" s="1" t="n">
        <v>46228</v>
      </c>
      <c r="F291" t="inlineStr">
        <is>
          <t>NORRBOTTENS LÄN</t>
        </is>
      </c>
      <c r="G291" t="inlineStr">
        <is>
          <t>ARVIDSJAUR</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29921-2026</t>
        </is>
      </c>
      <c r="B292" t="inlineStr">
        <is>
          <t>avverkningsanmälan</t>
        </is>
      </c>
      <c r="C292" t="inlineStr">
        <is>
          <t>Föryngringsavverkning</t>
        </is>
      </c>
      <c r="D292" s="1" t="n">
        <v>46205</v>
      </c>
      <c r="E292" s="1" t="n">
        <v>46228</v>
      </c>
      <c r="F292" t="inlineStr">
        <is>
          <t>NORRBOTTENS LÄN</t>
        </is>
      </c>
      <c r="G292" t="inlineStr">
        <is>
          <t>ARVIDSJAUR</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29931-2026</t>
        </is>
      </c>
      <c r="B293" t="inlineStr">
        <is>
          <t>avverkningsanmälan</t>
        </is>
      </c>
      <c r="C293" t="inlineStr">
        <is>
          <t>Föryngringsavverkning</t>
        </is>
      </c>
      <c r="D293" s="1" t="n">
        <v>46205</v>
      </c>
      <c r="E293" s="1" t="n">
        <v>46228</v>
      </c>
      <c r="F293" t="inlineStr">
        <is>
          <t>NORRBOTTENS LÄN</t>
        </is>
      </c>
      <c r="G293" t="inlineStr">
        <is>
          <t>ARVIDSJAUR</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5851-2026</t>
        </is>
      </c>
      <c r="B294" t="inlineStr">
        <is>
          <t>avverkningsanmälan</t>
        </is>
      </c>
      <c r="C294" t="inlineStr">
        <is>
          <t>Föryngringsavverkning</t>
        </is>
      </c>
      <c r="D294" s="1" t="n">
        <v>46052</v>
      </c>
      <c r="E294" s="1" t="n">
        <v>46228</v>
      </c>
      <c r="F294" t="inlineStr">
        <is>
          <t>NORRBOTTENS LÄN</t>
        </is>
      </c>
      <c r="G294" t="inlineStr">
        <is>
          <t>ARVIDSJAUR</t>
        </is>
      </c>
      <c r="H294" t="inlineStr">
        <is>
          <t>Sveaskog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5853-2026</t>
        </is>
      </c>
      <c r="B295" t="inlineStr">
        <is>
          <t>avverkningsanmälan</t>
        </is>
      </c>
      <c r="C295" t="inlineStr">
        <is>
          <t>Föryngringsavverkning</t>
        </is>
      </c>
      <c r="D295" s="1" t="n">
        <v>46052</v>
      </c>
      <c r="E295" s="1" t="n">
        <v>46228</v>
      </c>
      <c r="F295" t="inlineStr">
        <is>
          <t>NORRBOTTENS LÄN</t>
        </is>
      </c>
      <c r="G295" t="inlineStr">
        <is>
          <t>ARVIDSJAUR</t>
        </is>
      </c>
      <c r="H295" t="inlineStr">
        <is>
          <t>Sveaskog</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54341-2024</t>
        </is>
      </c>
      <c r="B296" t="inlineStr">
        <is>
          <t>avverkningsanmälan</t>
        </is>
      </c>
      <c r="C296" t="inlineStr">
        <is>
          <t>Föryngringsavverkning</t>
        </is>
      </c>
      <c r="D296" s="1" t="n">
        <v>45617</v>
      </c>
      <c r="E296" s="1" t="n">
        <v>46228</v>
      </c>
      <c r="F296" t="inlineStr">
        <is>
          <t>NORRBOTTENS LÄN</t>
        </is>
      </c>
      <c r="G296" t="inlineStr">
        <is>
          <t>ARVIDSJAUR</t>
        </is>
      </c>
      <c r="H296" t="inlineStr">
        <is>
          <t>Sveaskog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29674-2024</t>
        </is>
      </c>
      <c r="B297" t="inlineStr">
        <is>
          <t>avverkningsanmälan</t>
        </is>
      </c>
      <c r="C297" t="inlineStr">
        <is>
          <t>Föryngringsavverkning</t>
        </is>
      </c>
      <c r="D297" s="1" t="n">
        <v>45484</v>
      </c>
      <c r="E297" s="1" t="n">
        <v>46228</v>
      </c>
      <c r="F297" t="inlineStr">
        <is>
          <t>NORRBOTTENS LÄN</t>
        </is>
      </c>
      <c r="G297" t="inlineStr">
        <is>
          <t>ARVIDSJAUR</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29681-2024</t>
        </is>
      </c>
      <c r="B298" t="inlineStr">
        <is>
          <t>avverkningsanmälan</t>
        </is>
      </c>
      <c r="C298" t="inlineStr">
        <is>
          <t>Avverkning för att bevara och utveckla /försöksver</t>
        </is>
      </c>
      <c r="D298" s="1" t="n">
        <v>45484</v>
      </c>
      <c r="E298" s="1" t="n">
        <v>46228</v>
      </c>
      <c r="F298" t="inlineStr">
        <is>
          <t>NORRBOTTENS LÄN</t>
        </is>
      </c>
      <c r="G298" t="inlineStr">
        <is>
          <t>ARVIDSJAUR</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6653-2026</t>
        </is>
      </c>
      <c r="B299" t="inlineStr">
        <is>
          <t>avverkningsanmälan</t>
        </is>
      </c>
      <c r="C299" t="inlineStr">
        <is>
          <t>Avverkning för annat ändamål</t>
        </is>
      </c>
      <c r="D299" s="1" t="n">
        <v>46056</v>
      </c>
      <c r="E299" s="1" t="n">
        <v>46228</v>
      </c>
      <c r="F299" t="inlineStr">
        <is>
          <t>NORRBOTTENS LÄN</t>
        </is>
      </c>
      <c r="G299" t="inlineStr">
        <is>
          <t>ARVIDSJAUR</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6649-2026</t>
        </is>
      </c>
      <c r="B300" t="inlineStr">
        <is>
          <t>avverkningsanmälan</t>
        </is>
      </c>
      <c r="C300" t="inlineStr">
        <is>
          <t>Avverkning för annat ändamål</t>
        </is>
      </c>
      <c r="D300" s="1" t="n">
        <v>46056</v>
      </c>
      <c r="E300" s="1" t="n">
        <v>46228</v>
      </c>
      <c r="F300" t="inlineStr">
        <is>
          <t>NORRBOTTENS LÄN</t>
        </is>
      </c>
      <c r="G300" t="inlineStr">
        <is>
          <t>ARVIDSJAUR</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27944-2024</t>
        </is>
      </c>
      <c r="B301" t="inlineStr">
        <is>
          <t>avverkningsanmälan</t>
        </is>
      </c>
      <c r="C301" t="inlineStr">
        <is>
          <t>Avverkning för annat ändamål</t>
        </is>
      </c>
      <c r="D301" s="1" t="n">
        <v>45476</v>
      </c>
      <c r="E301" s="1" t="n">
        <v>46228</v>
      </c>
      <c r="F301" t="inlineStr">
        <is>
          <t>NORRBOTTENS LÄN</t>
        </is>
      </c>
      <c r="G301" t="inlineStr">
        <is>
          <t>ARVIDSJAUR</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7043-2026</t>
        </is>
      </c>
      <c r="B302" t="inlineStr">
        <is>
          <t>avverkningsanmälan</t>
        </is>
      </c>
      <c r="C302" t="inlineStr">
        <is>
          <t>Föryngringsavverkning</t>
        </is>
      </c>
      <c r="D302" s="1" t="n">
        <v>46057</v>
      </c>
      <c r="E302" s="1" t="n">
        <v>46228</v>
      </c>
      <c r="F302" t="inlineStr">
        <is>
          <t>NORRBOTTENS LÄN</t>
        </is>
      </c>
      <c r="G302" t="inlineStr">
        <is>
          <t>ARVIDSJAUR</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30100-2026</t>
        </is>
      </c>
      <c r="B303" t="inlineStr">
        <is>
          <t>avverkningsanmälan</t>
        </is>
      </c>
      <c r="C303" t="inlineStr">
        <is>
          <t>Föryngringsavverkning</t>
        </is>
      </c>
      <c r="D303" s="1" t="n">
        <v>46206</v>
      </c>
      <c r="E303" s="1" t="n">
        <v>46228</v>
      </c>
      <c r="F303" t="inlineStr">
        <is>
          <t>NORRBOTTENS LÄN</t>
        </is>
      </c>
      <c r="G303" t="inlineStr">
        <is>
          <t>ARVIDSJAUR</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30110-2026</t>
        </is>
      </c>
      <c r="B304" t="inlineStr">
        <is>
          <t>avverkningsanmälan</t>
        </is>
      </c>
      <c r="C304" t="inlineStr">
        <is>
          <t>Föryngringsavverkning</t>
        </is>
      </c>
      <c r="D304" s="1" t="n">
        <v>46206</v>
      </c>
      <c r="E304" s="1" t="n">
        <v>46228</v>
      </c>
      <c r="F304" t="inlineStr">
        <is>
          <t>NORRBOTTENS LÄN</t>
        </is>
      </c>
      <c r="G304" t="inlineStr">
        <is>
          <t>ARVIDSJAUR</t>
        </is>
      </c>
      <c r="H304" t="inlineStr">
        <is>
          <t>Sveaskog</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23647-2026</t>
        </is>
      </c>
      <c r="B305" t="inlineStr">
        <is>
          <t>avverkningsanmälan</t>
        </is>
      </c>
      <c r="C305" t="inlineStr">
        <is>
          <t>Avverkning för annat ändamål</t>
        </is>
      </c>
      <c r="D305" s="1" t="n">
        <v>46164</v>
      </c>
      <c r="E305" s="1" t="n">
        <v>46228</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30053-2026</t>
        </is>
      </c>
      <c r="B306" t="inlineStr">
        <is>
          <t>avverkningsanmälan</t>
        </is>
      </c>
      <c r="C306" t="inlineStr">
        <is>
          <t>Föryngringsavverkning</t>
        </is>
      </c>
      <c r="D306" s="1" t="n">
        <v>46206</v>
      </c>
      <c r="E306" s="1" t="n">
        <v>46228</v>
      </c>
      <c r="F306" t="inlineStr">
        <is>
          <t>NORRBOTTENS LÄN</t>
        </is>
      </c>
      <c r="G306" t="inlineStr">
        <is>
          <t>ARVIDSJAUR</t>
        </is>
      </c>
      <c r="H306" t="inlineStr">
        <is>
          <t>Sveaskog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30104-2026</t>
        </is>
      </c>
      <c r="B307" t="inlineStr">
        <is>
          <t>avverkningsanmälan</t>
        </is>
      </c>
      <c r="C307" t="inlineStr">
        <is>
          <t>Föryngringsavverkning</t>
        </is>
      </c>
      <c r="D307" s="1" t="n">
        <v>46206</v>
      </c>
      <c r="E307" s="1" t="n">
        <v>46228</v>
      </c>
      <c r="F307" t="inlineStr">
        <is>
          <t>NORRBOTTENS LÄN</t>
        </is>
      </c>
      <c r="G307" t="inlineStr">
        <is>
          <t>ARVIDSJAUR</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36815-2024</t>
        </is>
      </c>
      <c r="B308" t="inlineStr">
        <is>
          <t>avverkningsanmälan</t>
        </is>
      </c>
      <c r="C308" t="inlineStr">
        <is>
          <t>Föryngringsavverkning</t>
        </is>
      </c>
      <c r="D308" s="1" t="n">
        <v>45538</v>
      </c>
      <c r="E308" s="1" t="n">
        <v>46228</v>
      </c>
      <c r="F308" t="inlineStr">
        <is>
          <t>NORRBOTTENS LÄN</t>
        </is>
      </c>
      <c r="G308" t="inlineStr">
        <is>
          <t>ARVIDSJAUR</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58942-2024</t>
        </is>
      </c>
      <c r="B309" t="inlineStr">
        <is>
          <t>avverkningsanmälan</t>
        </is>
      </c>
      <c r="C309" t="inlineStr">
        <is>
          <t>Avverkning för annat ändamål</t>
        </is>
      </c>
      <c r="D309" s="1" t="n">
        <v>45636</v>
      </c>
      <c r="E309" s="1" t="n">
        <v>46228</v>
      </c>
      <c r="F309" t="inlineStr">
        <is>
          <t>NORRBOTTENS LÄN</t>
        </is>
      </c>
      <c r="G309" t="inlineStr">
        <is>
          <t>ARVIDSJAUR</t>
        </is>
      </c>
      <c r="H309" t="inlineStr">
        <is>
          <t>Sveaskog</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2301-2026</t>
        </is>
      </c>
      <c r="B310" t="inlineStr">
        <is>
          <t>avverkningsanmälan</t>
        </is>
      </c>
      <c r="C310" t="inlineStr">
        <is>
          <t>Föryngringsavverkning</t>
        </is>
      </c>
      <c r="D310" s="1" t="n">
        <v>46034</v>
      </c>
      <c r="E310" s="1" t="n">
        <v>46228</v>
      </c>
      <c r="F310" t="inlineStr">
        <is>
          <t>NORRBOTTENS LÄN</t>
        </is>
      </c>
      <c r="G310" t="inlineStr">
        <is>
          <t>ARVIDSJAUR</t>
        </is>
      </c>
      <c r="H310" t="inlineStr">
        <is>
          <t>Allmännings- och besparingsskogar</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61133-2022</t>
        </is>
      </c>
      <c r="B311" t="inlineStr">
        <is>
          <t>avverkningsanmälan</t>
        </is>
      </c>
      <c r="C311" t="inlineStr">
        <is>
          <t>Föryngringsavverkning</t>
        </is>
      </c>
      <c r="D311" s="1" t="n">
        <v>44915</v>
      </c>
      <c r="E311" s="1" t="n">
        <v>46228</v>
      </c>
      <c r="F311" t="inlineStr">
        <is>
          <t>NORRBOTTENS LÄN</t>
        </is>
      </c>
      <c r="G311" t="inlineStr">
        <is>
          <t>ARVIDSJAUR</t>
        </is>
      </c>
      <c r="H311" t="inlineStr">
        <is>
          <t>Sveaskog</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9854-2026</t>
        </is>
      </c>
      <c r="B312" t="inlineStr">
        <is>
          <t>avverkningsanmälan</t>
        </is>
      </c>
      <c r="C312" t="inlineStr">
        <is>
          <t>Föryngringsavverkning</t>
        </is>
      </c>
      <c r="D312" s="1" t="n">
        <v>46072</v>
      </c>
      <c r="E312" s="1" t="n">
        <v>46228</v>
      </c>
      <c r="F312" t="inlineStr">
        <is>
          <t>NORRBOTTENS LÄN</t>
        </is>
      </c>
      <c r="G312" t="inlineStr">
        <is>
          <t>ARVIDSJAUR</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24377-2026</t>
        </is>
      </c>
      <c r="B313" t="inlineStr">
        <is>
          <t>avverkningsanmälan</t>
        </is>
      </c>
      <c r="C313" t="inlineStr">
        <is>
          <t>Föryngringsavverkning</t>
        </is>
      </c>
      <c r="D313" s="1" t="n">
        <v>46169</v>
      </c>
      <c r="E313" s="1" t="n">
        <v>46228</v>
      </c>
      <c r="F313" t="inlineStr">
        <is>
          <t>NORRBOTTENS LÄN</t>
        </is>
      </c>
      <c r="G313" t="inlineStr">
        <is>
          <t>ARVIDSJAUR</t>
        </is>
      </c>
      <c r="H313" t="inlineStr">
        <is>
          <t>Sveaskog</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10555-2026</t>
        </is>
      </c>
      <c r="B314" t="inlineStr">
        <is>
          <t>avverkningsanmälan</t>
        </is>
      </c>
      <c r="C314" t="inlineStr">
        <is>
          <t>Avverkning för annat ändamål</t>
        </is>
      </c>
      <c r="D314" s="1" t="n">
        <v>46077</v>
      </c>
      <c r="E314" s="1" t="n">
        <v>46228</v>
      </c>
      <c r="F314" t="inlineStr">
        <is>
          <t>NORRBOTTENS LÄN</t>
        </is>
      </c>
      <c r="G314" t="inlineStr">
        <is>
          <t>ARVIDSJAUR</t>
        </is>
      </c>
      <c r="H314" t="inlineStr">
        <is>
          <t>Sveaskog</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46228</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10329-2026</t>
        </is>
      </c>
      <c r="B316" t="inlineStr">
        <is>
          <t>avverkningsanmälan</t>
        </is>
      </c>
      <c r="C316" t="inlineStr">
        <is>
          <t>Föryngringsavverkning</t>
        </is>
      </c>
      <c r="D316" s="1" t="n">
        <v>46076</v>
      </c>
      <c r="E316" s="1" t="n">
        <v>46228</v>
      </c>
      <c r="F316" t="inlineStr">
        <is>
          <t>NORRBOTTENS LÄN</t>
        </is>
      </c>
      <c r="G316" t="inlineStr">
        <is>
          <t>ARVIDSJAUR</t>
        </is>
      </c>
      <c r="H316" t="inlineStr">
        <is>
          <t>Sveaskog</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48461-2024</t>
        </is>
      </c>
      <c r="B317" t="inlineStr">
        <is>
          <t>avverkningsanmälan</t>
        </is>
      </c>
      <c r="C317" t="inlineStr">
        <is>
          <t>Föryngringsavverkning</t>
        </is>
      </c>
      <c r="D317" s="1" t="n">
        <v>45590</v>
      </c>
      <c r="E317" s="1" t="n">
        <v>46228</v>
      </c>
      <c r="F317" t="inlineStr">
        <is>
          <t>NORRBOTTENS LÄN</t>
        </is>
      </c>
      <c r="G317" t="inlineStr">
        <is>
          <t>ARVIDSJAUR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10664-2023</t>
        </is>
      </c>
      <c r="B318" t="inlineStr">
        <is>
          <t>avverkningsanmälan</t>
        </is>
      </c>
      <c r="C318" t="inlineStr">
        <is>
          <t>Avverkning för annat ändamål</t>
        </is>
      </c>
      <c r="D318" s="1" t="n">
        <v>44988</v>
      </c>
      <c r="E318" s="1" t="n">
        <v>46228</v>
      </c>
      <c r="F318" t="inlineStr">
        <is>
          <t>NORRBOTTENS LÄN</t>
        </is>
      </c>
      <c r="G318" t="inlineStr">
        <is>
          <t>ARVIDSJAUR</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11370-2026</t>
        </is>
      </c>
      <c r="B319" t="inlineStr">
        <is>
          <t>avverkningsanmälan</t>
        </is>
      </c>
      <c r="C319" t="inlineStr">
        <is>
          <t>Avverkning för annat ändamål</t>
        </is>
      </c>
      <c r="D319" s="1" t="n">
        <v>46083</v>
      </c>
      <c r="E319" s="1" t="n">
        <v>46228</v>
      </c>
      <c r="F319" t="inlineStr">
        <is>
          <t>NORRBOTTENS LÄN</t>
        </is>
      </c>
      <c r="G319" t="inlineStr">
        <is>
          <t>ARVIDSJAUR</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39328-2023</t>
        </is>
      </c>
      <c r="B320" t="inlineStr">
        <is>
          <t>avverkningsanmälan</t>
        </is>
      </c>
      <c r="C320" t="inlineStr">
        <is>
          <t>Föryngringsavverkning</t>
        </is>
      </c>
      <c r="D320" s="1" t="n">
        <v>45166</v>
      </c>
      <c r="E320" s="1" t="n">
        <v>46228</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11565-2026</t>
        </is>
      </c>
      <c r="B321" t="inlineStr">
        <is>
          <t>avverkningsanmälan</t>
        </is>
      </c>
      <c r="C321" t="inlineStr">
        <is>
          <t>Föryngringsavverkning</t>
        </is>
      </c>
      <c r="D321" s="1" t="n">
        <v>46084</v>
      </c>
      <c r="E321" s="1" t="n">
        <v>46228</v>
      </c>
      <c r="F321" t="inlineStr">
        <is>
          <t>NORRBOTTENS LÄN</t>
        </is>
      </c>
      <c r="G321" t="inlineStr">
        <is>
          <t>ARVIDSJAUR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26686-2024</t>
        </is>
      </c>
      <c r="B322" t="inlineStr">
        <is>
          <t>avverkningsanmälan</t>
        </is>
      </c>
      <c r="C322" t="inlineStr">
        <is>
          <t>Föryngringsavverkning</t>
        </is>
      </c>
      <c r="D322" s="1" t="n">
        <v>45470</v>
      </c>
      <c r="E322" s="1" t="n">
        <v>46228</v>
      </c>
      <c r="F322" t="inlineStr">
        <is>
          <t>NORRBOTTENS LÄN</t>
        </is>
      </c>
      <c r="G322" t="inlineStr">
        <is>
          <t>ARVIDSJAUR</t>
        </is>
      </c>
      <c r="H322" t="inlineStr">
        <is>
          <t>Sveaskog</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11670-2026</t>
        </is>
      </c>
      <c r="B323" t="inlineStr">
        <is>
          <t>avverkningsanmälan</t>
        </is>
      </c>
      <c r="C323" t="inlineStr">
        <is>
          <t>Föryngringsavverkning</t>
        </is>
      </c>
      <c r="D323" s="1" t="n">
        <v>46084</v>
      </c>
      <c r="E323" s="1" t="n">
        <v>46228</v>
      </c>
      <c r="F323" t="inlineStr">
        <is>
          <t>NORRBOTTENS LÄN</t>
        </is>
      </c>
      <c r="G323" t="inlineStr">
        <is>
          <t>ARVIDSJAUR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11674-2026</t>
        </is>
      </c>
      <c r="B324" t="inlineStr">
        <is>
          <t>avverkningsanmälan</t>
        </is>
      </c>
      <c r="C324" t="inlineStr">
        <is>
          <t>Föryngringsavverkning</t>
        </is>
      </c>
      <c r="D324" s="1" t="n">
        <v>46084</v>
      </c>
      <c r="E324" s="1" t="n">
        <v>46228</v>
      </c>
      <c r="F324" t="inlineStr">
        <is>
          <t>NORRBOTTENS LÄN</t>
        </is>
      </c>
      <c r="G324" t="inlineStr">
        <is>
          <t>ARVIDSJAUR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11567-2026</t>
        </is>
      </c>
      <c r="B325" t="inlineStr">
        <is>
          <t>avverkningsanmälan</t>
        </is>
      </c>
      <c r="C325" t="inlineStr">
        <is>
          <t>Föryngringsavverkning</t>
        </is>
      </c>
      <c r="D325" s="1" t="n">
        <v>46084</v>
      </c>
      <c r="E325" s="1" t="n">
        <v>46228</v>
      </c>
      <c r="F325" t="inlineStr">
        <is>
          <t>NORRBOTTENS LÄN</t>
        </is>
      </c>
      <c r="G325" t="inlineStr">
        <is>
          <t>ARVIDSJAUR</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30789-2026</t>
        </is>
      </c>
      <c r="B326" t="inlineStr">
        <is>
          <t>avverkningsanmälan</t>
        </is>
      </c>
      <c r="C326" t="inlineStr">
        <is>
          <t>Föryngringsavverkning</t>
        </is>
      </c>
      <c r="D326" s="1" t="n">
        <v>46212</v>
      </c>
      <c r="E326" s="1" t="n">
        <v>46228</v>
      </c>
      <c r="F326" t="inlineStr">
        <is>
          <t>NORRBOTTENS LÄN</t>
        </is>
      </c>
      <c r="G326" t="inlineStr">
        <is>
          <t>ARVIDSJAUR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24439-2026</t>
        </is>
      </c>
      <c r="B327" t="inlineStr">
        <is>
          <t>avverkningsanmälan</t>
        </is>
      </c>
      <c r="C327" t="inlineStr">
        <is>
          <t>Föryngringsavverkning</t>
        </is>
      </c>
      <c r="D327" s="1" t="n">
        <v>46170</v>
      </c>
      <c r="E327" s="1" t="n">
        <v>46228</v>
      </c>
      <c r="F327" t="inlineStr">
        <is>
          <t>NORRBOTTENS LÄN</t>
        </is>
      </c>
      <c r="G327" t="inlineStr">
        <is>
          <t>ARVIDSJAUR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24440-2026</t>
        </is>
      </c>
      <c r="B328" t="inlineStr">
        <is>
          <t>avverkningsanmälan</t>
        </is>
      </c>
      <c r="C328" t="inlineStr">
        <is>
          <t>Föryngringsavverkning</t>
        </is>
      </c>
      <c r="D328" s="1" t="n">
        <v>46170</v>
      </c>
      <c r="E328" s="1" t="n">
        <v>46228</v>
      </c>
      <c r="F328" t="inlineStr">
        <is>
          <t>NORRBOTTENS LÄN</t>
        </is>
      </c>
      <c r="G328" t="inlineStr">
        <is>
          <t>ARVIDSJAUR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30792-2026</t>
        </is>
      </c>
      <c r="B329" t="inlineStr">
        <is>
          <t>avverkningsanmälan</t>
        </is>
      </c>
      <c r="C329" t="inlineStr">
        <is>
          <t>Föryngringsavverkning</t>
        </is>
      </c>
      <c r="D329" s="1" t="n">
        <v>46212</v>
      </c>
      <c r="E329" s="1" t="n">
        <v>46228</v>
      </c>
      <c r="F329" t="inlineStr">
        <is>
          <t>NORRBOTTENS LÄN</t>
        </is>
      </c>
      <c r="G329" t="inlineStr">
        <is>
          <t>ARVIDSJAUR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33084-2024</t>
        </is>
      </c>
      <c r="B330" t="inlineStr">
        <is>
          <t>avverkningsanmälan</t>
        </is>
      </c>
      <c r="C330" t="inlineStr">
        <is>
          <t>Föryngringsavverkning</t>
        </is>
      </c>
      <c r="D330" s="1" t="n">
        <v>45517</v>
      </c>
      <c r="E330" s="1" t="n">
        <v>46228</v>
      </c>
      <c r="F330" t="inlineStr">
        <is>
          <t>NORRBOTTENS LÄN</t>
        </is>
      </c>
      <c r="G330" t="inlineStr">
        <is>
          <t>ARVIDSJAUR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29247-2026</t>
        </is>
      </c>
      <c r="B331" t="inlineStr">
        <is>
          <t>avverkningsanmälan</t>
        </is>
      </c>
      <c r="C331" t="inlineStr">
        <is>
          <t>Avverkning för annat ändamål</t>
        </is>
      </c>
      <c r="D331" s="1" t="n">
        <v>46197</v>
      </c>
      <c r="E331" s="1" t="n">
        <v>46228</v>
      </c>
      <c r="F331" t="inlineStr">
        <is>
          <t>NORRBOTTENS LÄN</t>
        </is>
      </c>
      <c r="G331" t="inlineStr">
        <is>
          <t>ARVIDSJAUR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24815-2026</t>
        </is>
      </c>
      <c r="B332" t="inlineStr">
        <is>
          <t>avverkningsanmälan</t>
        </is>
      </c>
      <c r="C332" t="inlineStr">
        <is>
          <t>Föryngringsavverkning</t>
        </is>
      </c>
      <c r="D332" s="1" t="n">
        <v>46173</v>
      </c>
      <c r="E332" s="1" t="n">
        <v>46228</v>
      </c>
      <c r="F332" t="inlineStr">
        <is>
          <t>NORRBOTTENS LÄN</t>
        </is>
      </c>
      <c r="G332" t="inlineStr">
        <is>
          <t>ARVIDSJAUR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24816-2026</t>
        </is>
      </c>
      <c r="B333" t="inlineStr">
        <is>
          <t>avverkningsanmälan</t>
        </is>
      </c>
      <c r="C333" t="inlineStr">
        <is>
          <t>Föryngringsavverkning</t>
        </is>
      </c>
      <c r="D333" s="1" t="n">
        <v>46173</v>
      </c>
      <c r="E333" s="1" t="n">
        <v>46228</v>
      </c>
      <c r="F333" t="inlineStr">
        <is>
          <t>NORRBOTTENS LÄN</t>
        </is>
      </c>
      <c r="G333" t="inlineStr">
        <is>
          <t>ARVIDSJAUR</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49170-2024</t>
        </is>
      </c>
      <c r="B334" t="inlineStr">
        <is>
          <t>avverkningsanmälan</t>
        </is>
      </c>
      <c r="C334" t="inlineStr">
        <is>
          <t>Föryngringsavverkning</t>
        </is>
      </c>
      <c r="D334" s="1" t="n">
        <v>45595</v>
      </c>
      <c r="E334" s="1" t="n">
        <v>46228</v>
      </c>
      <c r="F334" t="inlineStr">
        <is>
          <t>NORRBOTTENS LÄN</t>
        </is>
      </c>
      <c r="G334" t="inlineStr">
        <is>
          <t>ARVIDSJAUR</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14849-2026</t>
        </is>
      </c>
      <c r="B335" t="inlineStr">
        <is>
          <t>avverkningsanmälan</t>
        </is>
      </c>
      <c r="C335" t="inlineStr">
        <is>
          <t>Föryngringsavverkning</t>
        </is>
      </c>
      <c r="D335" s="1" t="n">
        <v>46104</v>
      </c>
      <c r="E335" s="1" t="n">
        <v>46228</v>
      </c>
      <c r="F335" t="inlineStr">
        <is>
          <t>NORRBOTTENS LÄN</t>
        </is>
      </c>
      <c r="G335" t="inlineStr">
        <is>
          <t>ARVIDSJAUR</t>
        </is>
      </c>
      <c r="H335" t="inlineStr">
        <is>
          <t>Sveaskog</t>
        </is>
      </c>
      <c r="I335" t="n">
        <v>23.6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14846-2026</t>
        </is>
      </c>
      <c r="B336" t="inlineStr">
        <is>
          <t>avverkningsanmälan</t>
        </is>
      </c>
      <c r="C336" t="inlineStr">
        <is>
          <t>Föryngringsavverkning</t>
        </is>
      </c>
      <c r="D336" s="1" t="n">
        <v>46104</v>
      </c>
      <c r="E336" s="1" t="n">
        <v>46228</v>
      </c>
      <c r="F336" t="inlineStr">
        <is>
          <t>NORRBOTTENS LÄN</t>
        </is>
      </c>
      <c r="G336" t="inlineStr">
        <is>
          <t>ARVIDSJAUR</t>
        </is>
      </c>
      <c r="H336" t="inlineStr">
        <is>
          <t>Sveaskog</t>
        </is>
      </c>
      <c r="I336" t="n">
        <v>22.3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36403-2023</t>
        </is>
      </c>
      <c r="B337" t="inlineStr">
        <is>
          <t>avverkningsanmälan</t>
        </is>
      </c>
      <c r="C337" t="inlineStr">
        <is>
          <t>Avverkning för annat ändamål</t>
        </is>
      </c>
      <c r="D337" s="1" t="n">
        <v>45152</v>
      </c>
      <c r="E337" s="1" t="n">
        <v>46228</v>
      </c>
      <c r="F337" t="inlineStr">
        <is>
          <t>NORRBOTTENS LÄN</t>
        </is>
      </c>
      <c r="G337" t="inlineStr">
        <is>
          <t>ARVIDSJAUR</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46228</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22996-2024</t>
        </is>
      </c>
      <c r="B339" t="inlineStr">
        <is>
          <t>avverkningsanmälan</t>
        </is>
      </c>
      <c r="C339" t="inlineStr">
        <is>
          <t>Föryngringsavverkning</t>
        </is>
      </c>
      <c r="D339" s="1" t="n">
        <v>45450</v>
      </c>
      <c r="E339" s="1" t="n">
        <v>46228</v>
      </c>
      <c r="F339" t="inlineStr">
        <is>
          <t>NORRBOTTENS LÄN</t>
        </is>
      </c>
      <c r="G339" t="inlineStr">
        <is>
          <t>ARVIDSJAUR</t>
        </is>
      </c>
      <c r="H339" t="inlineStr">
        <is>
          <t>Sveaskog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23736-2024</t>
        </is>
      </c>
      <c r="B340" t="inlineStr">
        <is>
          <t>avverkningsanmälan</t>
        </is>
      </c>
      <c r="C340" t="inlineStr">
        <is>
          <t>Föryngringsavverkning</t>
        </is>
      </c>
      <c r="D340" s="1" t="n">
        <v>45454</v>
      </c>
      <c r="E340" s="1" t="n">
        <v>46228</v>
      </c>
      <c r="F340" t="inlineStr">
        <is>
          <t>NORRBOTTENS LÄN</t>
        </is>
      </c>
      <c r="G340" t="inlineStr">
        <is>
          <t>ARVIDSJAUR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54311-2023</t>
        </is>
      </c>
      <c r="B341" t="inlineStr">
        <is>
          <t>avverkningsanmälan</t>
        </is>
      </c>
      <c r="C341" t="inlineStr">
        <is>
          <t>Avverkning för annat ändamål</t>
        </is>
      </c>
      <c r="D341" s="1" t="n">
        <v>45225</v>
      </c>
      <c r="E341" s="1" t="n">
        <v>46228</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46228</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39436-2024</t>
        </is>
      </c>
      <c r="B343" t="inlineStr">
        <is>
          <t>avverkningsanmälan</t>
        </is>
      </c>
      <c r="C343" t="inlineStr">
        <is>
          <t>Avverkning för annat ändamål</t>
        </is>
      </c>
      <c r="D343" s="1" t="n">
        <v>45551</v>
      </c>
      <c r="E343" s="1" t="n">
        <v>46228</v>
      </c>
      <c r="F343" t="inlineStr">
        <is>
          <t>NORRBOTTENS LÄN</t>
        </is>
      </c>
      <c r="G343" t="inlineStr">
        <is>
          <t>ARVIDSJAUR</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39439-2024</t>
        </is>
      </c>
      <c r="B344" t="inlineStr">
        <is>
          <t>avverkningsanmälan</t>
        </is>
      </c>
      <c r="C344" t="inlineStr">
        <is>
          <t>Avverkning för annat ändamål</t>
        </is>
      </c>
      <c r="D344" s="1" t="n">
        <v>45551</v>
      </c>
      <c r="E344" s="1" t="n">
        <v>46228</v>
      </c>
      <c r="F344" t="inlineStr">
        <is>
          <t>NORRBOTTENS LÄN</t>
        </is>
      </c>
      <c r="G344" t="inlineStr">
        <is>
          <t>ARVIDSJAUR</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26819-2024</t>
        </is>
      </c>
      <c r="B345" t="inlineStr">
        <is>
          <t>avverkningsanmälan</t>
        </is>
      </c>
      <c r="C345" t="inlineStr">
        <is>
          <t>Föryngringsavverkning</t>
        </is>
      </c>
      <c r="D345" s="1" t="n">
        <v>45470</v>
      </c>
      <c r="E345" s="1" t="n">
        <v>46228</v>
      </c>
      <c r="F345" t="inlineStr">
        <is>
          <t>NORRBOTTENS LÄN</t>
        </is>
      </c>
      <c r="G345" t="inlineStr">
        <is>
          <t>ARVIDSJAUR</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25928-2026</t>
        </is>
      </c>
      <c r="B346" t="inlineStr">
        <is>
          <t>avverkningsanmälan</t>
        </is>
      </c>
      <c r="C346" t="inlineStr">
        <is>
          <t>Föryngringsavverkning</t>
        </is>
      </c>
      <c r="D346" s="1" t="n">
        <v>46179</v>
      </c>
      <c r="E346" s="1" t="n">
        <v>46228</v>
      </c>
      <c r="F346" t="inlineStr">
        <is>
          <t>NORRBOTTENS LÄN</t>
        </is>
      </c>
      <c r="G346" t="inlineStr">
        <is>
          <t>ARVIDSJAUR</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62286-2025</t>
        </is>
      </c>
      <c r="B347" t="inlineStr">
        <is>
          <t>avverkningsanmälan</t>
        </is>
      </c>
      <c r="C347" t="inlineStr">
        <is>
          <t>Föryngringsavverkning</t>
        </is>
      </c>
      <c r="D347" s="1" t="n">
        <v>46006</v>
      </c>
      <c r="E347" s="1" t="n">
        <v>46228</v>
      </c>
      <c r="F347" t="inlineStr">
        <is>
          <t>NORRBOTTENS LÄN</t>
        </is>
      </c>
      <c r="G347" t="inlineStr">
        <is>
          <t>ARVIDSJAUR</t>
        </is>
      </c>
      <c r="H347" t="inlineStr">
        <is>
          <t>Allmännings- och besparingsskogar</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25735-2026</t>
        </is>
      </c>
      <c r="B348" t="inlineStr">
        <is>
          <t>avverkningsanmälan</t>
        </is>
      </c>
      <c r="C348" t="inlineStr">
        <is>
          <t>Föryngringsavverkning</t>
        </is>
      </c>
      <c r="D348" s="1" t="n">
        <v>46178</v>
      </c>
      <c r="E348" s="1" t="n">
        <v>46228</v>
      </c>
      <c r="F348" t="inlineStr">
        <is>
          <t>NORRBOTTENS LÄN</t>
        </is>
      </c>
      <c r="G348" t="inlineStr">
        <is>
          <t>ARVIDSJAUR</t>
        </is>
      </c>
      <c r="H348" t="inlineStr">
        <is>
          <t>Sveaskog</t>
        </is>
      </c>
      <c r="I348" t="n">
        <v>16.5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24836-2024</t>
        </is>
      </c>
      <c r="B349" t="inlineStr">
        <is>
          <t>avverkningsanmälan</t>
        </is>
      </c>
      <c r="C349" t="inlineStr">
        <is>
          <t>Föryngringsavverkning</t>
        </is>
      </c>
      <c r="D349" s="1" t="n">
        <v>45461</v>
      </c>
      <c r="E349" s="1" t="n">
        <v>46228</v>
      </c>
      <c r="F349" t="inlineStr">
        <is>
          <t>NORRBOTTENS LÄN</t>
        </is>
      </c>
      <c r="G349" t="inlineStr">
        <is>
          <t>ARVIDSJAUR</t>
        </is>
      </c>
      <c r="H349" t="inlineStr">
        <is>
          <t>Allmännings- och besparingsskogar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46228</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18299-2026</t>
        </is>
      </c>
      <c r="B351" t="inlineStr">
        <is>
          <t>avverkningsanmälan</t>
        </is>
      </c>
      <c r="C351" t="inlineStr">
        <is>
          <t>Föryngringsavverkning</t>
        </is>
      </c>
      <c r="D351" s="1" t="n">
        <v>46126</v>
      </c>
      <c r="E351" s="1" t="n">
        <v>46228</v>
      </c>
      <c r="F351" t="inlineStr">
        <is>
          <t>NORRBOTTENS LÄN</t>
        </is>
      </c>
      <c r="G351" t="inlineStr">
        <is>
          <t>ARVIDSJAUR</t>
        </is>
      </c>
      <c r="H351" t="inlineStr">
        <is>
          <t>Sveaskog</t>
        </is>
      </c>
      <c r="I351" t="n">
        <v>14.8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25930-2026</t>
        </is>
      </c>
      <c r="B352" t="inlineStr">
        <is>
          <t>avverkningsanmälan</t>
        </is>
      </c>
      <c r="C352" t="inlineStr">
        <is>
          <t>Föryngringsavverkning</t>
        </is>
      </c>
      <c r="D352" s="1" t="n">
        <v>46179</v>
      </c>
      <c r="E352" s="1" t="n">
        <v>46228</v>
      </c>
      <c r="F352" t="inlineStr">
        <is>
          <t>NORRBOTTENS LÄN</t>
        </is>
      </c>
      <c r="G352" t="inlineStr">
        <is>
          <t>ARVIDSJAUR</t>
        </is>
      </c>
      <c r="H352" t="inlineStr">
        <is>
          <t>SCA</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56980-2024</t>
        </is>
      </c>
      <c r="B353" t="inlineStr">
        <is>
          <t>avverkningsanmälan</t>
        </is>
      </c>
      <c r="C353" t="inlineStr">
        <is>
          <t>Föryngringsavverkning</t>
        </is>
      </c>
      <c r="D353" s="1" t="n">
        <v>45628</v>
      </c>
      <c r="E353" s="1" t="n">
        <v>46228</v>
      </c>
      <c r="F353" t="inlineStr">
        <is>
          <t>NORRBOTTENS LÄN</t>
        </is>
      </c>
      <c r="G353" t="inlineStr">
        <is>
          <t>ARVIDSJAUR</t>
        </is>
      </c>
      <c r="H353" t="inlineStr">
        <is>
          <t>Övriga Aktiebolag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26173-2026</t>
        </is>
      </c>
      <c r="B354" t="inlineStr">
        <is>
          <t>avverkningsanmälan</t>
        </is>
      </c>
      <c r="C354" t="inlineStr">
        <is>
          <t>Föryngringsavverkning</t>
        </is>
      </c>
      <c r="D354" s="1" t="n">
        <v>46182</v>
      </c>
      <c r="E354" s="1" t="n">
        <v>46228</v>
      </c>
      <c r="F354" t="inlineStr">
        <is>
          <t>NORRBOTTENS LÄN</t>
        </is>
      </c>
      <c r="G354" t="inlineStr">
        <is>
          <t>ARVIDSJAUR</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26806-2026</t>
        </is>
      </c>
      <c r="B355" t="inlineStr">
        <is>
          <t>avverkningsanmälan</t>
        </is>
      </c>
      <c r="C355" t="inlineStr">
        <is>
          <t>Föryngringsavverkning</t>
        </is>
      </c>
      <c r="D355" s="1" t="n">
        <v>46183</v>
      </c>
      <c r="E355" s="1" t="n">
        <v>46228</v>
      </c>
      <c r="F355" t="inlineStr">
        <is>
          <t>NORRBOTTENS LÄN</t>
        </is>
      </c>
      <c r="G355" t="inlineStr">
        <is>
          <t>ARVIDSJAUR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26093-2026</t>
        </is>
      </c>
      <c r="B356" t="inlineStr">
        <is>
          <t>avverkningsanmälan</t>
        </is>
      </c>
      <c r="C356" t="inlineStr">
        <is>
          <t>Föryngringsavverkning</t>
        </is>
      </c>
      <c r="D356" s="1" t="n">
        <v>46181</v>
      </c>
      <c r="E356" s="1" t="n">
        <v>46228</v>
      </c>
      <c r="F356" t="inlineStr">
        <is>
          <t>NORRBOTTENS LÄN</t>
        </is>
      </c>
      <c r="G356" t="inlineStr">
        <is>
          <t>ARVIDSJAUR</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26374-2026</t>
        </is>
      </c>
      <c r="B357" t="inlineStr">
        <is>
          <t>avverkningsanmälan</t>
        </is>
      </c>
      <c r="C357" t="inlineStr">
        <is>
          <t>Föryngringsavverkning</t>
        </is>
      </c>
      <c r="D357" s="1" t="n">
        <v>46182</v>
      </c>
      <c r="E357" s="1" t="n">
        <v>46228</v>
      </c>
      <c r="F357" t="inlineStr">
        <is>
          <t>NORRBOTTENS LÄN</t>
        </is>
      </c>
      <c r="G357" t="inlineStr">
        <is>
          <t>ARVIDSJAUR</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46228</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42674-2021</t>
        </is>
      </c>
      <c r="B359" t="inlineStr">
        <is>
          <t>avverkningsanmälan</t>
        </is>
      </c>
      <c r="C359" t="inlineStr">
        <is>
          <t>Föryngringsavverkning</t>
        </is>
      </c>
      <c r="D359" s="1" t="n">
        <v>44428</v>
      </c>
      <c r="E359" s="1" t="n">
        <v>46228</v>
      </c>
      <c r="F359" t="inlineStr">
        <is>
          <t>NORRBOTTENS LÄN</t>
        </is>
      </c>
      <c r="G359" t="inlineStr">
        <is>
          <t>ARVIDSJAUR</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25790-2024</t>
        </is>
      </c>
      <c r="B360" t="inlineStr">
        <is>
          <t>avverkningsanmälan</t>
        </is>
      </c>
      <c r="C360" t="inlineStr">
        <is>
          <t>Föryngringsavverkning</t>
        </is>
      </c>
      <c r="D360" s="1" t="n">
        <v>45467</v>
      </c>
      <c r="E360" s="1" t="n">
        <v>46228</v>
      </c>
      <c r="F360" t="inlineStr">
        <is>
          <t>NORRBOTTENS LÄN</t>
        </is>
      </c>
      <c r="G360" t="inlineStr">
        <is>
          <t>ARVIDSJAUR</t>
        </is>
      </c>
      <c r="H360" t="inlineStr">
        <is>
          <t>Sveaskog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10243-2024</t>
        </is>
      </c>
      <c r="B361" t="inlineStr">
        <is>
          <t>avverkningsanmälan</t>
        </is>
      </c>
      <c r="C361" t="inlineStr">
        <is>
          <t>Föryngringsavverkning</t>
        </is>
      </c>
      <c r="D361" s="1" t="n">
        <v>45365</v>
      </c>
      <c r="E361" s="1" t="n">
        <v>46228</v>
      </c>
      <c r="F361" t="inlineStr">
        <is>
          <t>NORRBOTTENS LÄN</t>
        </is>
      </c>
      <c r="G361" t="inlineStr">
        <is>
          <t>ARVIDSJAUR</t>
        </is>
      </c>
      <c r="H361" t="inlineStr">
        <is>
          <t>Sveaskog</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8626-2023</t>
        </is>
      </c>
      <c r="B362" t="inlineStr">
        <is>
          <t>avverkningsanmälan</t>
        </is>
      </c>
      <c r="C362" t="inlineStr">
        <is>
          <t>Föryngringsavverkning</t>
        </is>
      </c>
      <c r="D362" s="1" t="n">
        <v>44977</v>
      </c>
      <c r="E362" s="1" t="n">
        <v>46228</v>
      </c>
      <c r="F362" t="inlineStr">
        <is>
          <t>NORRBOTTENS LÄN</t>
        </is>
      </c>
      <c r="G362" t="inlineStr">
        <is>
          <t>ARVIDSJAUR</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56495-2024</t>
        </is>
      </c>
      <c r="B363" t="inlineStr">
        <is>
          <t>avverkningsanmälan</t>
        </is>
      </c>
      <c r="C363" t="inlineStr">
        <is>
          <t>Föryngringsavverkning</t>
        </is>
      </c>
      <c r="D363" s="1" t="n">
        <v>45625</v>
      </c>
      <c r="E363" s="1" t="n">
        <v>46228</v>
      </c>
      <c r="F363" t="inlineStr">
        <is>
          <t>NORRBOTTENS LÄN</t>
        </is>
      </c>
      <c r="G363" t="inlineStr">
        <is>
          <t>ARVIDSJAUR</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15475-2023</t>
        </is>
      </c>
      <c r="B364" t="inlineStr">
        <is>
          <t>avverkningsanmälan</t>
        </is>
      </c>
      <c r="C364" t="inlineStr">
        <is>
          <t>Avverkning för annat ändamål</t>
        </is>
      </c>
      <c r="D364" s="1" t="n">
        <v>45020</v>
      </c>
      <c r="E364" s="1" t="n">
        <v>46228</v>
      </c>
      <c r="F364" t="inlineStr">
        <is>
          <t>NORRBOTTENS LÄN</t>
        </is>
      </c>
      <c r="G364" t="inlineStr">
        <is>
          <t>ARVIDSJAUR</t>
        </is>
      </c>
      <c r="H364" t="inlineStr">
        <is>
          <t>Sveaskog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45794-2024</t>
        </is>
      </c>
      <c r="B365" t="inlineStr">
        <is>
          <t>avverkningsanmälan</t>
        </is>
      </c>
      <c r="C365" t="inlineStr">
        <is>
          <t>Föryngringsavverkning</t>
        </is>
      </c>
      <c r="D365" s="1" t="n">
        <v>45579</v>
      </c>
      <c r="E365" s="1" t="n">
        <v>46228</v>
      </c>
      <c r="F365" t="inlineStr">
        <is>
          <t>NORRBOTTENS LÄN</t>
        </is>
      </c>
      <c r="G365" t="inlineStr">
        <is>
          <t>ARVIDSJAUR</t>
        </is>
      </c>
      <c r="H365" t="inlineStr">
        <is>
          <t>Sveaskog</t>
        </is>
      </c>
      <c r="I365" t="n">
        <v>37.7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30749-2023</t>
        </is>
      </c>
      <c r="B366" t="inlineStr">
        <is>
          <t>avverkningsanmälan</t>
        </is>
      </c>
      <c r="C366" t="inlineStr">
        <is>
          <t>Föryngringsavverkning</t>
        </is>
      </c>
      <c r="D366" s="1" t="n">
        <v>45103</v>
      </c>
      <c r="E366" s="1" t="n">
        <v>46228</v>
      </c>
      <c r="F366" t="inlineStr">
        <is>
          <t>NORRBOTTENS LÄN</t>
        </is>
      </c>
      <c r="G366" t="inlineStr">
        <is>
          <t>ARVIDSJAUR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50472-2022</t>
        </is>
      </c>
      <c r="B367" t="inlineStr">
        <is>
          <t>avverkningsanmälan</t>
        </is>
      </c>
      <c r="C367" t="inlineStr">
        <is>
          <t>Föryngringsavverkning</t>
        </is>
      </c>
      <c r="D367" s="1" t="n">
        <v>44861</v>
      </c>
      <c r="E367" s="1" t="n">
        <v>46228</v>
      </c>
      <c r="F367" t="inlineStr">
        <is>
          <t>NORRBOTTENS LÄN</t>
        </is>
      </c>
      <c r="G367" t="inlineStr">
        <is>
          <t>ARVIDSJAUR</t>
        </is>
      </c>
      <c r="H367" t="inlineStr">
        <is>
          <t>Allmännings- och besparingsskogar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54211-2024</t>
        </is>
      </c>
      <c r="B368" t="inlineStr">
        <is>
          <t>avverkningsanmälan</t>
        </is>
      </c>
      <c r="C368" t="inlineStr">
        <is>
          <t>Föryngringsavverkning</t>
        </is>
      </c>
      <c r="D368" s="1" t="n">
        <v>45616</v>
      </c>
      <c r="E368" s="1" t="n">
        <v>46228</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10126-2024</t>
        </is>
      </c>
      <c r="B369" t="inlineStr">
        <is>
          <t>avverkningsanmälan</t>
        </is>
      </c>
      <c r="C369" t="inlineStr">
        <is>
          <t>Föryngringsavverkning</t>
        </is>
      </c>
      <c r="D369" s="1" t="n">
        <v>45364</v>
      </c>
      <c r="E369" s="1" t="n">
        <v>46228</v>
      </c>
      <c r="F369" t="inlineStr">
        <is>
          <t>NORRBOTTENS LÄN</t>
        </is>
      </c>
      <c r="G369" t="inlineStr">
        <is>
          <t>ARVIDSJAUR</t>
        </is>
      </c>
      <c r="H369" t="inlineStr">
        <is>
          <t>Sveaskog</t>
        </is>
      </c>
      <c r="I369" t="n">
        <v>19.8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7327-2025</t>
        </is>
      </c>
      <c r="B370" t="inlineStr">
        <is>
          <t>avverkningsanmälan</t>
        </is>
      </c>
      <c r="C370" t="inlineStr">
        <is>
          <t>Föryngringsavverkning</t>
        </is>
      </c>
      <c r="D370" s="1" t="n">
        <v>45702</v>
      </c>
      <c r="E370" s="1" t="n">
        <v>46228</v>
      </c>
      <c r="F370" t="inlineStr">
        <is>
          <t>NORRBOTTENS LÄN</t>
        </is>
      </c>
      <c r="G370" t="inlineStr">
        <is>
          <t>ARVIDSJAUR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11538-2025</t>
        </is>
      </c>
      <c r="B371" t="inlineStr">
        <is>
          <t>avverkningsanmälan</t>
        </is>
      </c>
      <c r="C371" t="inlineStr">
        <is>
          <t>Föryngringsavverkning</t>
        </is>
      </c>
      <c r="D371" s="1" t="n">
        <v>45726</v>
      </c>
      <c r="E371" s="1" t="n">
        <v>46228</v>
      </c>
      <c r="F371" t="inlineStr">
        <is>
          <t>NORRBOTTENS LÄN</t>
        </is>
      </c>
      <c r="G371" t="inlineStr">
        <is>
          <t>ARVIDSJAUR</t>
        </is>
      </c>
      <c r="H371" t="inlineStr">
        <is>
          <t>Allmännings- och besparingsskogar</t>
        </is>
      </c>
      <c r="I371" t="n">
        <v>15.3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61625-2024</t>
        </is>
      </c>
      <c r="B372" t="inlineStr">
        <is>
          <t>avverkningsanmälan</t>
        </is>
      </c>
      <c r="C372" t="inlineStr">
        <is>
          <t>Föryngringsavverkning</t>
        </is>
      </c>
      <c r="D372" s="1" t="n">
        <v>45646</v>
      </c>
      <c r="E372" s="1" t="n">
        <v>46228</v>
      </c>
      <c r="F372" t="inlineStr">
        <is>
          <t>NORRBOTTENS LÄN</t>
        </is>
      </c>
      <c r="G372" t="inlineStr">
        <is>
          <t>ARVIDSJAUR</t>
        </is>
      </c>
      <c r="H372" t="inlineStr">
        <is>
          <t>Sveaskog</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22696-2024</t>
        </is>
      </c>
      <c r="B373" t="inlineStr">
        <is>
          <t>avverkningsanmälan</t>
        </is>
      </c>
      <c r="C373" t="inlineStr">
        <is>
          <t>Föryngringsavverkning</t>
        </is>
      </c>
      <c r="D373" s="1" t="n">
        <v>45448</v>
      </c>
      <c r="E373" s="1" t="n">
        <v>46228</v>
      </c>
      <c r="F373" t="inlineStr">
        <is>
          <t>NORRBOTTENS LÄN</t>
        </is>
      </c>
      <c r="G373" t="inlineStr">
        <is>
          <t>ARVIDSJAUR</t>
        </is>
      </c>
      <c r="H373" t="inlineStr">
        <is>
          <t>Sveaskog</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58025-2023</t>
        </is>
      </c>
      <c r="B374" t="inlineStr">
        <is>
          <t>avverkningsanmälan</t>
        </is>
      </c>
      <c r="C374" t="inlineStr">
        <is>
          <t>Föryngringsavverkning</t>
        </is>
      </c>
      <c r="D374" s="1" t="n">
        <v>45244</v>
      </c>
      <c r="E374" s="1" t="n">
        <v>46228</v>
      </c>
      <c r="F374" t="inlineStr">
        <is>
          <t>NORRBOTTENS LÄN</t>
        </is>
      </c>
      <c r="G374" t="inlineStr">
        <is>
          <t>ARVIDSJAUR</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42695-2023</t>
        </is>
      </c>
      <c r="B375" t="inlineStr">
        <is>
          <t>avverkningsanmälan</t>
        </is>
      </c>
      <c r="C375" t="inlineStr">
        <is>
          <t>Föryngringsavverkning</t>
        </is>
      </c>
      <c r="D375" s="1" t="n">
        <v>45176</v>
      </c>
      <c r="E375" s="1" t="n">
        <v>46228</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52407-2021</t>
        </is>
      </c>
      <c r="B376" t="inlineStr">
        <is>
          <t>avverkningsanmälan</t>
        </is>
      </c>
      <c r="C376" t="inlineStr">
        <is>
          <t>Föryngringsavverkning</t>
        </is>
      </c>
      <c r="D376" s="1" t="n">
        <v>44463</v>
      </c>
      <c r="E376" s="1" t="n">
        <v>46228</v>
      </c>
      <c r="F376" t="inlineStr">
        <is>
          <t>NORRBOTTENS LÄN</t>
        </is>
      </c>
      <c r="G376" t="inlineStr">
        <is>
          <t>ARVIDSJAUR</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48373-2024</t>
        </is>
      </c>
      <c r="B377" t="inlineStr">
        <is>
          <t>avverkningsanmälan</t>
        </is>
      </c>
      <c r="C377" t="inlineStr">
        <is>
          <t>Föryngringsavverkning</t>
        </is>
      </c>
      <c r="D377" s="1" t="n">
        <v>45590</v>
      </c>
      <c r="E377" s="1" t="n">
        <v>46228</v>
      </c>
      <c r="F377" t="inlineStr">
        <is>
          <t>NORRBOTTENS LÄN</t>
        </is>
      </c>
      <c r="G377" t="inlineStr">
        <is>
          <t>ARVIDSJAUR</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10832-2025</t>
        </is>
      </c>
      <c r="B378" t="inlineStr">
        <is>
          <t>avverkningsanmälan</t>
        </is>
      </c>
      <c r="C378" t="inlineStr">
        <is>
          <t>Föryngringsavverkning</t>
        </is>
      </c>
      <c r="D378" s="1" t="n">
        <v>45722</v>
      </c>
      <c r="E378" s="1" t="n">
        <v>46228</v>
      </c>
      <c r="F378" t="inlineStr">
        <is>
          <t>NORRBOTTENS LÄN</t>
        </is>
      </c>
      <c r="G378" t="inlineStr">
        <is>
          <t>ARVIDSJAUR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46228</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30756-2023</t>
        </is>
      </c>
      <c r="B380" t="inlineStr">
        <is>
          <t>avverkningsanmälan</t>
        </is>
      </c>
      <c r="C380" t="inlineStr">
        <is>
          <t>Avverkning för annat ändamål</t>
        </is>
      </c>
      <c r="D380" s="1" t="n">
        <v>45103</v>
      </c>
      <c r="E380" s="1" t="n">
        <v>46228</v>
      </c>
      <c r="F380" t="inlineStr">
        <is>
          <t>NORRBOTTENS LÄN</t>
        </is>
      </c>
      <c r="G380" t="inlineStr">
        <is>
          <t>ARVIDSJAUR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3265-2024</t>
        </is>
      </c>
      <c r="B381" t="inlineStr">
        <is>
          <t>avverkningsanmälan</t>
        </is>
      </c>
      <c r="C381" t="inlineStr">
        <is>
          <t>Föryngringsavverkning</t>
        </is>
      </c>
      <c r="D381" s="1" t="n">
        <v>45316</v>
      </c>
      <c r="E381" s="1" t="n">
        <v>46228</v>
      </c>
      <c r="F381" t="inlineStr">
        <is>
          <t>NORRBOTTENS LÄN</t>
        </is>
      </c>
      <c r="G381" t="inlineStr">
        <is>
          <t>ARVIDSJAUR</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51631-2023</t>
        </is>
      </c>
      <c r="B382" t="inlineStr">
        <is>
          <t>avverkningsanmälan</t>
        </is>
      </c>
      <c r="C382" t="inlineStr">
        <is>
          <t>Föryngringsavverkning</t>
        </is>
      </c>
      <c r="D382" s="1" t="n">
        <v>45222</v>
      </c>
      <c r="E382" s="1" t="n">
        <v>46228</v>
      </c>
      <c r="F382" t="inlineStr">
        <is>
          <t>NORRBOTTENS LÄN</t>
        </is>
      </c>
      <c r="G382" t="inlineStr">
        <is>
          <t>ARVIDSJAUR</t>
        </is>
      </c>
      <c r="H382" t="inlineStr">
        <is>
          <t>Sveaskog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9621-2024</t>
        </is>
      </c>
      <c r="B383" t="inlineStr">
        <is>
          <t>avverkningsanmälan</t>
        </is>
      </c>
      <c r="C383" t="inlineStr">
        <is>
          <t>Avverkning för annat ändamål</t>
        </is>
      </c>
      <c r="D383" s="1" t="n">
        <v>45361</v>
      </c>
      <c r="E383" s="1" t="n">
        <v>46228</v>
      </c>
      <c r="F383" t="inlineStr">
        <is>
          <t>NORRBOTTENS LÄN</t>
        </is>
      </c>
      <c r="G383" t="inlineStr">
        <is>
          <t>ARVIDSJAUR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61202-2022</t>
        </is>
      </c>
      <c r="B384" t="inlineStr">
        <is>
          <t>avverkningsanmälan</t>
        </is>
      </c>
      <c r="C384" t="inlineStr">
        <is>
          <t>Föryngringsavverkning</t>
        </is>
      </c>
      <c r="D384" s="1" t="n">
        <v>44915</v>
      </c>
      <c r="E384" s="1" t="n">
        <v>46228</v>
      </c>
      <c r="F384" t="inlineStr">
        <is>
          <t>NORRBOTTENS LÄN</t>
        </is>
      </c>
      <c r="G384" t="inlineStr">
        <is>
          <t>ARVIDSJAUR</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11571-2025</t>
        </is>
      </c>
      <c r="B385" t="inlineStr">
        <is>
          <t>avverkningsanmälan</t>
        </is>
      </c>
      <c r="C385" t="inlineStr">
        <is>
          <t>Föryngringsavverkning</t>
        </is>
      </c>
      <c r="D385" s="1" t="n">
        <v>45726</v>
      </c>
      <c r="E385" s="1" t="n">
        <v>46228</v>
      </c>
      <c r="F385" t="inlineStr">
        <is>
          <t>NORRBOTTENS LÄN</t>
        </is>
      </c>
      <c r="G385" t="inlineStr">
        <is>
          <t>ARVIDSJAUR</t>
        </is>
      </c>
      <c r="H385" t="inlineStr">
        <is>
          <t>Allmännings- och besparingsskogar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26841-2024</t>
        </is>
      </c>
      <c r="B386" t="inlineStr">
        <is>
          <t>avverkningsanmälan</t>
        </is>
      </c>
      <c r="C386" t="inlineStr">
        <is>
          <t>Föryngringsavverkning</t>
        </is>
      </c>
      <c r="D386" s="1" t="n">
        <v>45470</v>
      </c>
      <c r="E386" s="1" t="n">
        <v>46228</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26835-2024</t>
        </is>
      </c>
      <c r="B387" t="inlineStr">
        <is>
          <t>avverkningsanmälan</t>
        </is>
      </c>
      <c r="C387" t="inlineStr">
        <is>
          <t>Föryngringsavverkning</t>
        </is>
      </c>
      <c r="D387" s="1" t="n">
        <v>45470</v>
      </c>
      <c r="E387" s="1" t="n">
        <v>46228</v>
      </c>
      <c r="F387" t="inlineStr">
        <is>
          <t>NORRBOTTENS LÄN</t>
        </is>
      </c>
      <c r="G387" t="inlineStr">
        <is>
          <t>ARVIDSJAUR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2908-2024</t>
        </is>
      </c>
      <c r="B388" t="inlineStr">
        <is>
          <t>avverkningsanmälan</t>
        </is>
      </c>
      <c r="C388" t="inlineStr">
        <is>
          <t>Föryngringsavverkning</t>
        </is>
      </c>
      <c r="D388" s="1" t="n">
        <v>45315</v>
      </c>
      <c r="E388" s="1" t="n">
        <v>46228</v>
      </c>
      <c r="F388" t="inlineStr">
        <is>
          <t>NORRBOTTENS LÄN</t>
        </is>
      </c>
      <c r="G388" t="inlineStr">
        <is>
          <t>ARVIDSJAUR</t>
        </is>
      </c>
      <c r="H388" t="inlineStr">
        <is>
          <t>Allmännings- och besparingsskogar</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33134-2023</t>
        </is>
      </c>
      <c r="B389" t="inlineStr">
        <is>
          <t>avverkningsanmälan</t>
        </is>
      </c>
      <c r="C389" t="inlineStr">
        <is>
          <t>Föryngringsavverkning</t>
        </is>
      </c>
      <c r="D389" s="1" t="n">
        <v>45114</v>
      </c>
      <c r="E389" s="1" t="n">
        <v>46228</v>
      </c>
      <c r="F389" t="inlineStr">
        <is>
          <t>NORRBOTTENS LÄN</t>
        </is>
      </c>
      <c r="G389" t="inlineStr">
        <is>
          <t>ARVIDSJAUR</t>
        </is>
      </c>
      <c r="I389" t="n">
        <v>16.3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40937-2023</t>
        </is>
      </c>
      <c r="B390" t="inlineStr">
        <is>
          <t>avverkningsanmälan</t>
        </is>
      </c>
      <c r="C390" t="inlineStr">
        <is>
          <t>Föryngringsavverkning</t>
        </is>
      </c>
      <c r="D390" s="1" t="n">
        <v>45173</v>
      </c>
      <c r="E390" s="1" t="n">
        <v>46228</v>
      </c>
      <c r="F390" t="inlineStr">
        <is>
          <t>NORRBOTTENS LÄN</t>
        </is>
      </c>
      <c r="G390" t="inlineStr">
        <is>
          <t>ARVIDSJAUR</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39845-2023</t>
        </is>
      </c>
      <c r="B391" t="inlineStr">
        <is>
          <t>avverkningsanmälan</t>
        </is>
      </c>
      <c r="C391" t="inlineStr">
        <is>
          <t>Föryngringsavverkning</t>
        </is>
      </c>
      <c r="D391" s="1" t="n">
        <v>45166</v>
      </c>
      <c r="E391" s="1" t="n">
        <v>46228</v>
      </c>
      <c r="F391" t="inlineStr">
        <is>
          <t>NORRBOTTENS LÄN</t>
        </is>
      </c>
      <c r="G391" t="inlineStr">
        <is>
          <t>ARVIDSJAUR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11539-2025</t>
        </is>
      </c>
      <c r="B392" t="inlineStr">
        <is>
          <t>avverkningsanmälan</t>
        </is>
      </c>
      <c r="C392" t="inlineStr">
        <is>
          <t>Föryngringsavverkning</t>
        </is>
      </c>
      <c r="D392" s="1" t="n">
        <v>45726</v>
      </c>
      <c r="E392" s="1" t="n">
        <v>46228</v>
      </c>
      <c r="F392" t="inlineStr">
        <is>
          <t>NORRBOTTENS LÄN</t>
        </is>
      </c>
      <c r="G392" t="inlineStr">
        <is>
          <t>ARVIDSJAUR</t>
        </is>
      </c>
      <c r="H392" t="inlineStr">
        <is>
          <t>Allmännings- och besparingsskogar</t>
        </is>
      </c>
      <c r="I392" t="n">
        <v>14.3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11620-2025</t>
        </is>
      </c>
      <c r="B393" t="inlineStr">
        <is>
          <t>avverkningsanmälan</t>
        </is>
      </c>
      <c r="C393" t="inlineStr">
        <is>
          <t>Föryngringsavverkning</t>
        </is>
      </c>
      <c r="D393" s="1" t="n">
        <v>45726</v>
      </c>
      <c r="E393" s="1" t="n">
        <v>46228</v>
      </c>
      <c r="F393" t="inlineStr">
        <is>
          <t>NORRBOTTENS LÄN</t>
        </is>
      </c>
      <c r="G393" t="inlineStr">
        <is>
          <t>ARVIDSJAUR</t>
        </is>
      </c>
      <c r="H393" t="inlineStr">
        <is>
          <t>Allmännings- och besparingsskogar</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23592-2024</t>
        </is>
      </c>
      <c r="B394" t="inlineStr">
        <is>
          <t>avverkningsanmälan</t>
        </is>
      </c>
      <c r="C394" t="inlineStr">
        <is>
          <t>Föryngringsavverkning</t>
        </is>
      </c>
      <c r="D394" s="1" t="n">
        <v>45454</v>
      </c>
      <c r="E394" s="1" t="n">
        <v>46228</v>
      </c>
      <c r="F394" t="inlineStr">
        <is>
          <t>NORRBOTTENS LÄN</t>
        </is>
      </c>
      <c r="G394" t="inlineStr">
        <is>
          <t>ARVIDSJAUR</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36400-2022</t>
        </is>
      </c>
      <c r="B395" t="inlineStr">
        <is>
          <t>avverkningsanmälan</t>
        </is>
      </c>
      <c r="C395" t="inlineStr">
        <is>
          <t>Föryngringsavverkning</t>
        </is>
      </c>
      <c r="D395" s="1" t="n">
        <v>44804</v>
      </c>
      <c r="E395" s="1" t="n">
        <v>46228</v>
      </c>
      <c r="F395" t="inlineStr">
        <is>
          <t>NORRBOTTENS LÄN</t>
        </is>
      </c>
      <c r="G395" t="inlineStr">
        <is>
          <t>ARVIDSJAUR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24506-2025</t>
        </is>
      </c>
      <c r="B396" t="inlineStr">
        <is>
          <t>avverkningsanmälan</t>
        </is>
      </c>
      <c r="C396" t="inlineStr">
        <is>
          <t>Föryngringsavverkning</t>
        </is>
      </c>
      <c r="D396" s="1" t="n">
        <v>45798</v>
      </c>
      <c r="E396" s="1" t="n">
        <v>46228</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2773-2025</t>
        </is>
      </c>
      <c r="B397" t="inlineStr">
        <is>
          <t>avverkningsanmälan</t>
        </is>
      </c>
      <c r="C397" t="inlineStr">
        <is>
          <t>Föryngringsavverkning</t>
        </is>
      </c>
      <c r="D397" s="1" t="n">
        <v>45677</v>
      </c>
      <c r="E397" s="1" t="n">
        <v>46228</v>
      </c>
      <c r="F397" t="inlineStr">
        <is>
          <t>NORRBOTTENS LÄN</t>
        </is>
      </c>
      <c r="G397" t="inlineStr">
        <is>
          <t>ARVIDSJAUR</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25395-2022</t>
        </is>
      </c>
      <c r="B398" t="inlineStr">
        <is>
          <t>avverkningsanmälan</t>
        </is>
      </c>
      <c r="C398" t="inlineStr">
        <is>
          <t>Föryngringsavverkning</t>
        </is>
      </c>
      <c r="D398" s="1" t="n">
        <v>44732</v>
      </c>
      <c r="E398" s="1" t="n">
        <v>46228</v>
      </c>
      <c r="F398" t="inlineStr">
        <is>
          <t>NORRBOTTENS LÄN</t>
        </is>
      </c>
      <c r="G398" t="inlineStr">
        <is>
          <t>ARVIDSJAUR</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46181-2021</t>
        </is>
      </c>
      <c r="B399" t="inlineStr">
        <is>
          <t>avverkningsanmälan</t>
        </is>
      </c>
      <c r="C399" t="inlineStr">
        <is>
          <t>Föryngringsavverkning</t>
        </is>
      </c>
      <c r="D399" s="1" t="n">
        <v>44441</v>
      </c>
      <c r="E399" s="1" t="n">
        <v>46228</v>
      </c>
      <c r="F399" t="inlineStr">
        <is>
          <t>NORRBOTTENS LÄN</t>
        </is>
      </c>
      <c r="G399" t="inlineStr">
        <is>
          <t>ARVIDSJAUR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26218-2025</t>
        </is>
      </c>
      <c r="B400" t="inlineStr">
        <is>
          <t>avverkningsanmälan</t>
        </is>
      </c>
      <c r="C400" t="inlineStr">
        <is>
          <t>Föryngringsavverkning</t>
        </is>
      </c>
      <c r="D400" s="1" t="n">
        <v>45805</v>
      </c>
      <c r="E400" s="1" t="n">
        <v>46228</v>
      </c>
      <c r="F400" t="inlineStr">
        <is>
          <t>NORRBOTTENS LÄN</t>
        </is>
      </c>
      <c r="G400" t="inlineStr">
        <is>
          <t>ARVIDSJAUR</t>
        </is>
      </c>
      <c r="H400" t="inlineStr">
        <is>
          <t>Sveaskog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20403-2022</t>
        </is>
      </c>
      <c r="B401" t="inlineStr">
        <is>
          <t>avverkningsanmälan</t>
        </is>
      </c>
      <c r="C401" t="inlineStr">
        <is>
          <t>Föryngringsavverkning</t>
        </is>
      </c>
      <c r="D401" s="1" t="n">
        <v>44699</v>
      </c>
      <c r="E401" s="1" t="n">
        <v>46228</v>
      </c>
      <c r="F401" t="inlineStr">
        <is>
          <t>NORRBOTTENS LÄN</t>
        </is>
      </c>
      <c r="G401" t="inlineStr">
        <is>
          <t>ARVIDSJAUR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36417-2022</t>
        </is>
      </c>
      <c r="B402" t="inlineStr">
        <is>
          <t>avverkningsanmälan</t>
        </is>
      </c>
      <c r="C402" t="inlineStr">
        <is>
          <t>Föryngringsavverkning</t>
        </is>
      </c>
      <c r="D402" s="1" t="n">
        <v>44804</v>
      </c>
      <c r="E402" s="1" t="n">
        <v>46228</v>
      </c>
      <c r="F402" t="inlineStr">
        <is>
          <t>NORRBOTTENS LÄN</t>
        </is>
      </c>
      <c r="G402" t="inlineStr">
        <is>
          <t>ARVIDSJAUR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26217-2025</t>
        </is>
      </c>
      <c r="B403" t="inlineStr">
        <is>
          <t>avverkningsanmälan</t>
        </is>
      </c>
      <c r="C403" t="inlineStr">
        <is>
          <t>Föryngringsavverkning</t>
        </is>
      </c>
      <c r="D403" s="1" t="n">
        <v>45805</v>
      </c>
      <c r="E403" s="1" t="n">
        <v>46228</v>
      </c>
      <c r="F403" t="inlineStr">
        <is>
          <t>NORRBOTTENS LÄN</t>
        </is>
      </c>
      <c r="G403" t="inlineStr">
        <is>
          <t>ARVIDSJAUR</t>
        </is>
      </c>
      <c r="H403" t="inlineStr">
        <is>
          <t>Sveaskog</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48363-2024</t>
        </is>
      </c>
      <c r="B404" t="inlineStr">
        <is>
          <t>avverkningsanmälan</t>
        </is>
      </c>
      <c r="C404" t="inlineStr">
        <is>
          <t>Föryngringsavverkning</t>
        </is>
      </c>
      <c r="D404" s="1" t="n">
        <v>45590</v>
      </c>
      <c r="E404" s="1" t="n">
        <v>46228</v>
      </c>
      <c r="F404" t="inlineStr">
        <is>
          <t>NORRBOTTENS LÄN</t>
        </is>
      </c>
      <c r="G404" t="inlineStr">
        <is>
          <t>ARVIDSJAUR</t>
        </is>
      </c>
      <c r="H404" t="inlineStr">
        <is>
          <t>Sveaskog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26211-2025</t>
        </is>
      </c>
      <c r="B405" t="inlineStr">
        <is>
          <t>avverkningsanmälan</t>
        </is>
      </c>
      <c r="C405" t="inlineStr">
        <is>
          <t>Föryngringsavverkning</t>
        </is>
      </c>
      <c r="D405" s="1" t="n">
        <v>45805</v>
      </c>
      <c r="E405" s="1" t="n">
        <v>46228</v>
      </c>
      <c r="F405" t="inlineStr">
        <is>
          <t>NORRBOTTENS LÄN</t>
        </is>
      </c>
      <c r="G405" t="inlineStr">
        <is>
          <t>ARVIDSJAUR</t>
        </is>
      </c>
      <c r="H405" t="inlineStr">
        <is>
          <t>Sveaskog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26213-2025</t>
        </is>
      </c>
      <c r="B406" t="inlineStr">
        <is>
          <t>avverkningsanmälan</t>
        </is>
      </c>
      <c r="C406" t="inlineStr">
        <is>
          <t>Föryngringsavverkning</t>
        </is>
      </c>
      <c r="D406" s="1" t="n">
        <v>45805</v>
      </c>
      <c r="E406" s="1" t="n">
        <v>46228</v>
      </c>
      <c r="F406" t="inlineStr">
        <is>
          <t>NORRBOTTENS LÄN</t>
        </is>
      </c>
      <c r="G406" t="inlineStr">
        <is>
          <t>ARVIDSJAUR</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26214-2025</t>
        </is>
      </c>
      <c r="B407" t="inlineStr">
        <is>
          <t>avverkningsanmälan</t>
        </is>
      </c>
      <c r="C407" t="inlineStr">
        <is>
          <t>Föryngringsavverkning</t>
        </is>
      </c>
      <c r="D407" s="1" t="n">
        <v>45805</v>
      </c>
      <c r="E407" s="1" t="n">
        <v>46228</v>
      </c>
      <c r="F407" t="inlineStr">
        <is>
          <t>NORRBOTTENS LÄN</t>
        </is>
      </c>
      <c r="G407" t="inlineStr">
        <is>
          <t>ARVIDSJAUR</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50303-2022</t>
        </is>
      </c>
      <c r="B408" t="inlineStr">
        <is>
          <t>avverkningsanmälan</t>
        </is>
      </c>
      <c r="C408" t="inlineStr">
        <is>
          <t>Föryngringsavverkning</t>
        </is>
      </c>
      <c r="D408" s="1" t="n">
        <v>44865</v>
      </c>
      <c r="E408" s="1" t="n">
        <v>46228</v>
      </c>
      <c r="F408" t="inlineStr">
        <is>
          <t>NORRBOTTENS LÄN</t>
        </is>
      </c>
      <c r="G408" t="inlineStr">
        <is>
          <t>ARVIDSJAUR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60888-2021</t>
        </is>
      </c>
      <c r="B409" t="inlineStr">
        <is>
          <t>avverkningsanmälan</t>
        </is>
      </c>
      <c r="C409" t="inlineStr">
        <is>
          <t>Avverkning för annat ändamål</t>
        </is>
      </c>
      <c r="D409" s="1" t="n">
        <v>44497</v>
      </c>
      <c r="E409" s="1" t="n">
        <v>46228</v>
      </c>
      <c r="F409" t="inlineStr">
        <is>
          <t>NORRBOTTENS LÄN</t>
        </is>
      </c>
      <c r="G409" t="inlineStr">
        <is>
          <t>ARVIDSJAUR</t>
        </is>
      </c>
      <c r="H409" t="inlineStr">
        <is>
          <t>Sveaskog</t>
        </is>
      </c>
      <c r="I409" t="n">
        <v>12.1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4934-2024</t>
        </is>
      </c>
      <c r="B410" t="inlineStr">
        <is>
          <t>avverkningsanmälan</t>
        </is>
      </c>
      <c r="C410" t="inlineStr">
        <is>
          <t>Avverkning för annat ändamål</t>
        </is>
      </c>
      <c r="D410" s="1" t="n">
        <v>45329</v>
      </c>
      <c r="E410" s="1" t="n">
        <v>46228</v>
      </c>
      <c r="F410" t="inlineStr">
        <is>
          <t>NORRBOTTENS LÄN</t>
        </is>
      </c>
      <c r="G410" t="inlineStr">
        <is>
          <t>ARVIDSJAUR</t>
        </is>
      </c>
      <c r="H410" t="inlineStr">
        <is>
          <t>Sveaskog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28353-2025</t>
        </is>
      </c>
      <c r="B411" t="inlineStr">
        <is>
          <t>avverkningsanmälan</t>
        </is>
      </c>
      <c r="C411" t="inlineStr">
        <is>
          <t>Föryngringsavverkning</t>
        </is>
      </c>
      <c r="D411" s="1" t="n">
        <v>45818</v>
      </c>
      <c r="E411" s="1" t="n">
        <v>46228</v>
      </c>
      <c r="F411" t="inlineStr">
        <is>
          <t>NORRBOTTENS LÄN</t>
        </is>
      </c>
      <c r="G411" t="inlineStr">
        <is>
          <t>ARVIDSJAUR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28892-2025</t>
        </is>
      </c>
      <c r="B412" t="inlineStr">
        <is>
          <t>avverkningsanmälan</t>
        </is>
      </c>
      <c r="C412" t="inlineStr">
        <is>
          <t>Föryngringsavverkning</t>
        </is>
      </c>
      <c r="D412" s="1" t="n">
        <v>45820</v>
      </c>
      <c r="E412" s="1" t="n">
        <v>46228</v>
      </c>
      <c r="F412" t="inlineStr">
        <is>
          <t>NORRBOTTENS LÄN</t>
        </is>
      </c>
      <c r="G412" t="inlineStr">
        <is>
          <t>ARVIDSJAUR</t>
        </is>
      </c>
      <c r="H412" t="inlineStr">
        <is>
          <t>Sveaskog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29516-2025</t>
        </is>
      </c>
      <c r="B413" t="inlineStr">
        <is>
          <t>avverkningsanmälan</t>
        </is>
      </c>
      <c r="C413" t="inlineStr">
        <is>
          <t>Föryngringsavverkning</t>
        </is>
      </c>
      <c r="D413" s="1" t="n">
        <v>45825</v>
      </c>
      <c r="E413" s="1" t="n">
        <v>46228</v>
      </c>
      <c r="F413" t="inlineStr">
        <is>
          <t>NORRBOTTENS LÄN</t>
        </is>
      </c>
      <c r="G413" t="inlineStr">
        <is>
          <t>ARVIDSJAUR</t>
        </is>
      </c>
      <c r="H413" t="inlineStr">
        <is>
          <t>Sveaskog</t>
        </is>
      </c>
      <c r="I413" t="n">
        <v>17.1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29504-2025</t>
        </is>
      </c>
      <c r="B414" t="inlineStr">
        <is>
          <t>avverkningsanmälan</t>
        </is>
      </c>
      <c r="C414" t="inlineStr">
        <is>
          <t>Avverkning för annat ändamål</t>
        </is>
      </c>
      <c r="D414" s="1" t="n">
        <v>45825</v>
      </c>
      <c r="E414" s="1" t="n">
        <v>46228</v>
      </c>
      <c r="F414" t="inlineStr">
        <is>
          <t>NORRBOTTENS LÄN</t>
        </is>
      </c>
      <c r="G414" t="inlineStr">
        <is>
          <t>ARVIDSJAUR</t>
        </is>
      </c>
      <c r="H414" t="inlineStr">
        <is>
          <t>Sveaskog</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30383-2025</t>
        </is>
      </c>
      <c r="B415" t="inlineStr">
        <is>
          <t>avverkningsanmälan</t>
        </is>
      </c>
      <c r="C415" t="inlineStr">
        <is>
          <t>Föryngringsavverkning</t>
        </is>
      </c>
      <c r="D415" s="1" t="n">
        <v>45827</v>
      </c>
      <c r="E415" s="1" t="n">
        <v>46228</v>
      </c>
      <c r="F415" t="inlineStr">
        <is>
          <t>NORRBOTTENS LÄN</t>
        </is>
      </c>
      <c r="G415" t="inlineStr">
        <is>
          <t>ARVIDSJAUR</t>
        </is>
      </c>
      <c r="I415" t="n">
        <v>20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33222-2025</t>
        </is>
      </c>
      <c r="B416" t="inlineStr">
        <is>
          <t>avverkningsanmälan</t>
        </is>
      </c>
      <c r="C416" t="inlineStr">
        <is>
          <t>Föryngringsavverkning</t>
        </is>
      </c>
      <c r="D416" s="1" t="n">
        <v>45840</v>
      </c>
      <c r="E416" s="1" t="n">
        <v>46228</v>
      </c>
      <c r="F416" t="inlineStr">
        <is>
          <t>NORRBOTTENS LÄN</t>
        </is>
      </c>
      <c r="G416" t="inlineStr">
        <is>
          <t>ARVIDSJAUR</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33302-2025</t>
        </is>
      </c>
      <c r="B417" t="inlineStr">
        <is>
          <t>avverkningsanmälan</t>
        </is>
      </c>
      <c r="C417" t="inlineStr">
        <is>
          <t>Föryngringsavverkning</t>
        </is>
      </c>
      <c r="D417" s="1" t="n">
        <v>45841</v>
      </c>
      <c r="E417" s="1" t="n">
        <v>46228</v>
      </c>
      <c r="F417" t="inlineStr">
        <is>
          <t>NORRBOTTENS LÄN</t>
        </is>
      </c>
      <c r="G417" t="inlineStr">
        <is>
          <t>ARVIDSJAUR</t>
        </is>
      </c>
      <c r="H417" t="inlineStr">
        <is>
          <t>Sveaskog</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35670-2025</t>
        </is>
      </c>
      <c r="B418" t="inlineStr">
        <is>
          <t>avverkningsanmälan</t>
        </is>
      </c>
      <c r="C418" t="inlineStr">
        <is>
          <t>Föryngringsavverkning</t>
        </is>
      </c>
      <c r="D418" s="1" t="n">
        <v>45859</v>
      </c>
      <c r="E418" s="1" t="n">
        <v>46228</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48048-2022</t>
        </is>
      </c>
      <c r="B419" t="inlineStr">
        <is>
          <t>avverkningsanmälan</t>
        </is>
      </c>
      <c r="C419" t="inlineStr">
        <is>
          <t>Avverkning för annat ändamål</t>
        </is>
      </c>
      <c r="D419" s="1" t="n">
        <v>44855</v>
      </c>
      <c r="E419" s="1" t="n">
        <v>46228</v>
      </c>
      <c r="F419" t="inlineStr">
        <is>
          <t>NORRBOTTENS LÄN</t>
        </is>
      </c>
      <c r="G419" t="inlineStr">
        <is>
          <t>ARVIDSJAUR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36489-2025</t>
        </is>
      </c>
      <c r="B420" t="inlineStr">
        <is>
          <t>avverkningsanmälan</t>
        </is>
      </c>
      <c r="C420" t="inlineStr">
        <is>
          <t>Avverkning för annat ändamål</t>
        </is>
      </c>
      <c r="D420" s="1" t="n">
        <v>45869</v>
      </c>
      <c r="E420" s="1" t="n">
        <v>46228</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46228</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46228</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46228</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46228</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46228</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46228</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46228</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46228</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46228</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46228</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46228</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46228</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46228</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46228</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46228</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46228</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46228</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46228</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46228</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46228</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46228</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46228</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46228</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46228</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46228</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46228</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46228</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46228</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46228</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46228</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1359-2026</t>
        </is>
      </c>
      <c r="B451" t="inlineStr">
        <is>
          <t>samrådsanmälan</t>
        </is>
      </c>
      <c r="C451" t="inlineStr">
        <is>
          <t>Skogsgödsling</t>
        </is>
      </c>
      <c r="D451" s="1" t="n">
        <v>46149</v>
      </c>
      <c r="E451" s="1" t="n">
        <v>46228</v>
      </c>
      <c r="F451" t="inlineStr">
        <is>
          <t>NORRBOTTENS LÄN</t>
        </is>
      </c>
      <c r="G451" t="inlineStr">
        <is>
          <t>ARVIDSJAUR</t>
        </is>
      </c>
      <c r="I451" t="n">
        <v>65.59999999999999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1333-2026</t>
        </is>
      </c>
      <c r="B452" t="inlineStr">
        <is>
          <t>samrådsanmälan</t>
        </is>
      </c>
      <c r="C452" t="inlineStr">
        <is>
          <t>Skogsgödsling</t>
        </is>
      </c>
      <c r="D452" s="1" t="n">
        <v>46148</v>
      </c>
      <c r="E452" s="1" t="n">
        <v>46228</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1782-2026</t>
        </is>
      </c>
      <c r="B453" t="inlineStr">
        <is>
          <t>samrådsanmälan</t>
        </is>
      </c>
      <c r="C453" t="inlineStr">
        <is>
          <t>Skogsgödsling</t>
        </is>
      </c>
      <c r="D453" s="1" t="n">
        <v>46167</v>
      </c>
      <c r="E453" s="1" t="n">
        <v>46228</v>
      </c>
      <c r="F453" t="inlineStr">
        <is>
          <t>NORRBOTTENS LÄN</t>
        </is>
      </c>
      <c r="G453" t="inlineStr">
        <is>
          <t>ARVIDSJAUR</t>
        </is>
      </c>
      <c r="I453" t="n">
        <v>25.2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1571-2026</t>
        </is>
      </c>
      <c r="B454" t="inlineStr">
        <is>
          <t>samrådsanmälan</t>
        </is>
      </c>
      <c r="C454" t="inlineStr">
        <is>
          <t>Skogsgödsling</t>
        </is>
      </c>
      <c r="D454" s="1" t="n">
        <v>46168</v>
      </c>
      <c r="E454" s="1" t="n">
        <v>46228</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1563-2026</t>
        </is>
      </c>
      <c r="B455" t="inlineStr">
        <is>
          <t>samrådsanmälan</t>
        </is>
      </c>
      <c r="C455" t="inlineStr">
        <is>
          <t>Skogsgödsling</t>
        </is>
      </c>
      <c r="D455" s="1" t="n">
        <v>46168</v>
      </c>
      <c r="E455" s="1" t="n">
        <v>46228</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1576-2026</t>
        </is>
      </c>
      <c r="B456" t="inlineStr">
        <is>
          <t>samrådsanmälan</t>
        </is>
      </c>
      <c r="C456" t="inlineStr">
        <is>
          <t>Skogsgödsling</t>
        </is>
      </c>
      <c r="D456" s="1" t="n">
        <v>46168</v>
      </c>
      <c r="E456" s="1" t="n">
        <v>46228</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1569-2026</t>
        </is>
      </c>
      <c r="B457" t="inlineStr">
        <is>
          <t>samrådsanmälan</t>
        </is>
      </c>
      <c r="C457" t="inlineStr">
        <is>
          <t>Skogsgödsling</t>
        </is>
      </c>
      <c r="D457" s="1" t="n">
        <v>46168</v>
      </c>
      <c r="E457" s="1" t="n">
        <v>46228</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46228</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2026-07-25T01:48:37Z</dcterms:created>
  <dcterms:modified xmlns:dcterms="http://purl.org/dc/terms/" xmlns:xsi="http://www.w3.org/2001/XMLSchema-instance" xsi:type="dcterms:W3CDTF">2026-07-25T01:48:37Z</dcterms:modified>
</cp:coreProperties>
</file>