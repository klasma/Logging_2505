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45743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45743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45743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45743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45743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45743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45743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45743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45743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45743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45743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45743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45743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45743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45743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45743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45743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45743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45743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45743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45743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45743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45743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45743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45743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45743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45743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45743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45743</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HYPERLINK("https://klasma.github.io/Logging_2505/artfynd/A 11534-2025 artfynd.xlsx", "A 11534-2025")</f>
        <v/>
      </c>
      <c r="T30">
        <f>HYPERLINK("https://klasma.github.io/Logging_2505/kartor/A 11534-2025 karta.png", "A 11534-2025")</f>
        <v/>
      </c>
      <c r="V30">
        <f>HYPERLINK("https://klasma.github.io/Logging_2505/klagomål/A 11534-2025 FSC-klagomål.docx", "A 11534-2025")</f>
        <v/>
      </c>
      <c r="W30">
        <f>HYPERLINK("https://klasma.github.io/Logging_2505/klagomålsmail/A 11534-2025 FSC-klagomål mail.docx", "A 11534-2025")</f>
        <v/>
      </c>
      <c r="X30">
        <f>HYPERLINK("https://klasma.github.io/Logging_2505/tillsyn/A 11534-2025 tillsynsbegäran.docx", "A 11534-2025")</f>
        <v/>
      </c>
      <c r="Y30">
        <f>HYPERLINK("https://klasma.github.io/Logging_2505/tillsynsmail/A 11534-2025 tillsynsbegäran mail.docx", "A 11534-2025")</f>
        <v/>
      </c>
    </row>
    <row r="31" ht="15" customHeight="1">
      <c r="A31" t="inlineStr">
        <is>
          <t>A 31593-2020</t>
        </is>
      </c>
      <c r="B31" s="1" t="n">
        <v>44013</v>
      </c>
      <c r="C31" s="1" t="n">
        <v>45743</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45743</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45743</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45743</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45743</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HYPERLINK("https://klasma.github.io/Logging_2505/artfynd/A 11630-2025 artfynd.xlsx", "A 11630-2025")</f>
        <v/>
      </c>
      <c r="T35">
        <f>HYPERLINK("https://klasma.github.io/Logging_2505/kartor/A 11630-2025 karta.png", "A 11630-2025")</f>
        <v/>
      </c>
      <c r="V35">
        <f>HYPERLINK("https://klasma.github.io/Logging_2505/klagomål/A 11630-2025 FSC-klagomål.docx", "A 11630-2025")</f>
        <v/>
      </c>
      <c r="W35">
        <f>HYPERLINK("https://klasma.github.io/Logging_2505/klagomålsmail/A 11630-2025 FSC-klagomål mail.docx", "A 11630-2025")</f>
        <v/>
      </c>
      <c r="X35">
        <f>HYPERLINK("https://klasma.github.io/Logging_2505/tillsyn/A 11630-2025 tillsynsbegäran.docx", "A 11630-2025")</f>
        <v/>
      </c>
      <c r="Y35">
        <f>HYPERLINK("https://klasma.github.io/Logging_2505/tillsynsmail/A 11630-2025 tillsynsbegäran mail.docx", "A 11630-2025")</f>
        <v/>
      </c>
    </row>
    <row r="36" ht="15" customHeight="1">
      <c r="A36" t="inlineStr">
        <is>
          <t>A 33453-2022</t>
        </is>
      </c>
      <c r="B36" s="1" t="n">
        <v>44788</v>
      </c>
      <c r="C36" s="1" t="n">
        <v>45743</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45743</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45743</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45743</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45743</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45743</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HYPERLINK("https://klasma.github.io/Logging_2505/artfynd/A 11564-2025 artfynd.xlsx", "A 11564-2025")</f>
        <v/>
      </c>
      <c r="T41">
        <f>HYPERLINK("https://klasma.github.io/Logging_2505/kartor/A 11564-2025 karta.png", "A 11564-2025")</f>
        <v/>
      </c>
      <c r="V41">
        <f>HYPERLINK("https://klasma.github.io/Logging_2505/klagomål/A 11564-2025 FSC-klagomål.docx", "A 11564-2025")</f>
        <v/>
      </c>
      <c r="W41">
        <f>HYPERLINK("https://klasma.github.io/Logging_2505/klagomålsmail/A 11564-2025 FSC-klagomål mail.docx", "A 11564-2025")</f>
        <v/>
      </c>
      <c r="X41">
        <f>HYPERLINK("https://klasma.github.io/Logging_2505/tillsyn/A 11564-2025 tillsynsbegäran.docx", "A 11564-2025")</f>
        <v/>
      </c>
      <c r="Y41">
        <f>HYPERLINK("https://klasma.github.io/Logging_2505/tillsynsmail/A 11564-2025 tillsynsbegäran mail.docx", "A 11564-2025")</f>
        <v/>
      </c>
    </row>
    <row r="42" ht="15" customHeight="1">
      <c r="A42" t="inlineStr">
        <is>
          <t>A 43753-2019</t>
        </is>
      </c>
      <c r="B42" s="1" t="n">
        <v>43707</v>
      </c>
      <c r="C42" s="1" t="n">
        <v>45743</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45743</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45743</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45743</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45743</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45743</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45743</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45743</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HYPERLINK("https://klasma.github.io/Logging_2505/artfynd/A 11634-2025 artfynd.xlsx", "A 11634-2025")</f>
        <v/>
      </c>
      <c r="T49">
        <f>HYPERLINK("https://klasma.github.io/Logging_2505/kartor/A 11634-2025 karta.png", "A 11634-2025")</f>
        <v/>
      </c>
      <c r="V49">
        <f>HYPERLINK("https://klasma.github.io/Logging_2505/klagomål/A 11634-2025 FSC-klagomål.docx", "A 11634-2025")</f>
        <v/>
      </c>
      <c r="W49">
        <f>HYPERLINK("https://klasma.github.io/Logging_2505/klagomålsmail/A 11634-2025 FSC-klagomål mail.docx", "A 11634-2025")</f>
        <v/>
      </c>
      <c r="X49">
        <f>HYPERLINK("https://klasma.github.io/Logging_2505/tillsyn/A 11634-2025 tillsynsbegäran.docx", "A 11634-2025")</f>
        <v/>
      </c>
      <c r="Y49">
        <f>HYPERLINK("https://klasma.github.io/Logging_2505/tillsynsmail/A 11634-2025 tillsynsbegäran mail.docx", "A 11634-2025")</f>
        <v/>
      </c>
    </row>
    <row r="50" ht="15" customHeight="1">
      <c r="A50" t="inlineStr">
        <is>
          <t>A 18136-2019</t>
        </is>
      </c>
      <c r="B50" s="1" t="n">
        <v>43556</v>
      </c>
      <c r="C50" s="1" t="n">
        <v>45743</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45743</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45743</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45743</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45743</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45743</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45743</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45743</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45743</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45743</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45743</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45743</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45743</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45743</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45743</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45743</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45743</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45743</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45743</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45743</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45743</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45743</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45743</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45743</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45743</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45743</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45743</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45743</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45743</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45743</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45743</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45743</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45743</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45743</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45743</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45743</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45743</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45743</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45743</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45743</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45743</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45743</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45743</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45743</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45743</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45743</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45743</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45743</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45743</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45743</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45743</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45743</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45743</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45743</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45743</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45743</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45743</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45743</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45743</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45743</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45743</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45743</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45743</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45743</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45743</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45743</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45743</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45743</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45743</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45743</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45743</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45743</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45743</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45743</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45743</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45743</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45743</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45743</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45743</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45743</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45743</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45743</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45743</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45743</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45743</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45743</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45743</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45743</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45743</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45743</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45743</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45743</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45743</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45743</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45743</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45743</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45743</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45743</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45743</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45743</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45743</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45743</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45743</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45743</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45743</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45743</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45743</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45743</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45743</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45743</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45743</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45743</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45743</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45743</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45743</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45743</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45743</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45743</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45743</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45743</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45743</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45743</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45743</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45743</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45743</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45743</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45743</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45743</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45743</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45743</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45743</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45743</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45743</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45743</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45743</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45743</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45743</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45743</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45743</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45743</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45743</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45743</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45743</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45743</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45743</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45743</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45743</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45743</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45743</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45743</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45743</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45743</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45743</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45743</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45743</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45743</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45743</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45743</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45743</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45743</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45743</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45743</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45743</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45743</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45743</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45743</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45743</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45743</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45743</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45743</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45743</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45743</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45743</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45743</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45743</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45743</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45743</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45743</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45743</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45743</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45743</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45743</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45743</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45743</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45743</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45743</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45743</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45743</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45743</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45743</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45743</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45743</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45743</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45743</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45743</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45743</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45743</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45743</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45743</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45743</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45743</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45743</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45743</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45743</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45743</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45743</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45743</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45743</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45743</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45743</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45743</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45743</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45743</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45743</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45743</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45743</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45743</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45743</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45743</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45743</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45743</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45743</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45743</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45743</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45743</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45743</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45743</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45743</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45743</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45743</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45743</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45743</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45743</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45743</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45743</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45743</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45743</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45743</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45743</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45743</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45743</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45743</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45743</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45743</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45743</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45743</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45743</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45743</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45743</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45743</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45743</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45743</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45743</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45743</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45743</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45743</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45743</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45743</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45743</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45743</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45743</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45743</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45743</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45743</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45743</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45743</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45743</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45743</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45743</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45743</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45743</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45743</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45743</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45743</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45743</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45743</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45743</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45743</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45743</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45743</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45743</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45743</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45743</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45743</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45743</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45743</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45743</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45743</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45743</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45743</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45743</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45743</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45743</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45743</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45743</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45743</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45743</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45743</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45743</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45743</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45743</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45743</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45743</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45743</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45743</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45743</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45743</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45743</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45743</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45743</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45743</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45743</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45743</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45743</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45743</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45743</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45743</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45743</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45743</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45743</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45743</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45743</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45743</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45743</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45743</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45743</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45743</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45743</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45743</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45743</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45743</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45743</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45743</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45743</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45743</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45743</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45743</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45743</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45743</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45743</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45743</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45743</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45743</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45743</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45743</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45743</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45743</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45743</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45743</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45743</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45743</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45743</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45743</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45743</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45743</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45743</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45743</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45743</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45743</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45743</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45743</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45743</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45743</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45743</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45743</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45743</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45743</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45743</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45743</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45743</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45743</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45743</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45743</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45743</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45743</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45743</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45743</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45743</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45743</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45743</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45743</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45743</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45743</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45743</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45743</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45743</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45743</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45743</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45743</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45743</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45743</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45743</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45743</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45743</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45743</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45743</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45743</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45743</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45743</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45743</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45743</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45743</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45743</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45743</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45743</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45743</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45743</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45743</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45743</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45743</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45743</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45743</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45743</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45743</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45743</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45743</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45743</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45743</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45743</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45743</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45743</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45743</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45743</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45743</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45743</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45743</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45743</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45743</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45743</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45743</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45743</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45743</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45743</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45743</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45743</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45743</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45743</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45743</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45743</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45743</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45743</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45743</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45743</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45743</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45743</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45743</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45743</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45743</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45743</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45743</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45743</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45743</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45743</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45743</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45743</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45743</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45743</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45743</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45743</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45743</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45743</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45743</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45743</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45743</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45743</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45743</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45743</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45743</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45743</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45743</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45743</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45743</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45743</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45743</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45743</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45743</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45743</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45743</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45743</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45743</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45743</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45743</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45743</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45743</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45743</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45743</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45743</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45743</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45743</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45743</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45743</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45743</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45743</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45743</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45743</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45743</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45743</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45743</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45743</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45743</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45743</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45743</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45743</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45743</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45743</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45743</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45743</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45743</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45743</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45743</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45743</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45743</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45743</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45743</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45743</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45743</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45743</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45743</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45743</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45743</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45743</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45743</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45743</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45743</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45743</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45743</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45743</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45743</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45743</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45743</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45743</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45743</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45743</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45743</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45743</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45743</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45743</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45743</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45743</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45743</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45743</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45743</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45743</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45743</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45743</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45743</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45743</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45743</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45743</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45743</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45743</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45743</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45743</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45743</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45743</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45743</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45743</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45743</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45743</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45743</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45743</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45743</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45743</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45743</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45743</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45743</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45743</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45743</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45743</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45743</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45743</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45743</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45743</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45743</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45743</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45743</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45743</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45743</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45743</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45743</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45743</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45743</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45743</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45743</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45743</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45743</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45743</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45743</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45743</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45743</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45743</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45743</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45743</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45743</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45743</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45743</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45743</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45743</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45743</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45743</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45743</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45743</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45743</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45743</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45743</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45743</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45743</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45743</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45743</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45743</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45743</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45743</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45743</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45743</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45743</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45743</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45743</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45743</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45743</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45743</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45743</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45743</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45743</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45743</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45743</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45743</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45743</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45743</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45743</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45743</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45743</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45743</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45743</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45743</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45743</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45743</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45743</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45743</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10851-2025</t>
        </is>
      </c>
      <c r="B688" s="1" t="n">
        <v>45722</v>
      </c>
      <c r="C688" s="1" t="n">
        <v>45743</v>
      </c>
      <c r="D688" t="inlineStr">
        <is>
          <t>NORRBOTTENS LÄN</t>
        </is>
      </c>
      <c r="E688" t="inlineStr">
        <is>
          <t>ARVIDSJAUR</t>
        </is>
      </c>
      <c r="G688" t="n">
        <v>2</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45743</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10832-2025</t>
        </is>
      </c>
      <c r="B690" s="1" t="n">
        <v>45722</v>
      </c>
      <c r="C690" s="1" t="n">
        <v>45743</v>
      </c>
      <c r="D690" t="inlineStr">
        <is>
          <t>NORRBOTTENS LÄN</t>
        </is>
      </c>
      <c r="E690" t="inlineStr">
        <is>
          <t>ARVIDSJAUR</t>
        </is>
      </c>
      <c r="G690" t="n">
        <v>1</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45743</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45743</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45743</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11537-2025</t>
        </is>
      </c>
      <c r="B694" s="1" t="n">
        <v>45726</v>
      </c>
      <c r="C694" s="1" t="n">
        <v>45743</v>
      </c>
      <c r="D694" t="inlineStr">
        <is>
          <t>NORRBOTTENS LÄN</t>
        </is>
      </c>
      <c r="E694" t="inlineStr">
        <is>
          <t>ARVIDSJAUR</t>
        </is>
      </c>
      <c r="F694" t="inlineStr">
        <is>
          <t>Allmännings- och besparingsskogar</t>
        </is>
      </c>
      <c r="G694" t="n">
        <v>9.1</v>
      </c>
      <c r="H694" t="n">
        <v>0</v>
      </c>
      <c r="I694" t="n">
        <v>0</v>
      </c>
      <c r="J694" t="n">
        <v>0</v>
      </c>
      <c r="K694" t="n">
        <v>0</v>
      </c>
      <c r="L694" t="n">
        <v>0</v>
      </c>
      <c r="M694" t="n">
        <v>0</v>
      </c>
      <c r="N694" t="n">
        <v>0</v>
      </c>
      <c r="O694" t="n">
        <v>0</v>
      </c>
      <c r="P694" t="n">
        <v>0</v>
      </c>
      <c r="Q694" t="n">
        <v>0</v>
      </c>
      <c r="R694" s="2" t="inlineStr"/>
    </row>
    <row r="695" ht="15" customHeight="1">
      <c r="A695" t="inlineStr">
        <is>
          <t>A 11542-2025</t>
        </is>
      </c>
      <c r="B695" s="1" t="n">
        <v>45726</v>
      </c>
      <c r="C695" s="1" t="n">
        <v>45743</v>
      </c>
      <c r="D695" t="inlineStr">
        <is>
          <t>NORRBOTTENS LÄN</t>
        </is>
      </c>
      <c r="E695" t="inlineStr">
        <is>
          <t>ARVIDSJAUR</t>
        </is>
      </c>
      <c r="F695" t="inlineStr">
        <is>
          <t>Allmännings- och besparingsskogar</t>
        </is>
      </c>
      <c r="G695" t="n">
        <v>14.2</v>
      </c>
      <c r="H695" t="n">
        <v>0</v>
      </c>
      <c r="I695" t="n">
        <v>0</v>
      </c>
      <c r="J695" t="n">
        <v>0</v>
      </c>
      <c r="K695" t="n">
        <v>0</v>
      </c>
      <c r="L695" t="n">
        <v>0</v>
      </c>
      <c r="M695" t="n">
        <v>0</v>
      </c>
      <c r="N695" t="n">
        <v>0</v>
      </c>
      <c r="O695" t="n">
        <v>0</v>
      </c>
      <c r="P695" t="n">
        <v>0</v>
      </c>
      <c r="Q695" t="n">
        <v>0</v>
      </c>
      <c r="R695" s="2" t="inlineStr"/>
    </row>
    <row r="696" ht="15" customHeight="1">
      <c r="A696" t="inlineStr">
        <is>
          <t>A 11582-2025</t>
        </is>
      </c>
      <c r="B696" s="1" t="n">
        <v>45726</v>
      </c>
      <c r="C696" s="1" t="n">
        <v>45743</v>
      </c>
      <c r="D696" t="inlineStr">
        <is>
          <t>NORRBOTTENS LÄN</t>
        </is>
      </c>
      <c r="E696" t="inlineStr">
        <is>
          <t>ARVIDSJAUR</t>
        </is>
      </c>
      <c r="F696" t="inlineStr">
        <is>
          <t>Allmännings- och besparingsskogar</t>
        </is>
      </c>
      <c r="G696" t="n">
        <v>7.1</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45743</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11494-2025</t>
        </is>
      </c>
      <c r="B698" s="1" t="n">
        <v>45726</v>
      </c>
      <c r="C698" s="1" t="n">
        <v>45743</v>
      </c>
      <c r="D698" t="inlineStr">
        <is>
          <t>NORRBOTTENS LÄN</t>
        </is>
      </c>
      <c r="E698" t="inlineStr">
        <is>
          <t>ARVIDSJAUR</t>
        </is>
      </c>
      <c r="F698" t="inlineStr">
        <is>
          <t>Allmännings- och besparingsskogar</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45743</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11591-2025</t>
        </is>
      </c>
      <c r="B700" s="1" t="n">
        <v>45726</v>
      </c>
      <c r="C700" s="1" t="n">
        <v>45743</v>
      </c>
      <c r="D700" t="inlineStr">
        <is>
          <t>NORRBOTTENS LÄN</t>
        </is>
      </c>
      <c r="E700" t="inlineStr">
        <is>
          <t>ARVIDSJAUR</t>
        </is>
      </c>
      <c r="F700" t="inlineStr">
        <is>
          <t>Allmännings- och besparingsskogar</t>
        </is>
      </c>
      <c r="G700" t="n">
        <v>10.9</v>
      </c>
      <c r="H700" t="n">
        <v>0</v>
      </c>
      <c r="I700" t="n">
        <v>0</v>
      </c>
      <c r="J700" t="n">
        <v>0</v>
      </c>
      <c r="K700" t="n">
        <v>0</v>
      </c>
      <c r="L700" t="n">
        <v>0</v>
      </c>
      <c r="M700" t="n">
        <v>0</v>
      </c>
      <c r="N700" t="n">
        <v>0</v>
      </c>
      <c r="O700" t="n">
        <v>0</v>
      </c>
      <c r="P700" t="n">
        <v>0</v>
      </c>
      <c r="Q700" t="n">
        <v>0</v>
      </c>
      <c r="R700" s="2" t="inlineStr"/>
    </row>
    <row r="701" ht="15" customHeight="1">
      <c r="A701" t="inlineStr">
        <is>
          <t>A 11626-2025</t>
        </is>
      </c>
      <c r="B701" s="1" t="n">
        <v>45726</v>
      </c>
      <c r="C701" s="1" t="n">
        <v>45743</v>
      </c>
      <c r="D701" t="inlineStr">
        <is>
          <t>NORRBOTTENS LÄN</t>
        </is>
      </c>
      <c r="E701" t="inlineStr">
        <is>
          <t>ARVIDSJAUR</t>
        </is>
      </c>
      <c r="F701" t="inlineStr">
        <is>
          <t>Allmännings- och besparingsskogar</t>
        </is>
      </c>
      <c r="G701" t="n">
        <v>11.3</v>
      </c>
      <c r="H701" t="n">
        <v>0</v>
      </c>
      <c r="I701" t="n">
        <v>0</v>
      </c>
      <c r="J701" t="n">
        <v>0</v>
      </c>
      <c r="K701" t="n">
        <v>0</v>
      </c>
      <c r="L701" t="n">
        <v>0</v>
      </c>
      <c r="M701" t="n">
        <v>0</v>
      </c>
      <c r="N701" t="n">
        <v>0</v>
      </c>
      <c r="O701" t="n">
        <v>0</v>
      </c>
      <c r="P701" t="n">
        <v>0</v>
      </c>
      <c r="Q701" t="n">
        <v>0</v>
      </c>
      <c r="R701" s="2" t="inlineStr"/>
    </row>
    <row r="702" ht="15" customHeight="1">
      <c r="A702" t="inlineStr">
        <is>
          <t>A 11535-2025</t>
        </is>
      </c>
      <c r="B702" s="1" t="n">
        <v>45726</v>
      </c>
      <c r="C702" s="1" t="n">
        <v>45743</v>
      </c>
      <c r="D702" t="inlineStr">
        <is>
          <t>NORRBOTTENS LÄN</t>
        </is>
      </c>
      <c r="E702" t="inlineStr">
        <is>
          <t>ARVIDSJAUR</t>
        </is>
      </c>
      <c r="F702" t="inlineStr">
        <is>
          <t>Allmännings- och besparingsskogar</t>
        </is>
      </c>
      <c r="G702" t="n">
        <v>10.3</v>
      </c>
      <c r="H702" t="n">
        <v>0</v>
      </c>
      <c r="I702" t="n">
        <v>0</v>
      </c>
      <c r="J702" t="n">
        <v>0</v>
      </c>
      <c r="K702" t="n">
        <v>0</v>
      </c>
      <c r="L702" t="n">
        <v>0</v>
      </c>
      <c r="M702" t="n">
        <v>0</v>
      </c>
      <c r="N702" t="n">
        <v>0</v>
      </c>
      <c r="O702" t="n">
        <v>0</v>
      </c>
      <c r="P702" t="n">
        <v>0</v>
      </c>
      <c r="Q702" t="n">
        <v>0</v>
      </c>
      <c r="R702" s="2" t="inlineStr"/>
    </row>
    <row r="703" ht="15" customHeight="1">
      <c r="A703" t="inlineStr">
        <is>
          <t>A 11539-2025</t>
        </is>
      </c>
      <c r="B703" s="1" t="n">
        <v>45726</v>
      </c>
      <c r="C703" s="1" t="n">
        <v>45743</v>
      </c>
      <c r="D703" t="inlineStr">
        <is>
          <t>NORRBOTTENS LÄN</t>
        </is>
      </c>
      <c r="E703" t="inlineStr">
        <is>
          <t>ARVIDSJAUR</t>
        </is>
      </c>
      <c r="F703" t="inlineStr">
        <is>
          <t>Allmännings- och besparingsskogar</t>
        </is>
      </c>
      <c r="G703" t="n">
        <v>14.3</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45743</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45743</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11492-2025</t>
        </is>
      </c>
      <c r="B706" s="1" t="n">
        <v>45726</v>
      </c>
      <c r="C706" s="1" t="n">
        <v>45743</v>
      </c>
      <c r="D706" t="inlineStr">
        <is>
          <t>NORRBOTTENS LÄN</t>
        </is>
      </c>
      <c r="E706" t="inlineStr">
        <is>
          <t>ARVIDSJAUR</t>
        </is>
      </c>
      <c r="F706" t="inlineStr">
        <is>
          <t>Allmännings- och besparingsskogar</t>
        </is>
      </c>
      <c r="G706" t="n">
        <v>14.2</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45743</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11540-2025</t>
        </is>
      </c>
      <c r="B708" s="1" t="n">
        <v>45726</v>
      </c>
      <c r="C708" s="1" t="n">
        <v>45743</v>
      </c>
      <c r="D708" t="inlineStr">
        <is>
          <t>NORRBOTTENS LÄN</t>
        </is>
      </c>
      <c r="E708" t="inlineStr">
        <is>
          <t>ARVIDSJAUR</t>
        </is>
      </c>
      <c r="F708" t="inlineStr">
        <is>
          <t>Allmännings- och besparingsskogar</t>
        </is>
      </c>
      <c r="G708" t="n">
        <v>4.7</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45743</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11620-2025</t>
        </is>
      </c>
      <c r="B710" s="1" t="n">
        <v>45726</v>
      </c>
      <c r="C710" s="1" t="n">
        <v>45743</v>
      </c>
      <c r="D710" t="inlineStr">
        <is>
          <t>NORRBOTTENS LÄN</t>
        </is>
      </c>
      <c r="E710" t="inlineStr">
        <is>
          <t>ARVIDSJAUR</t>
        </is>
      </c>
      <c r="F710" t="inlineStr">
        <is>
          <t>Allmännings- och besparingsskogar</t>
        </is>
      </c>
      <c r="G710" t="n">
        <v>14.1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45743</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45743</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45743</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45743</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2025-03-27T18:17:51Z</dcterms:created>
  <dcterms:modified xmlns:dcterms="http://purl.org/dc/terms/" xmlns:xsi="http://www.w3.org/2001/XMLSchema-instance" xsi:type="dcterms:W3CDTF">2025-03-27T18:17:51Z</dcterms:modified>
</cp:coreProperties>
</file>