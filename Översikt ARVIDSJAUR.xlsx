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46160</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46160</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46160</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46160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46160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46160</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46160</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46160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46160</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46160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56314-2025</t>
        </is>
      </c>
      <c r="B25" s="1" t="n">
        <v>45974.63034722222</v>
      </c>
      <c r="C25" s="1" t="n">
        <v>46160</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46160</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46160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46160</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1728-2026</t>
        </is>
      </c>
      <c r="B29" s="1" t="n">
        <v>46034</v>
      </c>
      <c r="C29" s="1" t="n">
        <v>46160</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32812-2025</t>
        </is>
      </c>
      <c r="B30" s="1" t="n">
        <v>45839.51643518519</v>
      </c>
      <c r="C30" s="1" t="n">
        <v>46160</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53163-2024</t>
        </is>
      </c>
      <c r="B31" s="1" t="n">
        <v>45611</v>
      </c>
      <c r="C31" s="1" t="n">
        <v>46160</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56185-2025</t>
        </is>
      </c>
      <c r="B32" s="1" t="n">
        <v>45974.41572916666</v>
      </c>
      <c r="C32" s="1" t="n">
        <v>46160</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46160</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11634-2025</t>
        </is>
      </c>
      <c r="B34" s="1" t="n">
        <v>45726</v>
      </c>
      <c r="C34" s="1" t="n">
        <v>46160</v>
      </c>
      <c r="D34" t="inlineStr">
        <is>
          <t>NORRBOTTENS LÄN</t>
        </is>
      </c>
      <c r="E34" t="inlineStr">
        <is>
          <t>ARVIDSJAUR</t>
        </is>
      </c>
      <c r="F34" t="inlineStr">
        <is>
          <t>Allmännings- och besparingsskogar</t>
        </is>
      </c>
      <c r="G34" t="n">
        <v>13.8</v>
      </c>
      <c r="H34" t="n">
        <v>0</v>
      </c>
      <c r="I34" t="n">
        <v>1</v>
      </c>
      <c r="J34" t="n">
        <v>1</v>
      </c>
      <c r="K34" t="n">
        <v>0</v>
      </c>
      <c r="L34" t="n">
        <v>0</v>
      </c>
      <c r="M34" t="n">
        <v>0</v>
      </c>
      <c r="N34" t="n">
        <v>0</v>
      </c>
      <c r="O34" t="n">
        <v>1</v>
      </c>
      <c r="P34" t="n">
        <v>0</v>
      </c>
      <c r="Q34" t="n">
        <v>2</v>
      </c>
      <c r="R34" s="2" t="inlineStr">
        <is>
          <t>Lunglav
Skinnlav</t>
        </is>
      </c>
      <c r="S34">
        <f>HYPERLINK("https://klasma.github.io/Logging_2505/artfynd/A 11634-2025 artfynd.xlsx", "A 11634-2025")</f>
        <v/>
      </c>
      <c r="T34">
        <f>HYPERLINK("https://klasma.github.io/Logging_2505/kartor/A 11634-2025 karta.png", "A 11634-2025")</f>
        <v/>
      </c>
      <c r="V34">
        <f>HYPERLINK("https://klasma.github.io/Logging_2505/klagomål/A 11634-2025 FSC-klagomål.docx", "A 11634-2025")</f>
        <v/>
      </c>
      <c r="W34">
        <f>HYPERLINK("https://klasma.github.io/Logging_2505/klagomålsmail/A 11634-2025 FSC-klagomål mail.docx", "A 11634-2025")</f>
        <v/>
      </c>
      <c r="X34">
        <f>HYPERLINK("https://klasma.github.io/Logging_2505/tillsyn/A 11634-2025 tillsynsbegäran.docx", "A 11634-2025")</f>
        <v/>
      </c>
      <c r="Y34">
        <f>HYPERLINK("https://klasma.github.io/Logging_2505/tillsynsmail/A 11634-2025 tillsynsbegäran mail.docx", "A 11634-2025")</f>
        <v/>
      </c>
    </row>
    <row r="35" ht="15" customHeight="1">
      <c r="A35" t="inlineStr">
        <is>
          <t>A 47954-2022</t>
        </is>
      </c>
      <c r="B35" s="1" t="n">
        <v>44855</v>
      </c>
      <c r="C35" s="1" t="n">
        <v>46160</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46160</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46160</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46160</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46160</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45386-2024</t>
        </is>
      </c>
      <c r="B40" s="1" t="n">
        <v>45576.53655092593</v>
      </c>
      <c r="C40" s="1" t="n">
        <v>46160</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45579-2025</t>
        </is>
      </c>
      <c r="B41" s="1" t="n">
        <v>45922.66604166666</v>
      </c>
      <c r="C41" s="1" t="n">
        <v>46160</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46160</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45769-2021</t>
        </is>
      </c>
      <c r="B43" s="1" t="n">
        <v>44441</v>
      </c>
      <c r="C43" s="1" t="n">
        <v>46160</v>
      </c>
      <c r="D43" t="inlineStr">
        <is>
          <t>NORRBOTTENS LÄN</t>
        </is>
      </c>
      <c r="E43" t="inlineStr">
        <is>
          <t>ARVIDSJAUR</t>
        </is>
      </c>
      <c r="G43" t="n">
        <v>1.4</v>
      </c>
      <c r="H43" t="n">
        <v>1</v>
      </c>
      <c r="I43" t="n">
        <v>0</v>
      </c>
      <c r="J43" t="n">
        <v>0</v>
      </c>
      <c r="K43" t="n">
        <v>0</v>
      </c>
      <c r="L43" t="n">
        <v>0</v>
      </c>
      <c r="M43" t="n">
        <v>0</v>
      </c>
      <c r="N43" t="n">
        <v>0</v>
      </c>
      <c r="O43" t="n">
        <v>0</v>
      </c>
      <c r="P43" t="n">
        <v>0</v>
      </c>
      <c r="Q43" t="n">
        <v>1</v>
      </c>
      <c r="R43" s="2" t="inlineStr">
        <is>
          <t>Tjäder</t>
        </is>
      </c>
      <c r="S43">
        <f>HYPERLINK("https://klasma.github.io/Logging_2505/artfynd/A 45769-2021 artfynd.xlsx", "A 45769-2021")</f>
        <v/>
      </c>
      <c r="T43">
        <f>HYPERLINK("https://klasma.github.io/Logging_2505/kartor/A 45769-2021 karta.png", "A 45769-2021")</f>
        <v/>
      </c>
      <c r="V43">
        <f>HYPERLINK("https://klasma.github.io/Logging_2505/klagomål/A 45769-2021 FSC-klagomål.docx", "A 45769-2021")</f>
        <v/>
      </c>
      <c r="W43">
        <f>HYPERLINK("https://klasma.github.io/Logging_2505/klagomålsmail/A 45769-2021 FSC-klagomål mail.docx", "A 45769-2021")</f>
        <v/>
      </c>
      <c r="X43">
        <f>HYPERLINK("https://klasma.github.io/Logging_2505/tillsyn/A 45769-2021 tillsynsbegäran.docx", "A 45769-2021")</f>
        <v/>
      </c>
      <c r="Y43">
        <f>HYPERLINK("https://klasma.github.io/Logging_2505/tillsynsmail/A 45769-2021 tillsynsbegäran mail.docx", "A 45769-2021")</f>
        <v/>
      </c>
      <c r="Z43">
        <f>HYPERLINK("https://klasma.github.io/Logging_2505/fåglar/A 45769-2021 prioriterade fågelarter.docx", "A 45769-2021")</f>
        <v/>
      </c>
    </row>
    <row r="44" ht="15" customHeight="1">
      <c r="A44" t="inlineStr">
        <is>
          <t>A 50826-2025</t>
        </is>
      </c>
      <c r="B44" s="1" t="n">
        <v>45946.54731481482</v>
      </c>
      <c r="C44" s="1" t="n">
        <v>46160</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38166-2023</t>
        </is>
      </c>
      <c r="B45" s="1" t="n">
        <v>45161</v>
      </c>
      <c r="C45" s="1" t="n">
        <v>46160</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54539-2024</t>
        </is>
      </c>
      <c r="B46" s="1" t="n">
        <v>45617</v>
      </c>
      <c r="C46" s="1" t="n">
        <v>46160</v>
      </c>
      <c r="D46" t="inlineStr">
        <is>
          <t>NORRBOTTENS LÄN</t>
        </is>
      </c>
      <c r="E46" t="inlineStr">
        <is>
          <t>ARVIDSJAUR</t>
        </is>
      </c>
      <c r="F46" t="inlineStr">
        <is>
          <t>Sveaskog</t>
        </is>
      </c>
      <c r="G46" t="n">
        <v>22.1</v>
      </c>
      <c r="H46" t="n">
        <v>0</v>
      </c>
      <c r="I46" t="n">
        <v>0</v>
      </c>
      <c r="J46" t="n">
        <v>1</v>
      </c>
      <c r="K46" t="n">
        <v>0</v>
      </c>
      <c r="L46" t="n">
        <v>0</v>
      </c>
      <c r="M46" t="n">
        <v>0</v>
      </c>
      <c r="N46" t="n">
        <v>0</v>
      </c>
      <c r="O46" t="n">
        <v>1</v>
      </c>
      <c r="P46" t="n">
        <v>0</v>
      </c>
      <c r="Q46" t="n">
        <v>1</v>
      </c>
      <c r="R46" s="2" t="inlineStr">
        <is>
          <t>Vaddporing</t>
        </is>
      </c>
      <c r="S46">
        <f>HYPERLINK("https://klasma.github.io/Logging_2505/artfynd/A 54539-2024 artfynd.xlsx", "A 54539-2024")</f>
        <v/>
      </c>
      <c r="T46">
        <f>HYPERLINK("https://klasma.github.io/Logging_2505/kartor/A 54539-2024 karta.png", "A 54539-2024")</f>
        <v/>
      </c>
      <c r="V46">
        <f>HYPERLINK("https://klasma.github.io/Logging_2505/klagomål/A 54539-2024 FSC-klagomål.docx", "A 54539-2024")</f>
        <v/>
      </c>
      <c r="W46">
        <f>HYPERLINK("https://klasma.github.io/Logging_2505/klagomålsmail/A 54539-2024 FSC-klagomål mail.docx", "A 54539-2024")</f>
        <v/>
      </c>
      <c r="X46">
        <f>HYPERLINK("https://klasma.github.io/Logging_2505/tillsyn/A 54539-2024 tillsynsbegäran.docx", "A 54539-2024")</f>
        <v/>
      </c>
      <c r="Y46">
        <f>HYPERLINK("https://klasma.github.io/Logging_2505/tillsynsmail/A 54539-2024 tillsynsbegäran mail.docx", "A 54539-2024")</f>
        <v/>
      </c>
    </row>
    <row r="47" ht="15" customHeight="1">
      <c r="A47" t="inlineStr">
        <is>
          <t>A 55653-2025</t>
        </is>
      </c>
      <c r="B47" s="1" t="n">
        <v>45972.38201388889</v>
      </c>
      <c r="C47" s="1" t="n">
        <v>46160</v>
      </c>
      <c r="D47" t="inlineStr">
        <is>
          <t>NORRBOTTENS LÄN</t>
        </is>
      </c>
      <c r="E47" t="inlineStr">
        <is>
          <t>ARVIDSJAUR</t>
        </is>
      </c>
      <c r="F47" t="inlineStr">
        <is>
          <t>Sveaskog</t>
        </is>
      </c>
      <c r="G47" t="n">
        <v>18.7</v>
      </c>
      <c r="H47" t="n">
        <v>0</v>
      </c>
      <c r="I47" t="n">
        <v>0</v>
      </c>
      <c r="J47" t="n">
        <v>1</v>
      </c>
      <c r="K47" t="n">
        <v>0</v>
      </c>
      <c r="L47" t="n">
        <v>0</v>
      </c>
      <c r="M47" t="n">
        <v>0</v>
      </c>
      <c r="N47" t="n">
        <v>0</v>
      </c>
      <c r="O47" t="n">
        <v>1</v>
      </c>
      <c r="P47" t="n">
        <v>0</v>
      </c>
      <c r="Q47" t="n">
        <v>1</v>
      </c>
      <c r="R47" s="2" t="inlineStr">
        <is>
          <t>Lunglav</t>
        </is>
      </c>
      <c r="S47">
        <f>HYPERLINK("https://klasma.github.io/Logging_2505/artfynd/A 55653-2025 artfynd.xlsx", "A 55653-2025")</f>
        <v/>
      </c>
      <c r="T47">
        <f>HYPERLINK("https://klasma.github.io/Logging_2505/kartor/A 55653-2025 karta.png", "A 55653-2025")</f>
        <v/>
      </c>
      <c r="V47">
        <f>HYPERLINK("https://klasma.github.io/Logging_2505/klagomål/A 55653-2025 FSC-klagomål.docx", "A 55653-2025")</f>
        <v/>
      </c>
      <c r="W47">
        <f>HYPERLINK("https://klasma.github.io/Logging_2505/klagomålsmail/A 55653-2025 FSC-klagomål mail.docx", "A 55653-2025")</f>
        <v/>
      </c>
      <c r="X47">
        <f>HYPERLINK("https://klasma.github.io/Logging_2505/tillsyn/A 55653-2025 tillsynsbegäran.docx", "A 55653-2025")</f>
        <v/>
      </c>
      <c r="Y47">
        <f>HYPERLINK("https://klasma.github.io/Logging_2505/tillsynsmail/A 55653-2025 tillsynsbegäran mail.docx", "A 55653-2025")</f>
        <v/>
      </c>
    </row>
    <row r="48" ht="15" customHeight="1">
      <c r="A48" t="inlineStr">
        <is>
          <t>A 56504-2025</t>
        </is>
      </c>
      <c r="B48" s="1" t="n">
        <v>45975.43818287037</v>
      </c>
      <c r="C48" s="1" t="n">
        <v>46160</v>
      </c>
      <c r="D48" t="inlineStr">
        <is>
          <t>NORRBOTTENS LÄN</t>
        </is>
      </c>
      <c r="E48" t="inlineStr">
        <is>
          <t>ARVIDSJAUR</t>
        </is>
      </c>
      <c r="F48" t="inlineStr">
        <is>
          <t>Sveaskog</t>
        </is>
      </c>
      <c r="G48" t="n">
        <v>9.6</v>
      </c>
      <c r="H48" t="n">
        <v>0</v>
      </c>
      <c r="I48" t="n">
        <v>1</v>
      </c>
      <c r="J48" t="n">
        <v>0</v>
      </c>
      <c r="K48" t="n">
        <v>0</v>
      </c>
      <c r="L48" t="n">
        <v>0</v>
      </c>
      <c r="M48" t="n">
        <v>0</v>
      </c>
      <c r="N48" t="n">
        <v>0</v>
      </c>
      <c r="O48" t="n">
        <v>0</v>
      </c>
      <c r="P48" t="n">
        <v>0</v>
      </c>
      <c r="Q48" t="n">
        <v>1</v>
      </c>
      <c r="R48" s="2" t="inlineStr">
        <is>
          <t>Stuplav</t>
        </is>
      </c>
      <c r="S48">
        <f>HYPERLINK("https://klasma.github.io/Logging_2505/artfynd/A 56504-2025 artfynd.xlsx", "A 56504-2025")</f>
        <v/>
      </c>
      <c r="T48">
        <f>HYPERLINK("https://klasma.github.io/Logging_2505/kartor/A 56504-2025 karta.png", "A 56504-2025")</f>
        <v/>
      </c>
      <c r="V48">
        <f>HYPERLINK("https://klasma.github.io/Logging_2505/klagomål/A 56504-2025 FSC-klagomål.docx", "A 56504-2025")</f>
        <v/>
      </c>
      <c r="W48">
        <f>HYPERLINK("https://klasma.github.io/Logging_2505/klagomålsmail/A 56504-2025 FSC-klagomål mail.docx", "A 56504-2025")</f>
        <v/>
      </c>
      <c r="X48">
        <f>HYPERLINK("https://klasma.github.io/Logging_2505/tillsyn/A 56504-2025 tillsynsbegäran.docx", "A 56504-2025")</f>
        <v/>
      </c>
      <c r="Y48">
        <f>HYPERLINK("https://klasma.github.io/Logging_2505/tillsynsmail/A 56504-2025 tillsynsbegäran mail.docx", "A 56504-2025")</f>
        <v/>
      </c>
    </row>
    <row r="49" ht="15" customHeight="1">
      <c r="A49" t="inlineStr">
        <is>
          <t>A 57786-2025</t>
        </is>
      </c>
      <c r="B49" s="1" t="n">
        <v>45981.57612268518</v>
      </c>
      <c r="C49" s="1" t="n">
        <v>46160</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Spillkråka</t>
        </is>
      </c>
      <c r="S49">
        <f>HYPERLINK("https://klasma.github.io/Logging_2505/artfynd/A 57786-2025 artfynd.xlsx", "A 57786-2025")</f>
        <v/>
      </c>
      <c r="T49">
        <f>HYPERLINK("https://klasma.github.io/Logging_2505/kartor/A 57786-2025 karta.png", "A 57786-2025")</f>
        <v/>
      </c>
      <c r="V49">
        <f>HYPERLINK("https://klasma.github.io/Logging_2505/klagomål/A 57786-2025 FSC-klagomål.docx", "A 57786-2025")</f>
        <v/>
      </c>
      <c r="W49">
        <f>HYPERLINK("https://klasma.github.io/Logging_2505/klagomålsmail/A 57786-2025 FSC-klagomål mail.docx", "A 57786-2025")</f>
        <v/>
      </c>
      <c r="X49">
        <f>HYPERLINK("https://klasma.github.io/Logging_2505/tillsyn/A 57786-2025 tillsynsbegäran.docx", "A 57786-2025")</f>
        <v/>
      </c>
      <c r="Y49">
        <f>HYPERLINK("https://klasma.github.io/Logging_2505/tillsynsmail/A 57786-2025 tillsynsbegäran mail.docx", "A 57786-2025")</f>
        <v/>
      </c>
      <c r="Z49">
        <f>HYPERLINK("https://klasma.github.io/Logging_2505/fåglar/A 57786-2025 prioriterade fågelarter.docx", "A 57786-2025")</f>
        <v/>
      </c>
    </row>
    <row r="50" ht="15" customHeight="1">
      <c r="A50" t="inlineStr">
        <is>
          <t>A 60460-2025</t>
        </is>
      </c>
      <c r="B50" s="1" t="n">
        <v>45995.54681712963</v>
      </c>
      <c r="C50" s="1" t="n">
        <v>46160</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48368-2024</t>
        </is>
      </c>
      <c r="B51" s="1" t="n">
        <v>45590.57829861111</v>
      </c>
      <c r="C51" s="1" t="n">
        <v>46160</v>
      </c>
      <c r="D51" t="inlineStr">
        <is>
          <t>NORRBOTTENS LÄN</t>
        </is>
      </c>
      <c r="E51" t="inlineStr">
        <is>
          <t>ARVIDSJAUR</t>
        </is>
      </c>
      <c r="F51" t="inlineStr">
        <is>
          <t>Sveaskog</t>
        </is>
      </c>
      <c r="G51" t="n">
        <v>7.2</v>
      </c>
      <c r="H51" t="n">
        <v>0</v>
      </c>
      <c r="I51" t="n">
        <v>0</v>
      </c>
      <c r="J51" t="n">
        <v>1</v>
      </c>
      <c r="K51" t="n">
        <v>0</v>
      </c>
      <c r="L51" t="n">
        <v>0</v>
      </c>
      <c r="M51" t="n">
        <v>0</v>
      </c>
      <c r="N51" t="n">
        <v>0</v>
      </c>
      <c r="O51" t="n">
        <v>1</v>
      </c>
      <c r="P51" t="n">
        <v>0</v>
      </c>
      <c r="Q51" t="n">
        <v>1</v>
      </c>
      <c r="R51" s="2" t="inlineStr">
        <is>
          <t>Orange taggsvamp</t>
        </is>
      </c>
      <c r="S51">
        <f>HYPERLINK("https://klasma.github.io/Logging_2505/artfynd/A 48368-2024 artfynd.xlsx", "A 48368-2024")</f>
        <v/>
      </c>
      <c r="T51">
        <f>HYPERLINK("https://klasma.github.io/Logging_2505/kartor/A 48368-2024 karta.png", "A 48368-2024")</f>
        <v/>
      </c>
      <c r="V51">
        <f>HYPERLINK("https://klasma.github.io/Logging_2505/klagomål/A 48368-2024 FSC-klagomål.docx", "A 48368-2024")</f>
        <v/>
      </c>
      <c r="W51">
        <f>HYPERLINK("https://klasma.github.io/Logging_2505/klagomålsmail/A 48368-2024 FSC-klagomål mail.docx", "A 48368-2024")</f>
        <v/>
      </c>
      <c r="X51">
        <f>HYPERLINK("https://klasma.github.io/Logging_2505/tillsyn/A 48368-2024 tillsynsbegäran.docx", "A 48368-2024")</f>
        <v/>
      </c>
      <c r="Y51">
        <f>HYPERLINK("https://klasma.github.io/Logging_2505/tillsynsmail/A 48368-2024 tillsynsbegäran mail.docx", "A 48368-2024")</f>
        <v/>
      </c>
    </row>
    <row r="52" ht="15" customHeight="1">
      <c r="A52" t="inlineStr">
        <is>
          <t>A 50607-2024</t>
        </is>
      </c>
      <c r="B52" s="1" t="n">
        <v>45601</v>
      </c>
      <c r="C52" s="1" t="n">
        <v>46160</v>
      </c>
      <c r="D52" t="inlineStr">
        <is>
          <t>NORRBOTTENS LÄN</t>
        </is>
      </c>
      <c r="E52" t="inlineStr">
        <is>
          <t>ARVIDSJAUR</t>
        </is>
      </c>
      <c r="G52" t="n">
        <v>10</v>
      </c>
      <c r="H52" t="n">
        <v>1</v>
      </c>
      <c r="I52" t="n">
        <v>0</v>
      </c>
      <c r="J52" t="n">
        <v>0</v>
      </c>
      <c r="K52" t="n">
        <v>0</v>
      </c>
      <c r="L52" t="n">
        <v>0</v>
      </c>
      <c r="M52" t="n">
        <v>0</v>
      </c>
      <c r="N52" t="n">
        <v>0</v>
      </c>
      <c r="O52" t="n">
        <v>0</v>
      </c>
      <c r="P52" t="n">
        <v>0</v>
      </c>
      <c r="Q52" t="n">
        <v>1</v>
      </c>
      <c r="R52" s="2" t="inlineStr">
        <is>
          <t>Kungsfågel</t>
        </is>
      </c>
      <c r="S52">
        <f>HYPERLINK("https://klasma.github.io/Logging_2505/artfynd/A 50607-2024 artfynd.xlsx", "A 50607-2024")</f>
        <v/>
      </c>
      <c r="T52">
        <f>HYPERLINK("https://klasma.github.io/Logging_2505/kartor/A 50607-2024 karta.png", "A 50607-2024")</f>
        <v/>
      </c>
      <c r="V52">
        <f>HYPERLINK("https://klasma.github.io/Logging_2505/klagomål/A 50607-2024 FSC-klagomål.docx", "A 50607-2024")</f>
        <v/>
      </c>
      <c r="W52">
        <f>HYPERLINK("https://klasma.github.io/Logging_2505/klagomålsmail/A 50607-2024 FSC-klagomål mail.docx", "A 50607-2024")</f>
        <v/>
      </c>
      <c r="X52">
        <f>HYPERLINK("https://klasma.github.io/Logging_2505/tillsyn/A 50607-2024 tillsynsbegäran.docx", "A 50607-2024")</f>
        <v/>
      </c>
      <c r="Y52">
        <f>HYPERLINK("https://klasma.github.io/Logging_2505/tillsynsmail/A 50607-2024 tillsynsbegäran mail.docx", "A 50607-2024")</f>
        <v/>
      </c>
      <c r="Z52">
        <f>HYPERLINK("https://klasma.github.io/Logging_2505/fåglar/A 50607-2024 prioriterade fågelarter.docx", "A 50607-2024")</f>
        <v/>
      </c>
    </row>
    <row r="53" ht="15" customHeight="1">
      <c r="A53" t="inlineStr">
        <is>
          <t>A 40844-2021</t>
        </is>
      </c>
      <c r="B53" s="1" t="n">
        <v>44421</v>
      </c>
      <c r="C53" s="1" t="n">
        <v>46160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46160</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46160</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37119-2022</t>
        </is>
      </c>
      <c r="B66" s="1" t="n">
        <v>44806</v>
      </c>
      <c r="C66" s="1" t="n">
        <v>46160</v>
      </c>
      <c r="D66" t="inlineStr">
        <is>
          <t>NORRBOTTENS LÄN</t>
        </is>
      </c>
      <c r="E66" t="inlineStr">
        <is>
          <t>ARVIDSJAUR</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46160</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46160</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46160</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46160</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46160</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46160</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46160</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46160</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46160</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46160</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46160</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46160</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46160</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46160</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46160</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46160</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46160</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46160</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46160</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46160</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46160</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46160</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46160</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46160</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46160</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46160</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46160</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46160</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46160</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46160</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46160</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46160</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46160</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46160</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40500-2022</t>
        </is>
      </c>
      <c r="B101" s="1" t="n">
        <v>44819</v>
      </c>
      <c r="C101" s="1" t="n">
        <v>46160</v>
      </c>
      <c r="D101" t="inlineStr">
        <is>
          <t>NORRBOTTENS LÄN</t>
        </is>
      </c>
      <c r="E101" t="inlineStr">
        <is>
          <t>ARVIDSJAUR</t>
        </is>
      </c>
      <c r="F101" t="inlineStr">
        <is>
          <t>Allmännings- och besparingsskogar</t>
        </is>
      </c>
      <c r="G101" t="n">
        <v>3.5</v>
      </c>
      <c r="H101" t="n">
        <v>0</v>
      </c>
      <c r="I101" t="n">
        <v>0</v>
      </c>
      <c r="J101" t="n">
        <v>0</v>
      </c>
      <c r="K101" t="n">
        <v>0</v>
      </c>
      <c r="L101" t="n">
        <v>0</v>
      </c>
      <c r="M101" t="n">
        <v>0</v>
      </c>
      <c r="N101" t="n">
        <v>0</v>
      </c>
      <c r="O101" t="n">
        <v>0</v>
      </c>
      <c r="P101" t="n">
        <v>0</v>
      </c>
      <c r="Q101" t="n">
        <v>0</v>
      </c>
      <c r="R101" s="2" t="inlineStr"/>
    </row>
    <row r="102" ht="15" customHeight="1">
      <c r="A102" t="inlineStr">
        <is>
          <t>A 23583-2021</t>
        </is>
      </c>
      <c r="B102" s="1" t="n">
        <v>44334</v>
      </c>
      <c r="C102" s="1" t="n">
        <v>46160</v>
      </c>
      <c r="D102" t="inlineStr">
        <is>
          <t>NORRBOTTENS LÄN</t>
        </is>
      </c>
      <c r="E102" t="inlineStr">
        <is>
          <t>ARVIDSJAUR</t>
        </is>
      </c>
      <c r="G102" t="n">
        <v>1.7</v>
      </c>
      <c r="H102" t="n">
        <v>0</v>
      </c>
      <c r="I102" t="n">
        <v>0</v>
      </c>
      <c r="J102" t="n">
        <v>0</v>
      </c>
      <c r="K102" t="n">
        <v>0</v>
      </c>
      <c r="L102" t="n">
        <v>0</v>
      </c>
      <c r="M102" t="n">
        <v>0</v>
      </c>
      <c r="N102" t="n">
        <v>0</v>
      </c>
      <c r="O102" t="n">
        <v>0</v>
      </c>
      <c r="P102" t="n">
        <v>0</v>
      </c>
      <c r="Q102" t="n">
        <v>0</v>
      </c>
      <c r="R102" s="2" t="inlineStr"/>
    </row>
    <row r="103" ht="15" customHeight="1">
      <c r="A103" t="inlineStr">
        <is>
          <t>A 40836-2021</t>
        </is>
      </c>
      <c r="B103" s="1" t="n">
        <v>44421</v>
      </c>
      <c r="C103" s="1" t="n">
        <v>46160</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46160</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22997-2024</t>
        </is>
      </c>
      <c r="B105" s="1" t="n">
        <v>45450</v>
      </c>
      <c r="C105" s="1" t="n">
        <v>46160</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24854-2024</t>
        </is>
      </c>
      <c r="B106" s="1" t="n">
        <v>45461</v>
      </c>
      <c r="C106" s="1" t="n">
        <v>46160</v>
      </c>
      <c r="D106" t="inlineStr">
        <is>
          <t>NORRBOTTENS LÄN</t>
        </is>
      </c>
      <c r="E106" t="inlineStr">
        <is>
          <t>ARVIDSJAUR</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38271-2024</t>
        </is>
      </c>
      <c r="B107" s="1" t="n">
        <v>45545</v>
      </c>
      <c r="C107" s="1" t="n">
        <v>46160</v>
      </c>
      <c r="D107" t="inlineStr">
        <is>
          <t>NORRBOTTENS LÄN</t>
        </is>
      </c>
      <c r="E107" t="inlineStr">
        <is>
          <t>ARVIDSJAUR</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45127-2021</t>
        </is>
      </c>
      <c r="B108" s="1" t="n">
        <v>44439</v>
      </c>
      <c r="C108" s="1" t="n">
        <v>46160</v>
      </c>
      <c r="D108" t="inlineStr">
        <is>
          <t>NORRBOTTENS LÄN</t>
        </is>
      </c>
      <c r="E108" t="inlineStr">
        <is>
          <t>ARVIDSJAUR</t>
        </is>
      </c>
      <c r="G108" t="n">
        <v>4.6</v>
      </c>
      <c r="H108" t="n">
        <v>0</v>
      </c>
      <c r="I108" t="n">
        <v>0</v>
      </c>
      <c r="J108" t="n">
        <v>0</v>
      </c>
      <c r="K108" t="n">
        <v>0</v>
      </c>
      <c r="L108" t="n">
        <v>0</v>
      </c>
      <c r="M108" t="n">
        <v>0</v>
      </c>
      <c r="N108" t="n">
        <v>0</v>
      </c>
      <c r="O108" t="n">
        <v>0</v>
      </c>
      <c r="P108" t="n">
        <v>0</v>
      </c>
      <c r="Q108" t="n">
        <v>0</v>
      </c>
      <c r="R108" s="2" t="inlineStr"/>
    </row>
    <row r="109" ht="15" customHeight="1">
      <c r="A109" t="inlineStr">
        <is>
          <t>A 58941-2022</t>
        </is>
      </c>
      <c r="B109" s="1" t="n">
        <v>44903</v>
      </c>
      <c r="C109" s="1" t="n">
        <v>46160</v>
      </c>
      <c r="D109" t="inlineStr">
        <is>
          <t>NORRBOTTENS LÄN</t>
        </is>
      </c>
      <c r="E109" t="inlineStr">
        <is>
          <t>ARVIDSJAUR</t>
        </is>
      </c>
      <c r="F109" t="inlineStr">
        <is>
          <t>Sveaskog</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59593-2025</t>
        </is>
      </c>
      <c r="B110" s="1" t="n">
        <v>45992.34451388889</v>
      </c>
      <c r="C110" s="1" t="n">
        <v>46160</v>
      </c>
      <c r="D110" t="inlineStr">
        <is>
          <t>NORRBOTTENS LÄN</t>
        </is>
      </c>
      <c r="E110" t="inlineStr">
        <is>
          <t>ARVIDSJAUR</t>
        </is>
      </c>
      <c r="G110" t="n">
        <v>1</v>
      </c>
      <c r="H110" t="n">
        <v>0</v>
      </c>
      <c r="I110" t="n">
        <v>0</v>
      </c>
      <c r="J110" t="n">
        <v>0</v>
      </c>
      <c r="K110" t="n">
        <v>0</v>
      </c>
      <c r="L110" t="n">
        <v>0</v>
      </c>
      <c r="M110" t="n">
        <v>0</v>
      </c>
      <c r="N110" t="n">
        <v>0</v>
      </c>
      <c r="O110" t="n">
        <v>0</v>
      </c>
      <c r="P110" t="n">
        <v>0</v>
      </c>
      <c r="Q110" t="n">
        <v>0</v>
      </c>
      <c r="R110" s="2" t="inlineStr"/>
    </row>
    <row r="111" ht="15" customHeight="1">
      <c r="A111" t="inlineStr">
        <is>
          <t>A 36400-2022</t>
        </is>
      </c>
      <c r="B111" s="1" t="n">
        <v>44804</v>
      </c>
      <c r="C111" s="1" t="n">
        <v>46160</v>
      </c>
      <c r="D111" t="inlineStr">
        <is>
          <t>NORRBOTTENS LÄN</t>
        </is>
      </c>
      <c r="E111" t="inlineStr">
        <is>
          <t>ARVIDSJAUR</t>
        </is>
      </c>
      <c r="G111" t="n">
        <v>0.8</v>
      </c>
      <c r="H111" t="n">
        <v>0</v>
      </c>
      <c r="I111" t="n">
        <v>0</v>
      </c>
      <c r="J111" t="n">
        <v>0</v>
      </c>
      <c r="K111" t="n">
        <v>0</v>
      </c>
      <c r="L111" t="n">
        <v>0</v>
      </c>
      <c r="M111" t="n">
        <v>0</v>
      </c>
      <c r="N111" t="n">
        <v>0</v>
      </c>
      <c r="O111" t="n">
        <v>0</v>
      </c>
      <c r="P111" t="n">
        <v>0</v>
      </c>
      <c r="Q111" t="n">
        <v>0</v>
      </c>
      <c r="R111" s="2" t="inlineStr"/>
    </row>
    <row r="112" ht="15" customHeight="1">
      <c r="A112" t="inlineStr">
        <is>
          <t>A 38027-2025</t>
        </is>
      </c>
      <c r="B112" s="1" t="n">
        <v>45882</v>
      </c>
      <c r="C112" s="1" t="n">
        <v>46160</v>
      </c>
      <c r="D112" t="inlineStr">
        <is>
          <t>NORRBOTTENS LÄN</t>
        </is>
      </c>
      <c r="E112" t="inlineStr">
        <is>
          <t>ARVIDSJAUR</t>
        </is>
      </c>
      <c r="G112" t="n">
        <v>2.5</v>
      </c>
      <c r="H112" t="n">
        <v>0</v>
      </c>
      <c r="I112" t="n">
        <v>0</v>
      </c>
      <c r="J112" t="n">
        <v>0</v>
      </c>
      <c r="K112" t="n">
        <v>0</v>
      </c>
      <c r="L112" t="n">
        <v>0</v>
      </c>
      <c r="M112" t="n">
        <v>0</v>
      </c>
      <c r="N112" t="n">
        <v>0</v>
      </c>
      <c r="O112" t="n">
        <v>0</v>
      </c>
      <c r="P112" t="n">
        <v>0</v>
      </c>
      <c r="Q112" t="n">
        <v>0</v>
      </c>
      <c r="R112" s="2" t="inlineStr"/>
    </row>
    <row r="113" ht="15" customHeight="1">
      <c r="A113" t="inlineStr">
        <is>
          <t>A 57705-2025</t>
        </is>
      </c>
      <c r="B113" s="1" t="n">
        <v>45981.46944444445</v>
      </c>
      <c r="C113" s="1" t="n">
        <v>46160</v>
      </c>
      <c r="D113" t="inlineStr">
        <is>
          <t>NORRBOTTENS LÄN</t>
        </is>
      </c>
      <c r="E113" t="inlineStr">
        <is>
          <t>ARVIDSJAUR</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60011-2025</t>
        </is>
      </c>
      <c r="B114" s="1" t="n">
        <v>45993.59430555555</v>
      </c>
      <c r="C114" s="1" t="n">
        <v>46160</v>
      </c>
      <c r="D114" t="inlineStr">
        <is>
          <t>NORRBOTTENS LÄN</t>
        </is>
      </c>
      <c r="E114" t="inlineStr">
        <is>
          <t>ARVIDSJAUR</t>
        </is>
      </c>
      <c r="G114" t="n">
        <v>4</v>
      </c>
      <c r="H114" t="n">
        <v>0</v>
      </c>
      <c r="I114" t="n">
        <v>0</v>
      </c>
      <c r="J114" t="n">
        <v>0</v>
      </c>
      <c r="K114" t="n">
        <v>0</v>
      </c>
      <c r="L114" t="n">
        <v>0</v>
      </c>
      <c r="M114" t="n">
        <v>0</v>
      </c>
      <c r="N114" t="n">
        <v>0</v>
      </c>
      <c r="O114" t="n">
        <v>0</v>
      </c>
      <c r="P114" t="n">
        <v>0</v>
      </c>
      <c r="Q114" t="n">
        <v>0</v>
      </c>
      <c r="R114" s="2" t="inlineStr"/>
    </row>
    <row r="115" ht="15" customHeight="1">
      <c r="A115" t="inlineStr">
        <is>
          <t>A 39760-2022</t>
        </is>
      </c>
      <c r="B115" s="1" t="n">
        <v>44819</v>
      </c>
      <c r="C115" s="1" t="n">
        <v>46160</v>
      </c>
      <c r="D115" t="inlineStr">
        <is>
          <t>NORRBOTTENS LÄN</t>
        </is>
      </c>
      <c r="E115" t="inlineStr">
        <is>
          <t>ARVIDSJAUR</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60000-2025</t>
        </is>
      </c>
      <c r="B116" s="1" t="n">
        <v>45993.57403935185</v>
      </c>
      <c r="C116" s="1" t="n">
        <v>46160</v>
      </c>
      <c r="D116" t="inlineStr">
        <is>
          <t>NORRBOTTENS LÄN</t>
        </is>
      </c>
      <c r="E116" t="inlineStr">
        <is>
          <t>ARVIDSJAUR</t>
        </is>
      </c>
      <c r="G116" t="n">
        <v>5.4</v>
      </c>
      <c r="H116" t="n">
        <v>0</v>
      </c>
      <c r="I116" t="n">
        <v>0</v>
      </c>
      <c r="J116" t="n">
        <v>0</v>
      </c>
      <c r="K116" t="n">
        <v>0</v>
      </c>
      <c r="L116" t="n">
        <v>0</v>
      </c>
      <c r="M116" t="n">
        <v>0</v>
      </c>
      <c r="N116" t="n">
        <v>0</v>
      </c>
      <c r="O116" t="n">
        <v>0</v>
      </c>
      <c r="P116" t="n">
        <v>0</v>
      </c>
      <c r="Q116" t="n">
        <v>0</v>
      </c>
      <c r="R116" s="2" t="inlineStr"/>
    </row>
    <row r="117" ht="15" customHeight="1">
      <c r="A117" t="inlineStr">
        <is>
          <t>A 53511-2025</t>
        </is>
      </c>
      <c r="B117" s="1" t="n">
        <v>45960</v>
      </c>
      <c r="C117" s="1" t="n">
        <v>46160</v>
      </c>
      <c r="D117" t="inlineStr">
        <is>
          <t>NORRBOTTENS LÄN</t>
        </is>
      </c>
      <c r="E117" t="inlineStr">
        <is>
          <t>ARVIDSJAUR</t>
        </is>
      </c>
      <c r="G117" t="n">
        <v>1.3</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46160</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53510-2025</t>
        </is>
      </c>
      <c r="B119" s="1" t="n">
        <v>45960</v>
      </c>
      <c r="C119" s="1" t="n">
        <v>46160</v>
      </c>
      <c r="D119" t="inlineStr">
        <is>
          <t>NORRBOTTENS LÄN</t>
        </is>
      </c>
      <c r="E119" t="inlineStr">
        <is>
          <t>ARVIDSJAUR</t>
        </is>
      </c>
      <c r="G119" t="n">
        <v>0.6</v>
      </c>
      <c r="H119" t="n">
        <v>0</v>
      </c>
      <c r="I119" t="n">
        <v>0</v>
      </c>
      <c r="J119" t="n">
        <v>0</v>
      </c>
      <c r="K119" t="n">
        <v>0</v>
      </c>
      <c r="L119" t="n">
        <v>0</v>
      </c>
      <c r="M119" t="n">
        <v>0</v>
      </c>
      <c r="N119" t="n">
        <v>0</v>
      </c>
      <c r="O119" t="n">
        <v>0</v>
      </c>
      <c r="P119" t="n">
        <v>0</v>
      </c>
      <c r="Q119" t="n">
        <v>0</v>
      </c>
      <c r="R119" s="2" t="inlineStr"/>
    </row>
    <row r="120" ht="15" customHeight="1">
      <c r="A120" t="inlineStr">
        <is>
          <t>A 23592-2024</t>
        </is>
      </c>
      <c r="B120" s="1" t="n">
        <v>45454</v>
      </c>
      <c r="C120" s="1" t="n">
        <v>46160</v>
      </c>
      <c r="D120" t="inlineStr">
        <is>
          <t>NORRBOTTENS LÄN</t>
        </is>
      </c>
      <c r="E120" t="inlineStr">
        <is>
          <t>ARVIDSJAUR</t>
        </is>
      </c>
      <c r="G120" t="n">
        <v>2.4</v>
      </c>
      <c r="H120" t="n">
        <v>0</v>
      </c>
      <c r="I120" t="n">
        <v>0</v>
      </c>
      <c r="J120" t="n">
        <v>0</v>
      </c>
      <c r="K120" t="n">
        <v>0</v>
      </c>
      <c r="L120" t="n">
        <v>0</v>
      </c>
      <c r="M120" t="n">
        <v>0</v>
      </c>
      <c r="N120" t="n">
        <v>0</v>
      </c>
      <c r="O120" t="n">
        <v>0</v>
      </c>
      <c r="P120" t="n">
        <v>0</v>
      </c>
      <c r="Q120" t="n">
        <v>0</v>
      </c>
      <c r="R120" s="2" t="inlineStr"/>
    </row>
    <row r="121" ht="15" customHeight="1">
      <c r="A121" t="inlineStr">
        <is>
          <t>A 31050-2024</t>
        </is>
      </c>
      <c r="B121" s="1" t="n">
        <v>45502.33652777778</v>
      </c>
      <c r="C121" s="1" t="n">
        <v>46160</v>
      </c>
      <c r="D121" t="inlineStr">
        <is>
          <t>NORRBOTTENS LÄN</t>
        </is>
      </c>
      <c r="E121" t="inlineStr">
        <is>
          <t>ARVIDSJAUR</t>
        </is>
      </c>
      <c r="G121" t="n">
        <v>0</v>
      </c>
      <c r="H121" t="n">
        <v>0</v>
      </c>
      <c r="I121" t="n">
        <v>0</v>
      </c>
      <c r="J121" t="n">
        <v>0</v>
      </c>
      <c r="K121" t="n">
        <v>0</v>
      </c>
      <c r="L121" t="n">
        <v>0</v>
      </c>
      <c r="M121" t="n">
        <v>0</v>
      </c>
      <c r="N121" t="n">
        <v>0</v>
      </c>
      <c r="O121" t="n">
        <v>0</v>
      </c>
      <c r="P121" t="n">
        <v>0</v>
      </c>
      <c r="Q121" t="n">
        <v>0</v>
      </c>
      <c r="R121" s="2" t="inlineStr"/>
    </row>
    <row r="122" ht="15" customHeight="1">
      <c r="A122" t="inlineStr">
        <is>
          <t>A 2286-2024</t>
        </is>
      </c>
      <c r="B122" s="1" t="n">
        <v>45310</v>
      </c>
      <c r="C122" s="1" t="n">
        <v>46160</v>
      </c>
      <c r="D122" t="inlineStr">
        <is>
          <t>NORRBOTTENS LÄN</t>
        </is>
      </c>
      <c r="E122" t="inlineStr">
        <is>
          <t>ARVIDSJAUR</t>
        </is>
      </c>
      <c r="G122" t="n">
        <v>1</v>
      </c>
      <c r="H122" t="n">
        <v>0</v>
      </c>
      <c r="I122" t="n">
        <v>0</v>
      </c>
      <c r="J122" t="n">
        <v>0</v>
      </c>
      <c r="K122" t="n">
        <v>0</v>
      </c>
      <c r="L122" t="n">
        <v>0</v>
      </c>
      <c r="M122" t="n">
        <v>0</v>
      </c>
      <c r="N122" t="n">
        <v>0</v>
      </c>
      <c r="O122" t="n">
        <v>0</v>
      </c>
      <c r="P122" t="n">
        <v>0</v>
      </c>
      <c r="Q122" t="n">
        <v>0</v>
      </c>
      <c r="R122" s="2" t="inlineStr"/>
    </row>
    <row r="123" ht="15" customHeight="1">
      <c r="A123" t="inlineStr">
        <is>
          <t>A 38348-2025</t>
        </is>
      </c>
      <c r="B123" s="1" t="n">
        <v>45883</v>
      </c>
      <c r="C123" s="1" t="n">
        <v>46160</v>
      </c>
      <c r="D123" t="inlineStr">
        <is>
          <t>NORRBOTTENS LÄN</t>
        </is>
      </c>
      <c r="E123" t="inlineStr">
        <is>
          <t>ARVIDSJAUR</t>
        </is>
      </c>
      <c r="G123" t="n">
        <v>1.4</v>
      </c>
      <c r="H123" t="n">
        <v>0</v>
      </c>
      <c r="I123" t="n">
        <v>0</v>
      </c>
      <c r="J123" t="n">
        <v>0</v>
      </c>
      <c r="K123" t="n">
        <v>0</v>
      </c>
      <c r="L123" t="n">
        <v>0</v>
      </c>
      <c r="M123" t="n">
        <v>0</v>
      </c>
      <c r="N123" t="n">
        <v>0</v>
      </c>
      <c r="O123" t="n">
        <v>0</v>
      </c>
      <c r="P123" t="n">
        <v>0</v>
      </c>
      <c r="Q123" t="n">
        <v>0</v>
      </c>
      <c r="R123" s="2" t="inlineStr"/>
    </row>
    <row r="124" ht="15" customHeight="1">
      <c r="A124" t="inlineStr">
        <is>
          <t>A 54524-2023</t>
        </is>
      </c>
      <c r="B124" s="1" t="n">
        <v>45226</v>
      </c>
      <c r="C124" s="1" t="n">
        <v>46160</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54529-2023</t>
        </is>
      </c>
      <c r="B125" s="1" t="n">
        <v>45226</v>
      </c>
      <c r="C125" s="1" t="n">
        <v>46160</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60888-2021</t>
        </is>
      </c>
      <c r="B126" s="1" t="n">
        <v>44497</v>
      </c>
      <c r="C126" s="1" t="n">
        <v>46160</v>
      </c>
      <c r="D126" t="inlineStr">
        <is>
          <t>NORRBOTTENS LÄN</t>
        </is>
      </c>
      <c r="E126" t="inlineStr">
        <is>
          <t>ARVIDSJAUR</t>
        </is>
      </c>
      <c r="F126" t="inlineStr">
        <is>
          <t>Sveaskog</t>
        </is>
      </c>
      <c r="G126" t="n">
        <v>12.1</v>
      </c>
      <c r="H126" t="n">
        <v>0</v>
      </c>
      <c r="I126" t="n">
        <v>0</v>
      </c>
      <c r="J126" t="n">
        <v>0</v>
      </c>
      <c r="K126" t="n">
        <v>0</v>
      </c>
      <c r="L126" t="n">
        <v>0</v>
      </c>
      <c r="M126" t="n">
        <v>0</v>
      </c>
      <c r="N126" t="n">
        <v>0</v>
      </c>
      <c r="O126" t="n">
        <v>0</v>
      </c>
      <c r="P126" t="n">
        <v>0</v>
      </c>
      <c r="Q126" t="n">
        <v>0</v>
      </c>
      <c r="R126" s="2" t="inlineStr"/>
    </row>
    <row r="127" ht="15" customHeight="1">
      <c r="A127" t="inlineStr">
        <is>
          <t>A 51631-2023</t>
        </is>
      </c>
      <c r="B127" s="1" t="n">
        <v>45222.53628472222</v>
      </c>
      <c r="C127" s="1" t="n">
        <v>46160</v>
      </c>
      <c r="D127" t="inlineStr">
        <is>
          <t>NORRBOTTENS LÄN</t>
        </is>
      </c>
      <c r="E127" t="inlineStr">
        <is>
          <t>ARVIDSJAUR</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2309-2023</t>
        </is>
      </c>
      <c r="B128" s="1" t="n">
        <v>44942</v>
      </c>
      <c r="C128" s="1" t="n">
        <v>46160</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24184-2025</t>
        </is>
      </c>
      <c r="B129" s="1" t="n">
        <v>45796</v>
      </c>
      <c r="C129" s="1" t="n">
        <v>46160</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29677-2024</t>
        </is>
      </c>
      <c r="B130" s="1" t="n">
        <v>45484</v>
      </c>
      <c r="C130" s="1" t="n">
        <v>46160</v>
      </c>
      <c r="D130" t="inlineStr">
        <is>
          <t>NORRBOTTENS LÄN</t>
        </is>
      </c>
      <c r="E130" t="inlineStr">
        <is>
          <t>ARVIDSJAUR</t>
        </is>
      </c>
      <c r="F130" t="inlineStr">
        <is>
          <t>SCA</t>
        </is>
      </c>
      <c r="G130" t="n">
        <v>3.5</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46160</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46160</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46160</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24506-2025</t>
        </is>
      </c>
      <c r="B134" s="1" t="n">
        <v>45798</v>
      </c>
      <c r="C134" s="1" t="n">
        <v>46160</v>
      </c>
      <c r="D134" t="inlineStr">
        <is>
          <t>NORRBOTTENS LÄN</t>
        </is>
      </c>
      <c r="E134" t="inlineStr">
        <is>
          <t>ARVIDSJAUR</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39002-2025</t>
        </is>
      </c>
      <c r="B135" s="1" t="n">
        <v>45888</v>
      </c>
      <c r="C135" s="1" t="n">
        <v>46160</v>
      </c>
      <c r="D135" t="inlineStr">
        <is>
          <t>NORRBOTTENS LÄN</t>
        </is>
      </c>
      <c r="E135" t="inlineStr">
        <is>
          <t>ARVIDSJAUR</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45794-2024</t>
        </is>
      </c>
      <c r="B136" s="1" t="n">
        <v>45579.6725</v>
      </c>
      <c r="C136" s="1" t="n">
        <v>46160</v>
      </c>
      <c r="D136" t="inlineStr">
        <is>
          <t>NORRBOTTENS LÄN</t>
        </is>
      </c>
      <c r="E136" t="inlineStr">
        <is>
          <t>ARVIDSJAUR</t>
        </is>
      </c>
      <c r="F136" t="inlineStr">
        <is>
          <t>Sveaskog</t>
        </is>
      </c>
      <c r="G136" t="n">
        <v>37.7</v>
      </c>
      <c r="H136" t="n">
        <v>0</v>
      </c>
      <c r="I136" t="n">
        <v>0</v>
      </c>
      <c r="J136" t="n">
        <v>0</v>
      </c>
      <c r="K136" t="n">
        <v>0</v>
      </c>
      <c r="L136" t="n">
        <v>0</v>
      </c>
      <c r="M136" t="n">
        <v>0</v>
      </c>
      <c r="N136" t="n">
        <v>0</v>
      </c>
      <c r="O136" t="n">
        <v>0</v>
      </c>
      <c r="P136" t="n">
        <v>0</v>
      </c>
      <c r="Q136" t="n">
        <v>0</v>
      </c>
      <c r="R136" s="2" t="inlineStr"/>
    </row>
    <row r="137" ht="15" customHeight="1">
      <c r="A137" t="inlineStr">
        <is>
          <t>A 27944-2024</t>
        </is>
      </c>
      <c r="B137" s="1" t="n">
        <v>45476</v>
      </c>
      <c r="C137" s="1" t="n">
        <v>46160</v>
      </c>
      <c r="D137" t="inlineStr">
        <is>
          <t>NORRBOTTENS LÄN</t>
        </is>
      </c>
      <c r="E137" t="inlineStr">
        <is>
          <t>ARVIDSJAUR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2773-2025</t>
        </is>
      </c>
      <c r="B138" s="1" t="n">
        <v>45677.51043981482</v>
      </c>
      <c r="C138" s="1" t="n">
        <v>46160</v>
      </c>
      <c r="D138" t="inlineStr">
        <is>
          <t>NORRBOTTENS LÄN</t>
        </is>
      </c>
      <c r="E138" t="inlineStr">
        <is>
          <t>ARVIDSJAUR</t>
        </is>
      </c>
      <c r="G138" t="n">
        <v>2.8</v>
      </c>
      <c r="H138" t="n">
        <v>0</v>
      </c>
      <c r="I138" t="n">
        <v>0</v>
      </c>
      <c r="J138" t="n">
        <v>0</v>
      </c>
      <c r="K138" t="n">
        <v>0</v>
      </c>
      <c r="L138" t="n">
        <v>0</v>
      </c>
      <c r="M138" t="n">
        <v>0</v>
      </c>
      <c r="N138" t="n">
        <v>0</v>
      </c>
      <c r="O138" t="n">
        <v>0</v>
      </c>
      <c r="P138" t="n">
        <v>0</v>
      </c>
      <c r="Q138" t="n">
        <v>0</v>
      </c>
      <c r="R138" s="2" t="inlineStr"/>
    </row>
    <row r="139" ht="15" customHeight="1">
      <c r="A139" t="inlineStr">
        <is>
          <t>A 24923-2025</t>
        </is>
      </c>
      <c r="B139" s="1" t="n">
        <v>45799.55270833334</v>
      </c>
      <c r="C139" s="1" t="n">
        <v>46160</v>
      </c>
      <c r="D139" t="inlineStr">
        <is>
          <t>NORRBOTTENS LÄN</t>
        </is>
      </c>
      <c r="E139" t="inlineStr">
        <is>
          <t>ARVIDSJAUR</t>
        </is>
      </c>
      <c r="G139" t="n">
        <v>4.3</v>
      </c>
      <c r="H139" t="n">
        <v>0</v>
      </c>
      <c r="I139" t="n">
        <v>0</v>
      </c>
      <c r="J139" t="n">
        <v>0</v>
      </c>
      <c r="K139" t="n">
        <v>0</v>
      </c>
      <c r="L139" t="n">
        <v>0</v>
      </c>
      <c r="M139" t="n">
        <v>0</v>
      </c>
      <c r="N139" t="n">
        <v>0</v>
      </c>
      <c r="O139" t="n">
        <v>0</v>
      </c>
      <c r="P139" t="n">
        <v>0</v>
      </c>
      <c r="Q139" t="n">
        <v>0</v>
      </c>
      <c r="R139" s="2" t="inlineStr"/>
    </row>
    <row r="140" ht="15" customHeight="1">
      <c r="A140" t="inlineStr">
        <is>
          <t>A 39584-2025</t>
        </is>
      </c>
      <c r="B140" s="1" t="n">
        <v>45890</v>
      </c>
      <c r="C140" s="1" t="n">
        <v>46160</v>
      </c>
      <c r="D140" t="inlineStr">
        <is>
          <t>NORRBOTTENS LÄN</t>
        </is>
      </c>
      <c r="E140" t="inlineStr">
        <is>
          <t>ARVIDSJAUR</t>
        </is>
      </c>
      <c r="G140" t="n">
        <v>1.1</v>
      </c>
      <c r="H140" t="n">
        <v>0</v>
      </c>
      <c r="I140" t="n">
        <v>0</v>
      </c>
      <c r="J140" t="n">
        <v>0</v>
      </c>
      <c r="K140" t="n">
        <v>0</v>
      </c>
      <c r="L140" t="n">
        <v>0</v>
      </c>
      <c r="M140" t="n">
        <v>0</v>
      </c>
      <c r="N140" t="n">
        <v>0</v>
      </c>
      <c r="O140" t="n">
        <v>0</v>
      </c>
      <c r="P140" t="n">
        <v>0</v>
      </c>
      <c r="Q140" t="n">
        <v>0</v>
      </c>
      <c r="R140" s="2" t="inlineStr"/>
    </row>
    <row r="141" ht="15" customHeight="1">
      <c r="A141" t="inlineStr">
        <is>
          <t>A 29681-2024</t>
        </is>
      </c>
      <c r="B141" s="1" t="n">
        <v>45484.94334490741</v>
      </c>
      <c r="C141" s="1" t="n">
        <v>46160</v>
      </c>
      <c r="D141" t="inlineStr">
        <is>
          <t>NORRBOTTENS LÄN</t>
        </is>
      </c>
      <c r="E141" t="inlineStr">
        <is>
          <t>ARVIDSJAUR</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18780-2024</t>
        </is>
      </c>
      <c r="B142" s="1" t="n">
        <v>45426</v>
      </c>
      <c r="C142" s="1" t="n">
        <v>46160</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24922-2025</t>
        </is>
      </c>
      <c r="B143" s="1" t="n">
        <v>45799.55261574074</v>
      </c>
      <c r="C143" s="1" t="n">
        <v>46160</v>
      </c>
      <c r="D143" t="inlineStr">
        <is>
          <t>NORRBOTTENS LÄN</t>
        </is>
      </c>
      <c r="E143" t="inlineStr">
        <is>
          <t>ARVIDSJAUR</t>
        </is>
      </c>
      <c r="G143" t="n">
        <v>3.2</v>
      </c>
      <c r="H143" t="n">
        <v>0</v>
      </c>
      <c r="I143" t="n">
        <v>0</v>
      </c>
      <c r="J143" t="n">
        <v>0</v>
      </c>
      <c r="K143" t="n">
        <v>0</v>
      </c>
      <c r="L143" t="n">
        <v>0</v>
      </c>
      <c r="M143" t="n">
        <v>0</v>
      </c>
      <c r="N143" t="n">
        <v>0</v>
      </c>
      <c r="O143" t="n">
        <v>0</v>
      </c>
      <c r="P143" t="n">
        <v>0</v>
      </c>
      <c r="Q143" t="n">
        <v>0</v>
      </c>
      <c r="R143" s="2" t="inlineStr"/>
    </row>
    <row r="144" ht="15" customHeight="1">
      <c r="A144" t="inlineStr">
        <is>
          <t>A 25395-2022</t>
        </is>
      </c>
      <c r="B144" s="1" t="n">
        <v>44732</v>
      </c>
      <c r="C144" s="1" t="n">
        <v>46160</v>
      </c>
      <c r="D144" t="inlineStr">
        <is>
          <t>NORRBOTTENS LÄN</t>
        </is>
      </c>
      <c r="E144" t="inlineStr">
        <is>
          <t>ARVIDSJAUR</t>
        </is>
      </c>
      <c r="G144" t="n">
        <v>6</v>
      </c>
      <c r="H144" t="n">
        <v>0</v>
      </c>
      <c r="I144" t="n">
        <v>0</v>
      </c>
      <c r="J144" t="n">
        <v>0</v>
      </c>
      <c r="K144" t="n">
        <v>0</v>
      </c>
      <c r="L144" t="n">
        <v>0</v>
      </c>
      <c r="M144" t="n">
        <v>0</v>
      </c>
      <c r="N144" t="n">
        <v>0</v>
      </c>
      <c r="O144" t="n">
        <v>0</v>
      </c>
      <c r="P144" t="n">
        <v>0</v>
      </c>
      <c r="Q144" t="n">
        <v>0</v>
      </c>
      <c r="R144" s="2" t="inlineStr"/>
    </row>
    <row r="145" ht="15" customHeight="1">
      <c r="A145" t="inlineStr">
        <is>
          <t>A 44557-2023</t>
        </is>
      </c>
      <c r="B145" s="1" t="n">
        <v>45189.53853009259</v>
      </c>
      <c r="C145" s="1" t="n">
        <v>46160</v>
      </c>
      <c r="D145" t="inlineStr">
        <is>
          <t>NORRBOTTENS LÄN</t>
        </is>
      </c>
      <c r="E145" t="inlineStr">
        <is>
          <t>ARVIDSJAUR</t>
        </is>
      </c>
      <c r="F145" t="inlineStr">
        <is>
          <t>Sveaskog</t>
        </is>
      </c>
      <c r="G145" t="n">
        <v>3.8</v>
      </c>
      <c r="H145" t="n">
        <v>0</v>
      </c>
      <c r="I145" t="n">
        <v>0</v>
      </c>
      <c r="J145" t="n">
        <v>0</v>
      </c>
      <c r="K145" t="n">
        <v>0</v>
      </c>
      <c r="L145" t="n">
        <v>0</v>
      </c>
      <c r="M145" t="n">
        <v>0</v>
      </c>
      <c r="N145" t="n">
        <v>0</v>
      </c>
      <c r="O145" t="n">
        <v>0</v>
      </c>
      <c r="P145" t="n">
        <v>0</v>
      </c>
      <c r="Q145" t="n">
        <v>0</v>
      </c>
      <c r="R145" s="2" t="inlineStr"/>
    </row>
    <row r="146" ht="15" customHeight="1">
      <c r="A146" t="inlineStr">
        <is>
          <t>A 39402-2025</t>
        </is>
      </c>
      <c r="B146" s="1" t="n">
        <v>45889.6356712963</v>
      </c>
      <c r="C146" s="1" t="n">
        <v>46160</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39397-2025</t>
        </is>
      </c>
      <c r="B147" s="1" t="n">
        <v>45889.63354166667</v>
      </c>
      <c r="C147" s="1" t="n">
        <v>46160</v>
      </c>
      <c r="D147" t="inlineStr">
        <is>
          <t>NORRBOTTENS LÄN</t>
        </is>
      </c>
      <c r="E147" t="inlineStr">
        <is>
          <t>ARVIDSJAUR</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46160</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60516-2022</t>
        </is>
      </c>
      <c r="B149" s="1" t="n">
        <v>44911</v>
      </c>
      <c r="C149" s="1" t="n">
        <v>46160</v>
      </c>
      <c r="D149" t="inlineStr">
        <is>
          <t>NORRBOTTENS LÄN</t>
        </is>
      </c>
      <c r="E149" t="inlineStr">
        <is>
          <t>ARVIDSJAUR</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36815-2024</t>
        </is>
      </c>
      <c r="B150" s="1" t="n">
        <v>45538</v>
      </c>
      <c r="C150" s="1" t="n">
        <v>46160</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41313-2021</t>
        </is>
      </c>
      <c r="B151" s="1" t="n">
        <v>44424</v>
      </c>
      <c r="C151" s="1" t="n">
        <v>46160</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61133-2022</t>
        </is>
      </c>
      <c r="B152" s="1" t="n">
        <v>44915.44876157407</v>
      </c>
      <c r="C152" s="1" t="n">
        <v>46160</v>
      </c>
      <c r="D152" t="inlineStr">
        <is>
          <t>NORRBOTTENS LÄN</t>
        </is>
      </c>
      <c r="E152" t="inlineStr">
        <is>
          <t>ARVIDSJAUR</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46160</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26217-2025</t>
        </is>
      </c>
      <c r="B154" s="1" t="n">
        <v>45805.54646990741</v>
      </c>
      <c r="C154" s="1" t="n">
        <v>46160</v>
      </c>
      <c r="D154" t="inlineStr">
        <is>
          <t>NORRBOTTENS LÄN</t>
        </is>
      </c>
      <c r="E154" t="inlineStr">
        <is>
          <t>ARVIDSJAUR</t>
        </is>
      </c>
      <c r="F154" t="inlineStr">
        <is>
          <t>Sveaskog</t>
        </is>
      </c>
      <c r="G154" t="n">
        <v>9.5</v>
      </c>
      <c r="H154" t="n">
        <v>0</v>
      </c>
      <c r="I154" t="n">
        <v>0</v>
      </c>
      <c r="J154" t="n">
        <v>0</v>
      </c>
      <c r="K154" t="n">
        <v>0</v>
      </c>
      <c r="L154" t="n">
        <v>0</v>
      </c>
      <c r="M154" t="n">
        <v>0</v>
      </c>
      <c r="N154" t="n">
        <v>0</v>
      </c>
      <c r="O154" t="n">
        <v>0</v>
      </c>
      <c r="P154" t="n">
        <v>0</v>
      </c>
      <c r="Q154" t="n">
        <v>0</v>
      </c>
      <c r="R154" s="2" t="inlineStr"/>
    </row>
    <row r="155" ht="15" customHeight="1">
      <c r="A155" t="inlineStr">
        <is>
          <t>A 48363-2024</t>
        </is>
      </c>
      <c r="B155" s="1" t="n">
        <v>45590.57452546297</v>
      </c>
      <c r="C155" s="1" t="n">
        <v>46160</v>
      </c>
      <c r="D155" t="inlineStr">
        <is>
          <t>NORRBOTTENS LÄN</t>
        </is>
      </c>
      <c r="E155" t="inlineStr">
        <is>
          <t>ARVIDSJAUR</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46160</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26211-2025</t>
        </is>
      </c>
      <c r="B157" s="1" t="n">
        <v>45805.54035879629</v>
      </c>
      <c r="C157" s="1" t="n">
        <v>46160</v>
      </c>
      <c r="D157" t="inlineStr">
        <is>
          <t>NORRBOTTENS LÄN</t>
        </is>
      </c>
      <c r="E157" t="inlineStr">
        <is>
          <t>ARVIDSJAUR</t>
        </is>
      </c>
      <c r="F157" t="inlineStr">
        <is>
          <t>Sveaskog</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26218-2025</t>
        </is>
      </c>
      <c r="B158" s="1" t="n">
        <v>45805.54811342592</v>
      </c>
      <c r="C158" s="1" t="n">
        <v>46160</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33084-2024</t>
        </is>
      </c>
      <c r="B159" s="1" t="n">
        <v>45517</v>
      </c>
      <c r="C159" s="1" t="n">
        <v>46160</v>
      </c>
      <c r="D159" t="inlineStr">
        <is>
          <t>NORRBOTTENS LÄN</t>
        </is>
      </c>
      <c r="E159" t="inlineStr">
        <is>
          <t>ARVIDSJAUR</t>
        </is>
      </c>
      <c r="G159" t="n">
        <v>0.5</v>
      </c>
      <c r="H159" t="n">
        <v>0</v>
      </c>
      <c r="I159" t="n">
        <v>0</v>
      </c>
      <c r="J159" t="n">
        <v>0</v>
      </c>
      <c r="K159" t="n">
        <v>0</v>
      </c>
      <c r="L159" t="n">
        <v>0</v>
      </c>
      <c r="M159" t="n">
        <v>0</v>
      </c>
      <c r="N159" t="n">
        <v>0</v>
      </c>
      <c r="O159" t="n">
        <v>0</v>
      </c>
      <c r="P159" t="n">
        <v>0</v>
      </c>
      <c r="Q159" t="n">
        <v>0</v>
      </c>
      <c r="R159" s="2" t="inlineStr"/>
    </row>
    <row r="160" ht="15" customHeight="1">
      <c r="A160" t="inlineStr">
        <is>
          <t>A 20403-2022</t>
        </is>
      </c>
      <c r="B160" s="1" t="n">
        <v>44699</v>
      </c>
      <c r="C160" s="1" t="n">
        <v>46160</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23580-2021</t>
        </is>
      </c>
      <c r="B161" s="1" t="n">
        <v>44334</v>
      </c>
      <c r="C161" s="1" t="n">
        <v>46160</v>
      </c>
      <c r="D161" t="inlineStr">
        <is>
          <t>NORRBOTTENS LÄN</t>
        </is>
      </c>
      <c r="E161" t="inlineStr">
        <is>
          <t>ARVIDSJAUR</t>
        </is>
      </c>
      <c r="G161" t="n">
        <v>0.7</v>
      </c>
      <c r="H161" t="n">
        <v>0</v>
      </c>
      <c r="I161" t="n">
        <v>0</v>
      </c>
      <c r="J161" t="n">
        <v>0</v>
      </c>
      <c r="K161" t="n">
        <v>0</v>
      </c>
      <c r="L161" t="n">
        <v>0</v>
      </c>
      <c r="M161" t="n">
        <v>0</v>
      </c>
      <c r="N161" t="n">
        <v>0</v>
      </c>
      <c r="O161" t="n">
        <v>0</v>
      </c>
      <c r="P161" t="n">
        <v>0</v>
      </c>
      <c r="Q161" t="n">
        <v>0</v>
      </c>
      <c r="R161" s="2" t="inlineStr"/>
    </row>
    <row r="162" ht="15" customHeight="1">
      <c r="A162" t="inlineStr">
        <is>
          <t>A 46181-2021</t>
        </is>
      </c>
      <c r="B162" s="1" t="n">
        <v>44441</v>
      </c>
      <c r="C162" s="1" t="n">
        <v>46160</v>
      </c>
      <c r="D162" t="inlineStr">
        <is>
          <t>NORRBOTTENS LÄN</t>
        </is>
      </c>
      <c r="E162" t="inlineStr">
        <is>
          <t>ARVIDSJAUR</t>
        </is>
      </c>
      <c r="G162" t="n">
        <v>6.5</v>
      </c>
      <c r="H162" t="n">
        <v>0</v>
      </c>
      <c r="I162" t="n">
        <v>0</v>
      </c>
      <c r="J162" t="n">
        <v>0</v>
      </c>
      <c r="K162" t="n">
        <v>0</v>
      </c>
      <c r="L162" t="n">
        <v>0</v>
      </c>
      <c r="M162" t="n">
        <v>0</v>
      </c>
      <c r="N162" t="n">
        <v>0</v>
      </c>
      <c r="O162" t="n">
        <v>0</v>
      </c>
      <c r="P162" t="n">
        <v>0</v>
      </c>
      <c r="Q162" t="n">
        <v>0</v>
      </c>
      <c r="R162" s="2" t="inlineStr"/>
    </row>
    <row r="163" ht="15" customHeight="1">
      <c r="A163" t="inlineStr">
        <is>
          <t>A 26213-2025</t>
        </is>
      </c>
      <c r="B163" s="1" t="n">
        <v>45805.54270833333</v>
      </c>
      <c r="C163" s="1" t="n">
        <v>46160</v>
      </c>
      <c r="D163" t="inlineStr">
        <is>
          <t>NORRBOTTENS LÄN</t>
        </is>
      </c>
      <c r="E163" t="inlineStr">
        <is>
          <t>ARVIDSJAUR</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26214-2025</t>
        </is>
      </c>
      <c r="B164" s="1" t="n">
        <v>45805.54394675926</v>
      </c>
      <c r="C164" s="1" t="n">
        <v>46160</v>
      </c>
      <c r="D164" t="inlineStr">
        <is>
          <t>NORRBOTTENS LÄN</t>
        </is>
      </c>
      <c r="E164" t="inlineStr">
        <is>
          <t>ARVIDSJAUR</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40836-2025</t>
        </is>
      </c>
      <c r="B165" s="1" t="n">
        <v>45896</v>
      </c>
      <c r="C165" s="1" t="n">
        <v>46160</v>
      </c>
      <c r="D165" t="inlineStr">
        <is>
          <t>NORRBOTTENS LÄN</t>
        </is>
      </c>
      <c r="E165" t="inlineStr">
        <is>
          <t>ARVIDSJAUR</t>
        </is>
      </c>
      <c r="G165" t="n">
        <v>26.9</v>
      </c>
      <c r="H165" t="n">
        <v>0</v>
      </c>
      <c r="I165" t="n">
        <v>0</v>
      </c>
      <c r="J165" t="n">
        <v>0</v>
      </c>
      <c r="K165" t="n">
        <v>0</v>
      </c>
      <c r="L165" t="n">
        <v>0</v>
      </c>
      <c r="M165" t="n">
        <v>0</v>
      </c>
      <c r="N165" t="n">
        <v>0</v>
      </c>
      <c r="O165" t="n">
        <v>0</v>
      </c>
      <c r="P165" t="n">
        <v>0</v>
      </c>
      <c r="Q165" t="n">
        <v>0</v>
      </c>
      <c r="R165" s="2" t="inlineStr"/>
    </row>
    <row r="166" ht="15" customHeight="1">
      <c r="A166" t="inlineStr">
        <is>
          <t>A 36417-2022</t>
        </is>
      </c>
      <c r="B166" s="1" t="n">
        <v>44804</v>
      </c>
      <c r="C166" s="1" t="n">
        <v>46160</v>
      </c>
      <c r="D166" t="inlineStr">
        <is>
          <t>NORRBOTTENS LÄN</t>
        </is>
      </c>
      <c r="E166" t="inlineStr">
        <is>
          <t>ARVIDSJAUR</t>
        </is>
      </c>
      <c r="G166" t="n">
        <v>1.7</v>
      </c>
      <c r="H166" t="n">
        <v>0</v>
      </c>
      <c r="I166" t="n">
        <v>0</v>
      </c>
      <c r="J166" t="n">
        <v>0</v>
      </c>
      <c r="K166" t="n">
        <v>0</v>
      </c>
      <c r="L166" t="n">
        <v>0</v>
      </c>
      <c r="M166" t="n">
        <v>0</v>
      </c>
      <c r="N166" t="n">
        <v>0</v>
      </c>
      <c r="O166" t="n">
        <v>0</v>
      </c>
      <c r="P166" t="n">
        <v>0</v>
      </c>
      <c r="Q166" t="n">
        <v>0</v>
      </c>
      <c r="R166" s="2" t="inlineStr"/>
    </row>
    <row r="167" ht="15" customHeight="1">
      <c r="A167" t="inlineStr">
        <is>
          <t>A 2392-2025</t>
        </is>
      </c>
      <c r="B167" s="1" t="n">
        <v>45674</v>
      </c>
      <c r="C167" s="1" t="n">
        <v>46160</v>
      </c>
      <c r="D167" t="inlineStr">
        <is>
          <t>NORRBOTTENS LÄN</t>
        </is>
      </c>
      <c r="E167" t="inlineStr">
        <is>
          <t>ARVIDSJAUR</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42862-2024</t>
        </is>
      </c>
      <c r="B168" s="1" t="n">
        <v>45566</v>
      </c>
      <c r="C168" s="1" t="n">
        <v>46160</v>
      </c>
      <c r="D168" t="inlineStr">
        <is>
          <t>NORRBOTTENS LÄN</t>
        </is>
      </c>
      <c r="E168" t="inlineStr">
        <is>
          <t>ARVIDSJAUR</t>
        </is>
      </c>
      <c r="F168" t="inlineStr">
        <is>
          <t>Sveaskog</t>
        </is>
      </c>
      <c r="G168" t="n">
        <v>26.6</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46160</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36791-2024</t>
        </is>
      </c>
      <c r="B170" s="1" t="n">
        <v>45538</v>
      </c>
      <c r="C170" s="1" t="n">
        <v>46160</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41201-2025</t>
        </is>
      </c>
      <c r="B171" s="1" t="n">
        <v>45898</v>
      </c>
      <c r="C171" s="1" t="n">
        <v>46160</v>
      </c>
      <c r="D171" t="inlineStr">
        <is>
          <t>NORRBOTTENS LÄN</t>
        </is>
      </c>
      <c r="E171" t="inlineStr">
        <is>
          <t>ARVIDSJAUR</t>
        </is>
      </c>
      <c r="G171" t="n">
        <v>9.4</v>
      </c>
      <c r="H171" t="n">
        <v>0</v>
      </c>
      <c r="I171" t="n">
        <v>0</v>
      </c>
      <c r="J171" t="n">
        <v>0</v>
      </c>
      <c r="K171" t="n">
        <v>0</v>
      </c>
      <c r="L171" t="n">
        <v>0</v>
      </c>
      <c r="M171" t="n">
        <v>0</v>
      </c>
      <c r="N171" t="n">
        <v>0</v>
      </c>
      <c r="O171" t="n">
        <v>0</v>
      </c>
      <c r="P171" t="n">
        <v>0</v>
      </c>
      <c r="Q171" t="n">
        <v>0</v>
      </c>
      <c r="R171" s="2" t="inlineStr"/>
    </row>
    <row r="172" ht="15" customHeight="1">
      <c r="A172" t="inlineStr">
        <is>
          <t>A 56332-2025</t>
        </is>
      </c>
      <c r="B172" s="1" t="n">
        <v>45974</v>
      </c>
      <c r="C172" s="1" t="n">
        <v>46160</v>
      </c>
      <c r="D172" t="inlineStr">
        <is>
          <t>NORRBOTTENS LÄN</t>
        </is>
      </c>
      <c r="E172" t="inlineStr">
        <is>
          <t>ARVIDSJAUR</t>
        </is>
      </c>
      <c r="G172" t="n">
        <v>14.9</v>
      </c>
      <c r="H172" t="n">
        <v>0</v>
      </c>
      <c r="I172" t="n">
        <v>0</v>
      </c>
      <c r="J172" t="n">
        <v>0</v>
      </c>
      <c r="K172" t="n">
        <v>0</v>
      </c>
      <c r="L172" t="n">
        <v>0</v>
      </c>
      <c r="M172" t="n">
        <v>0</v>
      </c>
      <c r="N172" t="n">
        <v>0</v>
      </c>
      <c r="O172" t="n">
        <v>0</v>
      </c>
      <c r="P172" t="n">
        <v>0</v>
      </c>
      <c r="Q172" t="n">
        <v>0</v>
      </c>
      <c r="R172" s="2" t="inlineStr"/>
    </row>
    <row r="173" ht="15" customHeight="1">
      <c r="A173" t="inlineStr">
        <is>
          <t>A 60888-2021</t>
        </is>
      </c>
      <c r="B173" s="1" t="n">
        <v>44497</v>
      </c>
      <c r="C173" s="1" t="n">
        <v>46160</v>
      </c>
      <c r="D173" t="inlineStr">
        <is>
          <t>NORRBOTTENS LÄN</t>
        </is>
      </c>
      <c r="E173" t="inlineStr">
        <is>
          <t>ARVIDSJAUR</t>
        </is>
      </c>
      <c r="F173" t="inlineStr">
        <is>
          <t>Sveaskog</t>
        </is>
      </c>
      <c r="G173" t="n">
        <v>12.1</v>
      </c>
      <c r="H173" t="n">
        <v>0</v>
      </c>
      <c r="I173" t="n">
        <v>0</v>
      </c>
      <c r="J173" t="n">
        <v>0</v>
      </c>
      <c r="K173" t="n">
        <v>0</v>
      </c>
      <c r="L173" t="n">
        <v>0</v>
      </c>
      <c r="M173" t="n">
        <v>0</v>
      </c>
      <c r="N173" t="n">
        <v>0</v>
      </c>
      <c r="O173" t="n">
        <v>0</v>
      </c>
      <c r="P173" t="n">
        <v>0</v>
      </c>
      <c r="Q173" t="n">
        <v>0</v>
      </c>
      <c r="R173" s="2" t="inlineStr"/>
    </row>
    <row r="174" ht="15" customHeight="1">
      <c r="A174" t="inlineStr">
        <is>
          <t>A 41210-2025</t>
        </is>
      </c>
      <c r="B174" s="1" t="n">
        <v>45898</v>
      </c>
      <c r="C174" s="1" t="n">
        <v>46160</v>
      </c>
      <c r="D174" t="inlineStr">
        <is>
          <t>NORRBOTTENS LÄN</t>
        </is>
      </c>
      <c r="E174" t="inlineStr">
        <is>
          <t>ARVIDSJAUR</t>
        </is>
      </c>
      <c r="G174" t="n">
        <v>12.1</v>
      </c>
      <c r="H174" t="n">
        <v>0</v>
      </c>
      <c r="I174" t="n">
        <v>0</v>
      </c>
      <c r="J174" t="n">
        <v>0</v>
      </c>
      <c r="K174" t="n">
        <v>0</v>
      </c>
      <c r="L174" t="n">
        <v>0</v>
      </c>
      <c r="M174" t="n">
        <v>0</v>
      </c>
      <c r="N174" t="n">
        <v>0</v>
      </c>
      <c r="O174" t="n">
        <v>0</v>
      </c>
      <c r="P174" t="n">
        <v>0</v>
      </c>
      <c r="Q174" t="n">
        <v>0</v>
      </c>
      <c r="R174" s="2" t="inlineStr"/>
    </row>
    <row r="175" ht="15" customHeight="1">
      <c r="A175" t="inlineStr">
        <is>
          <t>A 50303-2022</t>
        </is>
      </c>
      <c r="B175" s="1" t="n">
        <v>44865</v>
      </c>
      <c r="C175" s="1" t="n">
        <v>46160</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46160</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4934-2024</t>
        </is>
      </c>
      <c r="B177" s="1" t="n">
        <v>45329</v>
      </c>
      <c r="C177" s="1" t="n">
        <v>46160</v>
      </c>
      <c r="D177" t="inlineStr">
        <is>
          <t>NORRBOTTENS LÄN</t>
        </is>
      </c>
      <c r="E177" t="inlineStr">
        <is>
          <t>ARVIDSJAUR</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467-2026</t>
        </is>
      </c>
      <c r="B178" s="1" t="n">
        <v>46029.38594907407</v>
      </c>
      <c r="C178" s="1" t="n">
        <v>46160</v>
      </c>
      <c r="D178" t="inlineStr">
        <is>
          <t>NORRBOTTENS LÄN</t>
        </is>
      </c>
      <c r="E178" t="inlineStr">
        <is>
          <t>ARVIDSJAUR</t>
        </is>
      </c>
      <c r="G178" t="n">
        <v>2.8</v>
      </c>
      <c r="H178" t="n">
        <v>0</v>
      </c>
      <c r="I178" t="n">
        <v>0</v>
      </c>
      <c r="J178" t="n">
        <v>0</v>
      </c>
      <c r="K178" t="n">
        <v>0</v>
      </c>
      <c r="L178" t="n">
        <v>0</v>
      </c>
      <c r="M178" t="n">
        <v>0</v>
      </c>
      <c r="N178" t="n">
        <v>0</v>
      </c>
      <c r="O178" t="n">
        <v>0</v>
      </c>
      <c r="P178" t="n">
        <v>0</v>
      </c>
      <c r="Q178" t="n">
        <v>0</v>
      </c>
      <c r="R178" s="2" t="inlineStr"/>
    </row>
    <row r="179" ht="15" customHeight="1">
      <c r="A179" t="inlineStr">
        <is>
          <t>A 28353-2025</t>
        </is>
      </c>
      <c r="B179" s="1" t="n">
        <v>45818</v>
      </c>
      <c r="C179" s="1" t="n">
        <v>46160</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28356-2025</t>
        </is>
      </c>
      <c r="B180" s="1" t="n">
        <v>45818</v>
      </c>
      <c r="C180" s="1" t="n">
        <v>46160</v>
      </c>
      <c r="D180" t="inlineStr">
        <is>
          <t>NORRBOTTENS LÄN</t>
        </is>
      </c>
      <c r="E180" t="inlineStr">
        <is>
          <t>ARVIDSJAUR</t>
        </is>
      </c>
      <c r="G180" t="n">
        <v>1.1</v>
      </c>
      <c r="H180" t="n">
        <v>0</v>
      </c>
      <c r="I180" t="n">
        <v>0</v>
      </c>
      <c r="J180" t="n">
        <v>0</v>
      </c>
      <c r="K180" t="n">
        <v>0</v>
      </c>
      <c r="L180" t="n">
        <v>0</v>
      </c>
      <c r="M180" t="n">
        <v>0</v>
      </c>
      <c r="N180" t="n">
        <v>0</v>
      </c>
      <c r="O180" t="n">
        <v>0</v>
      </c>
      <c r="P180" t="n">
        <v>0</v>
      </c>
      <c r="Q180" t="n">
        <v>0</v>
      </c>
      <c r="R180" s="2" t="inlineStr"/>
    </row>
    <row r="181" ht="15" customHeight="1">
      <c r="A181" t="inlineStr">
        <is>
          <t>A 28357-2025</t>
        </is>
      </c>
      <c r="B181" s="1" t="n">
        <v>45818</v>
      </c>
      <c r="C181" s="1" t="n">
        <v>46160</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38472-2024</t>
        </is>
      </c>
      <c r="B182" s="1" t="n">
        <v>45546</v>
      </c>
      <c r="C182" s="1" t="n">
        <v>46160</v>
      </c>
      <c r="D182" t="inlineStr">
        <is>
          <t>NORRBOTTENS LÄN</t>
        </is>
      </c>
      <c r="E182" t="inlineStr">
        <is>
          <t>ARVIDSJAUR</t>
        </is>
      </c>
      <c r="G182" t="n">
        <v>3.6</v>
      </c>
      <c r="H182" t="n">
        <v>0</v>
      </c>
      <c r="I182" t="n">
        <v>0</v>
      </c>
      <c r="J182" t="n">
        <v>0</v>
      </c>
      <c r="K182" t="n">
        <v>0</v>
      </c>
      <c r="L182" t="n">
        <v>0</v>
      </c>
      <c r="M182" t="n">
        <v>0</v>
      </c>
      <c r="N182" t="n">
        <v>0</v>
      </c>
      <c r="O182" t="n">
        <v>0</v>
      </c>
      <c r="P182" t="n">
        <v>0</v>
      </c>
      <c r="Q182" t="n">
        <v>0</v>
      </c>
      <c r="R182" s="2" t="inlineStr"/>
    </row>
    <row r="183" ht="15" customHeight="1">
      <c r="A183" t="inlineStr">
        <is>
          <t>A 1620-2026</t>
        </is>
      </c>
      <c r="B183" s="1" t="n">
        <v>46034.47487268518</v>
      </c>
      <c r="C183" s="1" t="n">
        <v>46160</v>
      </c>
      <c r="D183" t="inlineStr">
        <is>
          <t>NORRBOTTENS LÄN</t>
        </is>
      </c>
      <c r="E183" t="inlineStr">
        <is>
          <t>ARVIDSJAUR</t>
        </is>
      </c>
      <c r="F183" t="inlineStr">
        <is>
          <t>Allmännings- och besparingsskogar</t>
        </is>
      </c>
      <c r="G183" t="n">
        <v>5.9</v>
      </c>
      <c r="H183" t="n">
        <v>0</v>
      </c>
      <c r="I183" t="n">
        <v>0</v>
      </c>
      <c r="J183" t="n">
        <v>0</v>
      </c>
      <c r="K183" t="n">
        <v>0</v>
      </c>
      <c r="L183" t="n">
        <v>0</v>
      </c>
      <c r="M183" t="n">
        <v>0</v>
      </c>
      <c r="N183" t="n">
        <v>0</v>
      </c>
      <c r="O183" t="n">
        <v>0</v>
      </c>
      <c r="P183" t="n">
        <v>0</v>
      </c>
      <c r="Q183" t="n">
        <v>0</v>
      </c>
      <c r="R183" s="2" t="inlineStr"/>
    </row>
    <row r="184" ht="15" customHeight="1">
      <c r="A184" t="inlineStr">
        <is>
          <t>A 28892-2025</t>
        </is>
      </c>
      <c r="B184" s="1" t="n">
        <v>45820.63246527778</v>
      </c>
      <c r="C184" s="1" t="n">
        <v>46160</v>
      </c>
      <c r="D184" t="inlineStr">
        <is>
          <t>NORRBOTTENS LÄN</t>
        </is>
      </c>
      <c r="E184" t="inlineStr">
        <is>
          <t>ARVIDSJAUR</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28894-2025</t>
        </is>
      </c>
      <c r="B185" s="1" t="n">
        <v>45820.63534722223</v>
      </c>
      <c r="C185" s="1" t="n">
        <v>46160</v>
      </c>
      <c r="D185" t="inlineStr">
        <is>
          <t>NORRBOTTENS LÄN</t>
        </is>
      </c>
      <c r="E185" t="inlineStr">
        <is>
          <t>ARVIDSJAUR</t>
        </is>
      </c>
      <c r="F185" t="inlineStr">
        <is>
          <t>Sveaskog</t>
        </is>
      </c>
      <c r="G185" t="n">
        <v>14.2</v>
      </c>
      <c r="H185" t="n">
        <v>0</v>
      </c>
      <c r="I185" t="n">
        <v>0</v>
      </c>
      <c r="J185" t="n">
        <v>0</v>
      </c>
      <c r="K185" t="n">
        <v>0</v>
      </c>
      <c r="L185" t="n">
        <v>0</v>
      </c>
      <c r="M185" t="n">
        <v>0</v>
      </c>
      <c r="N185" t="n">
        <v>0</v>
      </c>
      <c r="O185" t="n">
        <v>0</v>
      </c>
      <c r="P185" t="n">
        <v>0</v>
      </c>
      <c r="Q185" t="n">
        <v>0</v>
      </c>
      <c r="R185" s="2" t="inlineStr"/>
    </row>
    <row r="186" ht="15" customHeight="1">
      <c r="A186" t="inlineStr">
        <is>
          <t>A 1707-2026</t>
        </is>
      </c>
      <c r="B186" s="1" t="n">
        <v>46034.5994212963</v>
      </c>
      <c r="C186" s="1" t="n">
        <v>46160</v>
      </c>
      <c r="D186" t="inlineStr">
        <is>
          <t>NORRBOTTENS LÄN</t>
        </is>
      </c>
      <c r="E186" t="inlineStr">
        <is>
          <t>ARVIDSJAUR</t>
        </is>
      </c>
      <c r="F186" t="inlineStr">
        <is>
          <t>Allmännings- och besparingsskogar</t>
        </is>
      </c>
      <c r="G186" t="n">
        <v>25.5</v>
      </c>
      <c r="H186" t="n">
        <v>0</v>
      </c>
      <c r="I186" t="n">
        <v>0</v>
      </c>
      <c r="J186" t="n">
        <v>0</v>
      </c>
      <c r="K186" t="n">
        <v>0</v>
      </c>
      <c r="L186" t="n">
        <v>0</v>
      </c>
      <c r="M186" t="n">
        <v>0</v>
      </c>
      <c r="N186" t="n">
        <v>0</v>
      </c>
      <c r="O186" t="n">
        <v>0</v>
      </c>
      <c r="P186" t="n">
        <v>0</v>
      </c>
      <c r="Q186" t="n">
        <v>0</v>
      </c>
      <c r="R186" s="2" t="inlineStr"/>
    </row>
    <row r="187" ht="15" customHeight="1">
      <c r="A187" t="inlineStr">
        <is>
          <t>A 1493-2026</t>
        </is>
      </c>
      <c r="B187" s="1" t="n">
        <v>46034</v>
      </c>
      <c r="C187" s="1" t="n">
        <v>46160</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10130-2024</t>
        </is>
      </c>
      <c r="B188" s="1" t="n">
        <v>45364</v>
      </c>
      <c r="C188" s="1" t="n">
        <v>46160</v>
      </c>
      <c r="D188" t="inlineStr">
        <is>
          <t>NORRBOTTENS LÄN</t>
        </is>
      </c>
      <c r="E188" t="inlineStr">
        <is>
          <t>ARVIDSJAUR</t>
        </is>
      </c>
      <c r="F188" t="inlineStr">
        <is>
          <t>Sveaskog</t>
        </is>
      </c>
      <c r="G188" t="n">
        <v>22.5</v>
      </c>
      <c r="H188" t="n">
        <v>0</v>
      </c>
      <c r="I188" t="n">
        <v>0</v>
      </c>
      <c r="J188" t="n">
        <v>0</v>
      </c>
      <c r="K188" t="n">
        <v>0</v>
      </c>
      <c r="L188" t="n">
        <v>0</v>
      </c>
      <c r="M188" t="n">
        <v>0</v>
      </c>
      <c r="N188" t="n">
        <v>0</v>
      </c>
      <c r="O188" t="n">
        <v>0</v>
      </c>
      <c r="P188" t="n">
        <v>0</v>
      </c>
      <c r="Q188" t="n">
        <v>0</v>
      </c>
      <c r="R188" s="2" t="inlineStr"/>
    </row>
    <row r="189" ht="15" customHeight="1">
      <c r="A189" t="inlineStr">
        <is>
          <t>A 29241-2025</t>
        </is>
      </c>
      <c r="B189" s="1" t="n">
        <v>45824</v>
      </c>
      <c r="C189" s="1" t="n">
        <v>46160</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43165-2025</t>
        </is>
      </c>
      <c r="B190" s="1" t="n">
        <v>45910.37789351852</v>
      </c>
      <c r="C190" s="1" t="n">
        <v>46160</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28954-2025</t>
        </is>
      </c>
      <c r="B191" s="1" t="n">
        <v>45821.28777777778</v>
      </c>
      <c r="C191" s="1" t="n">
        <v>46160</v>
      </c>
      <c r="D191" t="inlineStr">
        <is>
          <t>NORRBOTTENS LÄN</t>
        </is>
      </c>
      <c r="E191" t="inlineStr">
        <is>
          <t>ARVIDSJAUR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2299-2026</t>
        </is>
      </c>
      <c r="B192" s="1" t="n">
        <v>46034</v>
      </c>
      <c r="C192" s="1" t="n">
        <v>46160</v>
      </c>
      <c r="D192" t="inlineStr">
        <is>
          <t>NORRBOTTENS LÄN</t>
        </is>
      </c>
      <c r="E192" t="inlineStr">
        <is>
          <t>ARVIDSJAUR</t>
        </is>
      </c>
      <c r="F192" t="inlineStr">
        <is>
          <t>Allmännings- och besparingsskogar</t>
        </is>
      </c>
      <c r="G192" t="n">
        <v>11.3</v>
      </c>
      <c r="H192" t="n">
        <v>0</v>
      </c>
      <c r="I192" t="n">
        <v>0</v>
      </c>
      <c r="J192" t="n">
        <v>0</v>
      </c>
      <c r="K192" t="n">
        <v>0</v>
      </c>
      <c r="L192" t="n">
        <v>0</v>
      </c>
      <c r="M192" t="n">
        <v>0</v>
      </c>
      <c r="N192" t="n">
        <v>0</v>
      </c>
      <c r="O192" t="n">
        <v>0</v>
      </c>
      <c r="P192" t="n">
        <v>0</v>
      </c>
      <c r="Q192" t="n">
        <v>0</v>
      </c>
      <c r="R192" s="2" t="inlineStr"/>
    </row>
    <row r="193" ht="15" customHeight="1">
      <c r="A193" t="inlineStr">
        <is>
          <t>A 1914-2026</t>
        </is>
      </c>
      <c r="B193" s="1" t="n">
        <v>46035.5578125</v>
      </c>
      <c r="C193" s="1" t="n">
        <v>46160</v>
      </c>
      <c r="D193" t="inlineStr">
        <is>
          <t>NORRBOTTENS LÄN</t>
        </is>
      </c>
      <c r="E193" t="inlineStr">
        <is>
          <t>ARVIDSJAUR</t>
        </is>
      </c>
      <c r="F193" t="inlineStr">
        <is>
          <t>Allmännings- och besparingsskogar</t>
        </is>
      </c>
      <c r="G193" t="n">
        <v>8.1</v>
      </c>
      <c r="H193" t="n">
        <v>0</v>
      </c>
      <c r="I193" t="n">
        <v>0</v>
      </c>
      <c r="J193" t="n">
        <v>0</v>
      </c>
      <c r="K193" t="n">
        <v>0</v>
      </c>
      <c r="L193" t="n">
        <v>0</v>
      </c>
      <c r="M193" t="n">
        <v>0</v>
      </c>
      <c r="N193" t="n">
        <v>0</v>
      </c>
      <c r="O193" t="n">
        <v>0</v>
      </c>
      <c r="P193" t="n">
        <v>0</v>
      </c>
      <c r="Q193" t="n">
        <v>0</v>
      </c>
      <c r="R193" s="2" t="inlineStr"/>
    </row>
    <row r="194" ht="15" customHeight="1">
      <c r="A194" t="inlineStr">
        <is>
          <t>A 43184-2025</t>
        </is>
      </c>
      <c r="B194" s="1" t="n">
        <v>45910.41050925926</v>
      </c>
      <c r="C194" s="1" t="n">
        <v>46160</v>
      </c>
      <c r="D194" t="inlineStr">
        <is>
          <t>NORRBOTTENS LÄN</t>
        </is>
      </c>
      <c r="E194" t="inlineStr">
        <is>
          <t>ARVIDSJAUR</t>
        </is>
      </c>
      <c r="F194" t="inlineStr">
        <is>
          <t>Sveaskog</t>
        </is>
      </c>
      <c r="G194" t="n">
        <v>18.8</v>
      </c>
      <c r="H194" t="n">
        <v>0</v>
      </c>
      <c r="I194" t="n">
        <v>0</v>
      </c>
      <c r="J194" t="n">
        <v>0</v>
      </c>
      <c r="K194" t="n">
        <v>0</v>
      </c>
      <c r="L194" t="n">
        <v>0</v>
      </c>
      <c r="M194" t="n">
        <v>0</v>
      </c>
      <c r="N194" t="n">
        <v>0</v>
      </c>
      <c r="O194" t="n">
        <v>0</v>
      </c>
      <c r="P194" t="n">
        <v>0</v>
      </c>
      <c r="Q194" t="n">
        <v>0</v>
      </c>
      <c r="R194" s="2" t="inlineStr"/>
    </row>
    <row r="195" ht="15" customHeight="1">
      <c r="A195" t="inlineStr">
        <is>
          <t>A 43198-2025</t>
        </is>
      </c>
      <c r="B195" s="1" t="n">
        <v>45910.43453703704</v>
      </c>
      <c r="C195" s="1" t="n">
        <v>46160</v>
      </c>
      <c r="D195" t="inlineStr">
        <is>
          <t>NORRBOTTENS LÄN</t>
        </is>
      </c>
      <c r="E195" t="inlineStr">
        <is>
          <t>ARVIDSJAUR</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46160</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46160</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49141-2022</t>
        </is>
      </c>
      <c r="B198" s="1" t="n">
        <v>44860</v>
      </c>
      <c r="C198" s="1" t="n">
        <v>46160</v>
      </c>
      <c r="D198" t="inlineStr">
        <is>
          <t>NORRBOTTENS LÄN</t>
        </is>
      </c>
      <c r="E198" t="inlineStr">
        <is>
          <t>ARVIDSJAUR</t>
        </is>
      </c>
      <c r="G198" t="n">
        <v>4</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46160</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29518-2025</t>
        </is>
      </c>
      <c r="B200" s="1" t="n">
        <v>45825.32150462963</v>
      </c>
      <c r="C200" s="1" t="n">
        <v>46160</v>
      </c>
      <c r="D200" t="inlineStr">
        <is>
          <t>NORRBOTTENS LÄN</t>
        </is>
      </c>
      <c r="E200" t="inlineStr">
        <is>
          <t>ARVIDSJAUR</t>
        </is>
      </c>
      <c r="F200" t="inlineStr">
        <is>
          <t>Sveaskog</t>
        </is>
      </c>
      <c r="G200" t="n">
        <v>13.3</v>
      </c>
      <c r="H200" t="n">
        <v>0</v>
      </c>
      <c r="I200" t="n">
        <v>0</v>
      </c>
      <c r="J200" t="n">
        <v>0</v>
      </c>
      <c r="K200" t="n">
        <v>0</v>
      </c>
      <c r="L200" t="n">
        <v>0</v>
      </c>
      <c r="M200" t="n">
        <v>0</v>
      </c>
      <c r="N200" t="n">
        <v>0</v>
      </c>
      <c r="O200" t="n">
        <v>0</v>
      </c>
      <c r="P200" t="n">
        <v>0</v>
      </c>
      <c r="Q200" t="n">
        <v>0</v>
      </c>
      <c r="R200" s="2" t="inlineStr"/>
    </row>
    <row r="201" ht="15" customHeight="1">
      <c r="A201" t="inlineStr">
        <is>
          <t>A 29504-2025</t>
        </is>
      </c>
      <c r="B201" s="1" t="n">
        <v>45825</v>
      </c>
      <c r="C201" s="1" t="n">
        <v>46160</v>
      </c>
      <c r="D201" t="inlineStr">
        <is>
          <t>NORRBOTTENS LÄN</t>
        </is>
      </c>
      <c r="E201" t="inlineStr">
        <is>
          <t>ARVIDSJAUR</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11542-2025</t>
        </is>
      </c>
      <c r="B202" s="1" t="n">
        <v>45726</v>
      </c>
      <c r="C202" s="1" t="n">
        <v>46160</v>
      </c>
      <c r="D202" t="inlineStr">
        <is>
          <t>NORRBOTTENS LÄN</t>
        </is>
      </c>
      <c r="E202" t="inlineStr">
        <is>
          <t>ARVIDSJAUR</t>
        </is>
      </c>
      <c r="F202" t="inlineStr">
        <is>
          <t>Allmännings- och besparingsskogar</t>
        </is>
      </c>
      <c r="G202" t="n">
        <v>14.2</v>
      </c>
      <c r="H202" t="n">
        <v>0</v>
      </c>
      <c r="I202" t="n">
        <v>0</v>
      </c>
      <c r="J202" t="n">
        <v>0</v>
      </c>
      <c r="K202" t="n">
        <v>0</v>
      </c>
      <c r="L202" t="n">
        <v>0</v>
      </c>
      <c r="M202" t="n">
        <v>0</v>
      </c>
      <c r="N202" t="n">
        <v>0</v>
      </c>
      <c r="O202" t="n">
        <v>0</v>
      </c>
      <c r="P202" t="n">
        <v>0</v>
      </c>
      <c r="Q202" t="n">
        <v>0</v>
      </c>
      <c r="R202" s="2" t="inlineStr"/>
    </row>
    <row r="203" ht="15" customHeight="1">
      <c r="A203" t="inlineStr">
        <is>
          <t>A 3051-2026</t>
        </is>
      </c>
      <c r="B203" s="1" t="n">
        <v>46039.21565972222</v>
      </c>
      <c r="C203" s="1" t="n">
        <v>46160</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29516-2025</t>
        </is>
      </c>
      <c r="B204" s="1" t="n">
        <v>45825.31756944444</v>
      </c>
      <c r="C204" s="1" t="n">
        <v>46160</v>
      </c>
      <c r="D204" t="inlineStr">
        <is>
          <t>NORRBOTTENS LÄN</t>
        </is>
      </c>
      <c r="E204" t="inlineStr">
        <is>
          <t>ARVIDSJAUR</t>
        </is>
      </c>
      <c r="F204" t="inlineStr">
        <is>
          <t>Sveaskog</t>
        </is>
      </c>
      <c r="G204" t="n">
        <v>17.1</v>
      </c>
      <c r="H204" t="n">
        <v>0</v>
      </c>
      <c r="I204" t="n">
        <v>0</v>
      </c>
      <c r="J204" t="n">
        <v>0</v>
      </c>
      <c r="K204" t="n">
        <v>0</v>
      </c>
      <c r="L204" t="n">
        <v>0</v>
      </c>
      <c r="M204" t="n">
        <v>0</v>
      </c>
      <c r="N204" t="n">
        <v>0</v>
      </c>
      <c r="O204" t="n">
        <v>0</v>
      </c>
      <c r="P204" t="n">
        <v>0</v>
      </c>
      <c r="Q204" t="n">
        <v>0</v>
      </c>
      <c r="R204" s="2" t="inlineStr"/>
    </row>
    <row r="205" ht="15" customHeight="1">
      <c r="A205" t="inlineStr">
        <is>
          <t>A 44317-2025</t>
        </is>
      </c>
      <c r="B205" s="1" t="n">
        <v>45916.39554398148</v>
      </c>
      <c r="C205" s="1" t="n">
        <v>46160</v>
      </c>
      <c r="D205" t="inlineStr">
        <is>
          <t>NORRBOTTENS LÄN</t>
        </is>
      </c>
      <c r="E205" t="inlineStr">
        <is>
          <t>ARVIDSJAUR</t>
        </is>
      </c>
      <c r="F205" t="inlineStr">
        <is>
          <t>Sveaskog</t>
        </is>
      </c>
      <c r="G205" t="n">
        <v>7.9</v>
      </c>
      <c r="H205" t="n">
        <v>0</v>
      </c>
      <c r="I205" t="n">
        <v>0</v>
      </c>
      <c r="J205" t="n">
        <v>0</v>
      </c>
      <c r="K205" t="n">
        <v>0</v>
      </c>
      <c r="L205" t="n">
        <v>0</v>
      </c>
      <c r="M205" t="n">
        <v>0</v>
      </c>
      <c r="N205" t="n">
        <v>0</v>
      </c>
      <c r="O205" t="n">
        <v>0</v>
      </c>
      <c r="P205" t="n">
        <v>0</v>
      </c>
      <c r="Q205" t="n">
        <v>0</v>
      </c>
      <c r="R205" s="2" t="inlineStr"/>
    </row>
    <row r="206" ht="15" customHeight="1">
      <c r="A206" t="inlineStr">
        <is>
          <t>A 30383-2025</t>
        </is>
      </c>
      <c r="B206" s="1" t="n">
        <v>45827.57081018519</v>
      </c>
      <c r="C206" s="1" t="n">
        <v>46160</v>
      </c>
      <c r="D206" t="inlineStr">
        <is>
          <t>NORRBOTTENS LÄN</t>
        </is>
      </c>
      <c r="E206" t="inlineStr">
        <is>
          <t>ARVIDSJAUR</t>
        </is>
      </c>
      <c r="G206" t="n">
        <v>20</v>
      </c>
      <c r="H206" t="n">
        <v>0</v>
      </c>
      <c r="I206" t="n">
        <v>0</v>
      </c>
      <c r="J206" t="n">
        <v>0</v>
      </c>
      <c r="K206" t="n">
        <v>0</v>
      </c>
      <c r="L206" t="n">
        <v>0</v>
      </c>
      <c r="M206" t="n">
        <v>0</v>
      </c>
      <c r="N206" t="n">
        <v>0</v>
      </c>
      <c r="O206" t="n">
        <v>0</v>
      </c>
      <c r="P206" t="n">
        <v>0</v>
      </c>
      <c r="Q206" t="n">
        <v>0</v>
      </c>
      <c r="R206" s="2" t="inlineStr"/>
    </row>
    <row r="207" ht="15" customHeight="1">
      <c r="A207" t="inlineStr">
        <is>
          <t>A 44640-2025</t>
        </is>
      </c>
      <c r="B207" s="1" t="n">
        <v>45917.52008101852</v>
      </c>
      <c r="C207" s="1" t="n">
        <v>46160</v>
      </c>
      <c r="D207" t="inlineStr">
        <is>
          <t>NORRBOTTENS LÄN</t>
        </is>
      </c>
      <c r="E207" t="inlineStr">
        <is>
          <t>ARVIDSJAUR</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37649-2024</t>
        </is>
      </c>
      <c r="B208" s="1" t="n">
        <v>45541</v>
      </c>
      <c r="C208" s="1" t="n">
        <v>46160</v>
      </c>
      <c r="D208" t="inlineStr">
        <is>
          <t>NORRBOTTENS LÄN</t>
        </is>
      </c>
      <c r="E208" t="inlineStr">
        <is>
          <t>ARVIDSJAUR</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c r="U208">
        <f>HYPERLINK("https://klasma.github.io/Logging_2505/knärot/A 37649-2024 karta knärot.png", "A 37649-2024")</f>
        <v/>
      </c>
      <c r="V208">
        <f>HYPERLINK("https://klasma.github.io/Logging_2505/klagomål/A 37649-2024 FSC-klagomål.docx", "A 37649-2024")</f>
        <v/>
      </c>
      <c r="W208">
        <f>HYPERLINK("https://klasma.github.io/Logging_2505/klagomålsmail/A 37649-2024 FSC-klagomål mail.docx", "A 37649-2024")</f>
        <v/>
      </c>
      <c r="X208">
        <f>HYPERLINK("https://klasma.github.io/Logging_2505/tillsyn/A 37649-2024 tillsynsbegäran.docx", "A 37649-2024")</f>
        <v/>
      </c>
      <c r="Y208">
        <f>HYPERLINK("https://klasma.github.io/Logging_2505/tillsynsmail/A 37649-2024 tillsynsbegäran mail.docx", "A 37649-2024")</f>
        <v/>
      </c>
    </row>
    <row r="209" ht="15" customHeight="1">
      <c r="A209" t="inlineStr">
        <is>
          <t>A 44613-2025</t>
        </is>
      </c>
      <c r="B209" s="1" t="n">
        <v>45917.45298611111</v>
      </c>
      <c r="C209" s="1" t="n">
        <v>46160</v>
      </c>
      <c r="D209" t="inlineStr">
        <is>
          <t>NORRBOTTENS LÄN</t>
        </is>
      </c>
      <c r="E209" t="inlineStr">
        <is>
          <t>ARVIDSJAUR</t>
        </is>
      </c>
      <c r="F209" t="inlineStr">
        <is>
          <t>Övriga Aktiebolag</t>
        </is>
      </c>
      <c r="G209" t="n">
        <v>11.6</v>
      </c>
      <c r="H209" t="n">
        <v>0</v>
      </c>
      <c r="I209" t="n">
        <v>0</v>
      </c>
      <c r="J209" t="n">
        <v>0</v>
      </c>
      <c r="K209" t="n">
        <v>0</v>
      </c>
      <c r="L209" t="n">
        <v>0</v>
      </c>
      <c r="M209" t="n">
        <v>0</v>
      </c>
      <c r="N209" t="n">
        <v>0</v>
      </c>
      <c r="O209" t="n">
        <v>0</v>
      </c>
      <c r="P209" t="n">
        <v>0</v>
      </c>
      <c r="Q209" t="n">
        <v>0</v>
      </c>
      <c r="R209" s="2" t="inlineStr"/>
    </row>
    <row r="210" ht="15" customHeight="1">
      <c r="A210" t="inlineStr">
        <is>
          <t>A 41659-2024</t>
        </is>
      </c>
      <c r="B210" s="1" t="n">
        <v>45560</v>
      </c>
      <c r="C210" s="1" t="n">
        <v>46160</v>
      </c>
      <c r="D210" t="inlineStr">
        <is>
          <t>NORRBOTTENS LÄN</t>
        </is>
      </c>
      <c r="E210" t="inlineStr">
        <is>
          <t>ARVIDSJAUR</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45576-2025</t>
        </is>
      </c>
      <c r="B211" s="1" t="n">
        <v>45922.66208333334</v>
      </c>
      <c r="C211" s="1" t="n">
        <v>46160</v>
      </c>
      <c r="D211" t="inlineStr">
        <is>
          <t>NORRBOTTENS LÄN</t>
        </is>
      </c>
      <c r="E211" t="inlineStr">
        <is>
          <t>ARVIDSJAUR</t>
        </is>
      </c>
      <c r="F211" t="inlineStr">
        <is>
          <t>Sveaskog</t>
        </is>
      </c>
      <c r="G211" t="n">
        <v>13.5</v>
      </c>
      <c r="H211" t="n">
        <v>0</v>
      </c>
      <c r="I211" t="n">
        <v>0</v>
      </c>
      <c r="J211" t="n">
        <v>0</v>
      </c>
      <c r="K211" t="n">
        <v>0</v>
      </c>
      <c r="L211" t="n">
        <v>0</v>
      </c>
      <c r="M211" t="n">
        <v>0</v>
      </c>
      <c r="N211" t="n">
        <v>0</v>
      </c>
      <c r="O211" t="n">
        <v>0</v>
      </c>
      <c r="P211" t="n">
        <v>0</v>
      </c>
      <c r="Q211" t="n">
        <v>0</v>
      </c>
      <c r="R211" s="2" t="inlineStr"/>
    </row>
    <row r="212" ht="15" customHeight="1">
      <c r="A212" t="inlineStr">
        <is>
          <t>A 45561-2025</t>
        </is>
      </c>
      <c r="B212" s="1" t="n">
        <v>45922.64684027778</v>
      </c>
      <c r="C212" s="1" t="n">
        <v>46160</v>
      </c>
      <c r="D212" t="inlineStr">
        <is>
          <t>NORRBOTTENS LÄN</t>
        </is>
      </c>
      <c r="E212" t="inlineStr">
        <is>
          <t>ARVIDSJAUR</t>
        </is>
      </c>
      <c r="F212" t="inlineStr">
        <is>
          <t>Sveaskog</t>
        </is>
      </c>
      <c r="G212" t="n">
        <v>44.6</v>
      </c>
      <c r="H212" t="n">
        <v>0</v>
      </c>
      <c r="I212" t="n">
        <v>0</v>
      </c>
      <c r="J212" t="n">
        <v>0</v>
      </c>
      <c r="K212" t="n">
        <v>0</v>
      </c>
      <c r="L212" t="n">
        <v>0</v>
      </c>
      <c r="M212" t="n">
        <v>0</v>
      </c>
      <c r="N212" t="n">
        <v>0</v>
      </c>
      <c r="O212" t="n">
        <v>0</v>
      </c>
      <c r="P212" t="n">
        <v>0</v>
      </c>
      <c r="Q212" t="n">
        <v>0</v>
      </c>
      <c r="R212" s="2" t="inlineStr"/>
    </row>
    <row r="213" ht="15" customHeight="1">
      <c r="A213" t="inlineStr">
        <is>
          <t>A 45107-2025</t>
        </is>
      </c>
      <c r="B213" s="1" t="n">
        <v>45919</v>
      </c>
      <c r="C213" s="1" t="n">
        <v>46160</v>
      </c>
      <c r="D213" t="inlineStr">
        <is>
          <t>NORRBOTTENS LÄN</t>
        </is>
      </c>
      <c r="E213" t="inlineStr">
        <is>
          <t>ARVIDSJAUR</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45138-2025</t>
        </is>
      </c>
      <c r="B214" s="1" t="n">
        <v>45919.45427083333</v>
      </c>
      <c r="C214" s="1" t="n">
        <v>46160</v>
      </c>
      <c r="D214" t="inlineStr">
        <is>
          <t>NORRBOTTENS LÄN</t>
        </is>
      </c>
      <c r="E214" t="inlineStr">
        <is>
          <t>ARVIDSJAUR</t>
        </is>
      </c>
      <c r="F214" t="inlineStr">
        <is>
          <t>Sveaskog</t>
        </is>
      </c>
      <c r="G214" t="n">
        <v>30.7</v>
      </c>
      <c r="H214" t="n">
        <v>0</v>
      </c>
      <c r="I214" t="n">
        <v>0</v>
      </c>
      <c r="J214" t="n">
        <v>0</v>
      </c>
      <c r="K214" t="n">
        <v>0</v>
      </c>
      <c r="L214" t="n">
        <v>0</v>
      </c>
      <c r="M214" t="n">
        <v>0</v>
      </c>
      <c r="N214" t="n">
        <v>0</v>
      </c>
      <c r="O214" t="n">
        <v>0</v>
      </c>
      <c r="P214" t="n">
        <v>0</v>
      </c>
      <c r="Q214" t="n">
        <v>0</v>
      </c>
      <c r="R214" s="2" t="inlineStr"/>
    </row>
    <row r="215" ht="15" customHeight="1">
      <c r="A215" t="inlineStr">
        <is>
          <t>A 45197-2025</t>
        </is>
      </c>
      <c r="B215" s="1" t="n">
        <v>45919</v>
      </c>
      <c r="C215" s="1" t="n">
        <v>46160</v>
      </c>
      <c r="D215" t="inlineStr">
        <is>
          <t>NORRBOTTENS LÄN</t>
        </is>
      </c>
      <c r="E215" t="inlineStr">
        <is>
          <t>ARVIDSJAUR</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10851-2025</t>
        </is>
      </c>
      <c r="B216" s="1" t="n">
        <v>45722</v>
      </c>
      <c r="C216" s="1" t="n">
        <v>46160</v>
      </c>
      <c r="D216" t="inlineStr">
        <is>
          <t>NORRBOTTENS LÄN</t>
        </is>
      </c>
      <c r="E216" t="inlineStr">
        <is>
          <t>ARVIDSJAUR</t>
        </is>
      </c>
      <c r="G216" t="n">
        <v>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46160</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46160</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46160</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46160</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46160</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46160</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46160</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46160</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45200-2025</t>
        </is>
      </c>
      <c r="B225" s="1" t="n">
        <v>45919.56200231481</v>
      </c>
      <c r="C225" s="1" t="n">
        <v>46160</v>
      </c>
      <c r="D225" t="inlineStr">
        <is>
          <t>NORRBOTTENS LÄN</t>
        </is>
      </c>
      <c r="E225" t="inlineStr">
        <is>
          <t>ARVIDSJAUR</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45227-2025</t>
        </is>
      </c>
      <c r="B226" s="1" t="n">
        <v>45919.58480324074</v>
      </c>
      <c r="C226" s="1" t="n">
        <v>46160</v>
      </c>
      <c r="D226" t="inlineStr">
        <is>
          <t>NORRBOTTENS LÄN</t>
        </is>
      </c>
      <c r="E226" t="inlineStr">
        <is>
          <t>ARVIDSJAUR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45493-2025</t>
        </is>
      </c>
      <c r="B227" s="1" t="n">
        <v>45922.55875</v>
      </c>
      <c r="C227" s="1" t="n">
        <v>46160</v>
      </c>
      <c r="D227" t="inlineStr">
        <is>
          <t>NORRBOTTENS LÄN</t>
        </is>
      </c>
      <c r="E227" t="inlineStr">
        <is>
          <t>ARVIDSJAUR</t>
        </is>
      </c>
      <c r="F227" t="inlineStr">
        <is>
          <t>Sveaskog</t>
        </is>
      </c>
      <c r="G227" t="n">
        <v>7.4</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46160</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22996-2024</t>
        </is>
      </c>
      <c r="B229" s="1" t="n">
        <v>45450</v>
      </c>
      <c r="C229" s="1" t="n">
        <v>46160</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46160</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46160</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22696-2024</t>
        </is>
      </c>
      <c r="B232" s="1" t="n">
        <v>45448</v>
      </c>
      <c r="C232" s="1" t="n">
        <v>46160</v>
      </c>
      <c r="D232" t="inlineStr">
        <is>
          <t>NORRBOTTENS LÄN</t>
        </is>
      </c>
      <c r="E232" t="inlineStr">
        <is>
          <t>ARVIDSJAUR</t>
        </is>
      </c>
      <c r="F232" t="inlineStr">
        <is>
          <t>Sveaskog</t>
        </is>
      </c>
      <c r="G232" t="n">
        <v>23.1</v>
      </c>
      <c r="H232" t="n">
        <v>0</v>
      </c>
      <c r="I232" t="n">
        <v>0</v>
      </c>
      <c r="J232" t="n">
        <v>0</v>
      </c>
      <c r="K232" t="n">
        <v>0</v>
      </c>
      <c r="L232" t="n">
        <v>0</v>
      </c>
      <c r="M232" t="n">
        <v>0</v>
      </c>
      <c r="N232" t="n">
        <v>0</v>
      </c>
      <c r="O232" t="n">
        <v>0</v>
      </c>
      <c r="P232" t="n">
        <v>0</v>
      </c>
      <c r="Q232" t="n">
        <v>0</v>
      </c>
      <c r="R232" s="2" t="inlineStr"/>
    </row>
    <row r="233" ht="15" customHeight="1">
      <c r="A233" t="inlineStr">
        <is>
          <t>A 45643-2025</t>
        </is>
      </c>
      <c r="B233" s="1" t="n">
        <v>45923.28857638889</v>
      </c>
      <c r="C233" s="1" t="n">
        <v>46160</v>
      </c>
      <c r="D233" t="inlineStr">
        <is>
          <t>NORRBOTTENS LÄN</t>
        </is>
      </c>
      <c r="E233" t="inlineStr">
        <is>
          <t>ARVIDSJAUR</t>
        </is>
      </c>
      <c r="F233" t="inlineStr">
        <is>
          <t>Sveaskog</t>
        </is>
      </c>
      <c r="G233" t="n">
        <v>38.5</v>
      </c>
      <c r="H233" t="n">
        <v>0</v>
      </c>
      <c r="I233" t="n">
        <v>0</v>
      </c>
      <c r="J233" t="n">
        <v>0</v>
      </c>
      <c r="K233" t="n">
        <v>0</v>
      </c>
      <c r="L233" t="n">
        <v>0</v>
      </c>
      <c r="M233" t="n">
        <v>0</v>
      </c>
      <c r="N233" t="n">
        <v>0</v>
      </c>
      <c r="O233" t="n">
        <v>0</v>
      </c>
      <c r="P233" t="n">
        <v>0</v>
      </c>
      <c r="Q233" t="n">
        <v>0</v>
      </c>
      <c r="R233" s="2" t="inlineStr"/>
    </row>
    <row r="234" ht="15" customHeight="1">
      <c r="A234" t="inlineStr">
        <is>
          <t>A 34998-2023</t>
        </is>
      </c>
      <c r="B234" s="1" t="n">
        <v>45142</v>
      </c>
      <c r="C234" s="1" t="n">
        <v>46160</v>
      </c>
      <c r="D234" t="inlineStr">
        <is>
          <t>NORRBOTTENS LÄN</t>
        </is>
      </c>
      <c r="E234" t="inlineStr">
        <is>
          <t>ARVIDSJAUR</t>
        </is>
      </c>
      <c r="G234" t="n">
        <v>10.3</v>
      </c>
      <c r="H234" t="n">
        <v>0</v>
      </c>
      <c r="I234" t="n">
        <v>0</v>
      </c>
      <c r="J234" t="n">
        <v>0</v>
      </c>
      <c r="K234" t="n">
        <v>0</v>
      </c>
      <c r="L234" t="n">
        <v>0</v>
      </c>
      <c r="M234" t="n">
        <v>0</v>
      </c>
      <c r="N234" t="n">
        <v>0</v>
      </c>
      <c r="O234" t="n">
        <v>0</v>
      </c>
      <c r="P234" t="n">
        <v>0</v>
      </c>
      <c r="Q234" t="n">
        <v>0</v>
      </c>
      <c r="R234" s="2" t="inlineStr"/>
    </row>
    <row r="235" ht="15" customHeight="1">
      <c r="A235" t="inlineStr">
        <is>
          <t>A 4315-2026</t>
        </is>
      </c>
      <c r="B235" s="1" t="n">
        <v>46045.44871527778</v>
      </c>
      <c r="C235" s="1" t="n">
        <v>46160</v>
      </c>
      <c r="D235" t="inlineStr">
        <is>
          <t>NORRBOTTENS LÄN</t>
        </is>
      </c>
      <c r="E235" t="inlineStr">
        <is>
          <t>ARVIDSJAUR</t>
        </is>
      </c>
      <c r="G235" t="n">
        <v>14.7</v>
      </c>
      <c r="H235" t="n">
        <v>0</v>
      </c>
      <c r="I235" t="n">
        <v>0</v>
      </c>
      <c r="J235" t="n">
        <v>0</v>
      </c>
      <c r="K235" t="n">
        <v>0</v>
      </c>
      <c r="L235" t="n">
        <v>0</v>
      </c>
      <c r="M235" t="n">
        <v>0</v>
      </c>
      <c r="N235" t="n">
        <v>0</v>
      </c>
      <c r="O235" t="n">
        <v>0</v>
      </c>
      <c r="P235" t="n">
        <v>0</v>
      </c>
      <c r="Q235" t="n">
        <v>0</v>
      </c>
      <c r="R235" s="2" t="inlineStr"/>
    </row>
    <row r="236" ht="15" customHeight="1">
      <c r="A236" t="inlineStr">
        <is>
          <t>A 4303-2026</t>
        </is>
      </c>
      <c r="B236" s="1" t="n">
        <v>46045.4275</v>
      </c>
      <c r="C236" s="1" t="n">
        <v>46160</v>
      </c>
      <c r="D236" t="inlineStr">
        <is>
          <t>NORRBOTTENS LÄN</t>
        </is>
      </c>
      <c r="E236" t="inlineStr">
        <is>
          <t>ARVIDSJAUR</t>
        </is>
      </c>
      <c r="G236" t="n">
        <v>15.5</v>
      </c>
      <c r="H236" t="n">
        <v>0</v>
      </c>
      <c r="I236" t="n">
        <v>0</v>
      </c>
      <c r="J236" t="n">
        <v>0</v>
      </c>
      <c r="K236" t="n">
        <v>0</v>
      </c>
      <c r="L236" t="n">
        <v>0</v>
      </c>
      <c r="M236" t="n">
        <v>0</v>
      </c>
      <c r="N236" t="n">
        <v>0</v>
      </c>
      <c r="O236" t="n">
        <v>0</v>
      </c>
      <c r="P236" t="n">
        <v>0</v>
      </c>
      <c r="Q236" t="n">
        <v>0</v>
      </c>
      <c r="R236" s="2" t="inlineStr"/>
    </row>
    <row r="237" ht="15" customHeight="1">
      <c r="A237" t="inlineStr">
        <is>
          <t>A 5314-2026</t>
        </is>
      </c>
      <c r="B237" s="1" t="n">
        <v>46050.37045138889</v>
      </c>
      <c r="C237" s="1" t="n">
        <v>46160</v>
      </c>
      <c r="D237" t="inlineStr">
        <is>
          <t>NORRBOTTENS LÄN</t>
        </is>
      </c>
      <c r="E237" t="inlineStr">
        <is>
          <t>ARVIDSJAUR</t>
        </is>
      </c>
      <c r="F237" t="inlineStr">
        <is>
          <t>Allmännings- och besparingsskogar</t>
        </is>
      </c>
      <c r="G237" t="n">
        <v>1.3</v>
      </c>
      <c r="H237" t="n">
        <v>0</v>
      </c>
      <c r="I237" t="n">
        <v>0</v>
      </c>
      <c r="J237" t="n">
        <v>0</v>
      </c>
      <c r="K237" t="n">
        <v>0</v>
      </c>
      <c r="L237" t="n">
        <v>0</v>
      </c>
      <c r="M237" t="n">
        <v>0</v>
      </c>
      <c r="N237" t="n">
        <v>0</v>
      </c>
      <c r="O237" t="n">
        <v>0</v>
      </c>
      <c r="P237" t="n">
        <v>0</v>
      </c>
      <c r="Q237" t="n">
        <v>0</v>
      </c>
      <c r="R237" s="2" t="inlineStr"/>
    </row>
    <row r="238" ht="15" customHeight="1">
      <c r="A238" t="inlineStr">
        <is>
          <t>A 39436-2024</t>
        </is>
      </c>
      <c r="B238" s="1" t="n">
        <v>45551</v>
      </c>
      <c r="C238" s="1" t="n">
        <v>46160</v>
      </c>
      <c r="D238" t="inlineStr">
        <is>
          <t>NORRBOTTENS LÄN</t>
        </is>
      </c>
      <c r="E238" t="inlineStr">
        <is>
          <t>ARVIDSJAUR</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32990-2025</t>
        </is>
      </c>
      <c r="B239" s="1" t="n">
        <v>45840.3191087963</v>
      </c>
      <c r="C239" s="1" t="n">
        <v>46160</v>
      </c>
      <c r="D239" t="inlineStr">
        <is>
          <t>NORRBOTTENS LÄN</t>
        </is>
      </c>
      <c r="E239" t="inlineStr">
        <is>
          <t>ARVIDSJAUR</t>
        </is>
      </c>
      <c r="G239" t="n">
        <v>3</v>
      </c>
      <c r="H239" t="n">
        <v>0</v>
      </c>
      <c r="I239" t="n">
        <v>0</v>
      </c>
      <c r="J239" t="n">
        <v>0</v>
      </c>
      <c r="K239" t="n">
        <v>0</v>
      </c>
      <c r="L239" t="n">
        <v>0</v>
      </c>
      <c r="M239" t="n">
        <v>0</v>
      </c>
      <c r="N239" t="n">
        <v>0</v>
      </c>
      <c r="O239" t="n">
        <v>0</v>
      </c>
      <c r="P239" t="n">
        <v>0</v>
      </c>
      <c r="Q239" t="n">
        <v>0</v>
      </c>
      <c r="R239" s="2" t="inlineStr"/>
    </row>
    <row r="240" ht="15" customHeight="1">
      <c r="A240" t="inlineStr">
        <is>
          <t>A 33174-2025</t>
        </is>
      </c>
      <c r="B240" s="1" t="n">
        <v>45840.585625</v>
      </c>
      <c r="C240" s="1" t="n">
        <v>46160</v>
      </c>
      <c r="D240" t="inlineStr">
        <is>
          <t>NORRBOTTENS LÄN</t>
        </is>
      </c>
      <c r="E240" t="inlineStr">
        <is>
          <t>ARVIDSJAUR</t>
        </is>
      </c>
      <c r="F240" t="inlineStr">
        <is>
          <t>Sveaskog</t>
        </is>
      </c>
      <c r="G240" t="n">
        <v>26.3</v>
      </c>
      <c r="H240" t="n">
        <v>0</v>
      </c>
      <c r="I240" t="n">
        <v>0</v>
      </c>
      <c r="J240" t="n">
        <v>0</v>
      </c>
      <c r="K240" t="n">
        <v>0</v>
      </c>
      <c r="L240" t="n">
        <v>0</v>
      </c>
      <c r="M240" t="n">
        <v>0</v>
      </c>
      <c r="N240" t="n">
        <v>0</v>
      </c>
      <c r="O240" t="n">
        <v>0</v>
      </c>
      <c r="P240" t="n">
        <v>0</v>
      </c>
      <c r="Q240" t="n">
        <v>0</v>
      </c>
      <c r="R240" s="2" t="inlineStr"/>
    </row>
    <row r="241" ht="15" customHeight="1">
      <c r="A241" t="inlineStr">
        <is>
          <t>A 5853-2026</t>
        </is>
      </c>
      <c r="B241" s="1" t="n">
        <v>46052.36274305556</v>
      </c>
      <c r="C241" s="1" t="n">
        <v>46160</v>
      </c>
      <c r="D241" t="inlineStr">
        <is>
          <t>NORRBOTTENS LÄN</t>
        </is>
      </c>
      <c r="E241" t="inlineStr">
        <is>
          <t>ARVIDSJAUR</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53878-2024</t>
        </is>
      </c>
      <c r="B242" s="1" t="n">
        <v>45614</v>
      </c>
      <c r="C242" s="1" t="n">
        <v>46160</v>
      </c>
      <c r="D242" t="inlineStr">
        <is>
          <t>NORRBOTTENS LÄN</t>
        </is>
      </c>
      <c r="E242" t="inlineStr">
        <is>
          <t>ARVIDSJAUR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33222-2025</t>
        </is>
      </c>
      <c r="B243" s="1" t="n">
        <v>45840</v>
      </c>
      <c r="C243" s="1" t="n">
        <v>46160</v>
      </c>
      <c r="D243" t="inlineStr">
        <is>
          <t>NORRBOTTENS LÄN</t>
        </is>
      </c>
      <c r="E243" t="inlineStr">
        <is>
          <t>ARVIDSJAUR</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47039-2025</t>
        </is>
      </c>
      <c r="B244" s="1" t="n">
        <v>45929</v>
      </c>
      <c r="C244" s="1" t="n">
        <v>46160</v>
      </c>
      <c r="D244" t="inlineStr">
        <is>
          <t>NORRBOTTENS LÄN</t>
        </is>
      </c>
      <c r="E244" t="inlineStr">
        <is>
          <t>ARVIDSJAUR</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47177-2025</t>
        </is>
      </c>
      <c r="B245" s="1" t="n">
        <v>45930</v>
      </c>
      <c r="C245" s="1" t="n">
        <v>46160</v>
      </c>
      <c r="D245" t="inlineStr">
        <is>
          <t>NORRBOTTENS LÄN</t>
        </is>
      </c>
      <c r="E245" t="inlineStr">
        <is>
          <t>ARVIDSJAUR</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5849-2026</t>
        </is>
      </c>
      <c r="B246" s="1" t="n">
        <v>46052.35591435185</v>
      </c>
      <c r="C246" s="1" t="n">
        <v>46160</v>
      </c>
      <c r="D246" t="inlineStr">
        <is>
          <t>NORRBOTTENS LÄN</t>
        </is>
      </c>
      <c r="E246" t="inlineStr">
        <is>
          <t>ARVIDSJAUR</t>
        </is>
      </c>
      <c r="F246" t="inlineStr">
        <is>
          <t>Sveaskog</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50119-2024</t>
        </is>
      </c>
      <c r="B247" s="1" t="n">
        <v>45600.41550925926</v>
      </c>
      <c r="C247" s="1" t="n">
        <v>46160</v>
      </c>
      <c r="D247" t="inlineStr">
        <is>
          <t>NORRBOTTENS LÄN</t>
        </is>
      </c>
      <c r="E247" t="inlineStr">
        <is>
          <t>ARVIDSJAUR</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47106-2025</t>
        </is>
      </c>
      <c r="B248" s="1" t="n">
        <v>45929</v>
      </c>
      <c r="C248" s="1" t="n">
        <v>46160</v>
      </c>
      <c r="D248" t="inlineStr">
        <is>
          <t>NORRBOTTENS LÄN</t>
        </is>
      </c>
      <c r="E248" t="inlineStr">
        <is>
          <t>ARVIDSJAUR</t>
        </is>
      </c>
      <c r="F248" t="inlineStr">
        <is>
          <t>Sveaskog</t>
        </is>
      </c>
      <c r="G248" t="n">
        <v>2.5</v>
      </c>
      <c r="H248" t="n">
        <v>0</v>
      </c>
      <c r="I248" t="n">
        <v>0</v>
      </c>
      <c r="J248" t="n">
        <v>0</v>
      </c>
      <c r="K248" t="n">
        <v>0</v>
      </c>
      <c r="L248" t="n">
        <v>0</v>
      </c>
      <c r="M248" t="n">
        <v>0</v>
      </c>
      <c r="N248" t="n">
        <v>0</v>
      </c>
      <c r="O248" t="n">
        <v>0</v>
      </c>
      <c r="P248" t="n">
        <v>0</v>
      </c>
      <c r="Q248" t="n">
        <v>0</v>
      </c>
      <c r="R248" s="2" t="inlineStr"/>
    </row>
    <row r="249" ht="15" customHeight="1">
      <c r="A249" t="inlineStr">
        <is>
          <t>A 46903-2025</t>
        </is>
      </c>
      <c r="B249" s="1" t="n">
        <v>45929.39351851852</v>
      </c>
      <c r="C249" s="1" t="n">
        <v>46160</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30756-2023</t>
        </is>
      </c>
      <c r="B250" s="1" t="n">
        <v>45103</v>
      </c>
      <c r="C250" s="1" t="n">
        <v>46160</v>
      </c>
      <c r="D250" t="inlineStr">
        <is>
          <t>NORRBOTTENS LÄN</t>
        </is>
      </c>
      <c r="E250" t="inlineStr">
        <is>
          <t>ARVIDSJAUR</t>
        </is>
      </c>
      <c r="G250" t="n">
        <v>1.9</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46160</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5851-2026</t>
        </is>
      </c>
      <c r="B252" s="1" t="n">
        <v>46052.35887731481</v>
      </c>
      <c r="C252" s="1" t="n">
        <v>46160</v>
      </c>
      <c r="D252" t="inlineStr">
        <is>
          <t>NORRBOTTENS LÄN</t>
        </is>
      </c>
      <c r="E252" t="inlineStr">
        <is>
          <t>ARVIDSJAUR</t>
        </is>
      </c>
      <c r="F252" t="inlineStr">
        <is>
          <t>Sveaskog</t>
        </is>
      </c>
      <c r="G252" t="n">
        <v>6.3</v>
      </c>
      <c r="H252" t="n">
        <v>0</v>
      </c>
      <c r="I252" t="n">
        <v>0</v>
      </c>
      <c r="J252" t="n">
        <v>0</v>
      </c>
      <c r="K252" t="n">
        <v>0</v>
      </c>
      <c r="L252" t="n">
        <v>0</v>
      </c>
      <c r="M252" t="n">
        <v>0</v>
      </c>
      <c r="N252" t="n">
        <v>0</v>
      </c>
      <c r="O252" t="n">
        <v>0</v>
      </c>
      <c r="P252" t="n">
        <v>0</v>
      </c>
      <c r="Q252" t="n">
        <v>0</v>
      </c>
      <c r="R252" s="2" t="inlineStr"/>
    </row>
    <row r="253" ht="15" customHeight="1">
      <c r="A253" t="inlineStr">
        <is>
          <t>A 48005-2025</t>
        </is>
      </c>
      <c r="B253" s="1" t="n">
        <v>45932.63599537037</v>
      </c>
      <c r="C253" s="1" t="n">
        <v>46160</v>
      </c>
      <c r="D253" t="inlineStr">
        <is>
          <t>NORRBOTTENS LÄN</t>
        </is>
      </c>
      <c r="E253" t="inlineStr">
        <is>
          <t>ARVIDSJAUR</t>
        </is>
      </c>
      <c r="F253" t="inlineStr">
        <is>
          <t>Sveaskog</t>
        </is>
      </c>
      <c r="G253" t="n">
        <v>24.3</v>
      </c>
      <c r="H253" t="n">
        <v>0</v>
      </c>
      <c r="I253" t="n">
        <v>0</v>
      </c>
      <c r="J253" t="n">
        <v>0</v>
      </c>
      <c r="K253" t="n">
        <v>0</v>
      </c>
      <c r="L253" t="n">
        <v>0</v>
      </c>
      <c r="M253" t="n">
        <v>0</v>
      </c>
      <c r="N253" t="n">
        <v>0</v>
      </c>
      <c r="O253" t="n">
        <v>0</v>
      </c>
      <c r="P253" t="n">
        <v>0</v>
      </c>
      <c r="Q253" t="n">
        <v>0</v>
      </c>
      <c r="R253" s="2" t="inlineStr"/>
    </row>
    <row r="254" ht="15" customHeight="1">
      <c r="A254" t="inlineStr">
        <is>
          <t>A 33302-2025</t>
        </is>
      </c>
      <c r="B254" s="1" t="n">
        <v>45841</v>
      </c>
      <c r="C254" s="1" t="n">
        <v>46160</v>
      </c>
      <c r="D254" t="inlineStr">
        <is>
          <t>NORRBOTTENS LÄN</t>
        </is>
      </c>
      <c r="E254" t="inlineStr">
        <is>
          <t>ARVIDSJAUR</t>
        </is>
      </c>
      <c r="F254" t="inlineStr">
        <is>
          <t>Sveaskog</t>
        </is>
      </c>
      <c r="G254" t="n">
        <v>11.1</v>
      </c>
      <c r="H254" t="n">
        <v>0</v>
      </c>
      <c r="I254" t="n">
        <v>0</v>
      </c>
      <c r="J254" t="n">
        <v>0</v>
      </c>
      <c r="K254" t="n">
        <v>0</v>
      </c>
      <c r="L254" t="n">
        <v>0</v>
      </c>
      <c r="M254" t="n">
        <v>0</v>
      </c>
      <c r="N254" t="n">
        <v>0</v>
      </c>
      <c r="O254" t="n">
        <v>0</v>
      </c>
      <c r="P254" t="n">
        <v>0</v>
      </c>
      <c r="Q254" t="n">
        <v>0</v>
      </c>
      <c r="R254" s="2" t="inlineStr"/>
    </row>
    <row r="255" ht="15" customHeight="1">
      <c r="A255" t="inlineStr">
        <is>
          <t>A 48331-2025</t>
        </is>
      </c>
      <c r="B255" s="1" t="n">
        <v>45933</v>
      </c>
      <c r="C255" s="1" t="n">
        <v>46160</v>
      </c>
      <c r="D255" t="inlineStr">
        <is>
          <t>NORRBOTTENS LÄN</t>
        </is>
      </c>
      <c r="E255" t="inlineStr">
        <is>
          <t>ARVIDSJAUR</t>
        </is>
      </c>
      <c r="G255" t="n">
        <v>3.3</v>
      </c>
      <c r="H255" t="n">
        <v>0</v>
      </c>
      <c r="I255" t="n">
        <v>0</v>
      </c>
      <c r="J255" t="n">
        <v>0</v>
      </c>
      <c r="K255" t="n">
        <v>0</v>
      </c>
      <c r="L255" t="n">
        <v>0</v>
      </c>
      <c r="M255" t="n">
        <v>0</v>
      </c>
      <c r="N255" t="n">
        <v>0</v>
      </c>
      <c r="O255" t="n">
        <v>0</v>
      </c>
      <c r="P255" t="n">
        <v>0</v>
      </c>
      <c r="Q255" t="n">
        <v>0</v>
      </c>
      <c r="R255" s="2" t="inlineStr"/>
    </row>
    <row r="256" ht="15" customHeight="1">
      <c r="A256" t="inlineStr">
        <is>
          <t>A 48286-2025</t>
        </is>
      </c>
      <c r="B256" s="1" t="n">
        <v>45933</v>
      </c>
      <c r="C256" s="1" t="n">
        <v>46160</v>
      </c>
      <c r="D256" t="inlineStr">
        <is>
          <t>NORRBOTTENS LÄN</t>
        </is>
      </c>
      <c r="E256" t="inlineStr">
        <is>
          <t>ARVIDSJAUR</t>
        </is>
      </c>
      <c r="G256" t="n">
        <v>1.1</v>
      </c>
      <c r="H256" t="n">
        <v>0</v>
      </c>
      <c r="I256" t="n">
        <v>0</v>
      </c>
      <c r="J256" t="n">
        <v>0</v>
      </c>
      <c r="K256" t="n">
        <v>0</v>
      </c>
      <c r="L256" t="n">
        <v>0</v>
      </c>
      <c r="M256" t="n">
        <v>0</v>
      </c>
      <c r="N256" t="n">
        <v>0</v>
      </c>
      <c r="O256" t="n">
        <v>0</v>
      </c>
      <c r="P256" t="n">
        <v>0</v>
      </c>
      <c r="Q256" t="n">
        <v>0</v>
      </c>
      <c r="R256" s="2" t="inlineStr"/>
    </row>
    <row r="257" ht="15" customHeight="1">
      <c r="A257" t="inlineStr">
        <is>
          <t>A 50323-2024</t>
        </is>
      </c>
      <c r="B257" s="1" t="n">
        <v>45600.67706018518</v>
      </c>
      <c r="C257" s="1" t="n">
        <v>46160</v>
      </c>
      <c r="D257" t="inlineStr">
        <is>
          <t>NORRBOTTENS LÄN</t>
        </is>
      </c>
      <c r="E257" t="inlineStr">
        <is>
          <t>ARVIDSJAUR</t>
        </is>
      </c>
      <c r="F257" t="inlineStr">
        <is>
          <t>Sveaskog</t>
        </is>
      </c>
      <c r="G257" t="n">
        <v>5.1</v>
      </c>
      <c r="H257" t="n">
        <v>0</v>
      </c>
      <c r="I257" t="n">
        <v>0</v>
      </c>
      <c r="J257" t="n">
        <v>0</v>
      </c>
      <c r="K257" t="n">
        <v>0</v>
      </c>
      <c r="L257" t="n">
        <v>0</v>
      </c>
      <c r="M257" t="n">
        <v>0</v>
      </c>
      <c r="N257" t="n">
        <v>0</v>
      </c>
      <c r="O257" t="n">
        <v>0</v>
      </c>
      <c r="P257" t="n">
        <v>0</v>
      </c>
      <c r="Q257" t="n">
        <v>0</v>
      </c>
      <c r="R257" s="2" t="inlineStr"/>
    </row>
    <row r="258" ht="15" customHeight="1">
      <c r="A258" t="inlineStr">
        <is>
          <t>A 48301-2025</t>
        </is>
      </c>
      <c r="B258" s="1" t="n">
        <v>45933</v>
      </c>
      <c r="C258" s="1" t="n">
        <v>46160</v>
      </c>
      <c r="D258" t="inlineStr">
        <is>
          <t>NORRBOTTENS LÄN</t>
        </is>
      </c>
      <c r="E258" t="inlineStr">
        <is>
          <t>ARVIDSJAUR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3343-2024</t>
        </is>
      </c>
      <c r="B259" s="1" t="n">
        <v>45317</v>
      </c>
      <c r="C259" s="1" t="n">
        <v>46160</v>
      </c>
      <c r="D259" t="inlineStr">
        <is>
          <t>NORRBOTTENS LÄN</t>
        </is>
      </c>
      <c r="E259" t="inlineStr">
        <is>
          <t>ARVIDSJAUR</t>
        </is>
      </c>
      <c r="G259" t="n">
        <v>10.9</v>
      </c>
      <c r="H259" t="n">
        <v>0</v>
      </c>
      <c r="I259" t="n">
        <v>0</v>
      </c>
      <c r="J259" t="n">
        <v>0</v>
      </c>
      <c r="K259" t="n">
        <v>0</v>
      </c>
      <c r="L259" t="n">
        <v>0</v>
      </c>
      <c r="M259" t="n">
        <v>0</v>
      </c>
      <c r="N259" t="n">
        <v>0</v>
      </c>
      <c r="O259" t="n">
        <v>0</v>
      </c>
      <c r="P259" t="n">
        <v>0</v>
      </c>
      <c r="Q259" t="n">
        <v>0</v>
      </c>
      <c r="R259" s="2" t="inlineStr"/>
    </row>
    <row r="260" ht="15" customHeight="1">
      <c r="A260" t="inlineStr">
        <is>
          <t>A 48326-2025</t>
        </is>
      </c>
      <c r="B260" s="1" t="n">
        <v>45933</v>
      </c>
      <c r="C260" s="1" t="n">
        <v>46160</v>
      </c>
      <c r="D260" t="inlineStr">
        <is>
          <t>NORRBOTTENS LÄN</t>
        </is>
      </c>
      <c r="E260" t="inlineStr">
        <is>
          <t>ARVIDSJAUR</t>
        </is>
      </c>
      <c r="G260" t="n">
        <v>3.8</v>
      </c>
      <c r="H260" t="n">
        <v>0</v>
      </c>
      <c r="I260" t="n">
        <v>0</v>
      </c>
      <c r="J260" t="n">
        <v>0</v>
      </c>
      <c r="K260" t="n">
        <v>0</v>
      </c>
      <c r="L260" t="n">
        <v>0</v>
      </c>
      <c r="M260" t="n">
        <v>0</v>
      </c>
      <c r="N260" t="n">
        <v>0</v>
      </c>
      <c r="O260" t="n">
        <v>0</v>
      </c>
      <c r="P260" t="n">
        <v>0</v>
      </c>
      <c r="Q260" t="n">
        <v>0</v>
      </c>
      <c r="R260" s="2" t="inlineStr"/>
    </row>
    <row r="261" ht="15" customHeight="1">
      <c r="A261" t="inlineStr">
        <is>
          <t>A 48312-2025</t>
        </is>
      </c>
      <c r="B261" s="1" t="n">
        <v>45933</v>
      </c>
      <c r="C261" s="1" t="n">
        <v>46160</v>
      </c>
      <c r="D261" t="inlineStr">
        <is>
          <t>NORRBOTTENS LÄN</t>
        </is>
      </c>
      <c r="E261" t="inlineStr">
        <is>
          <t>ARVIDSJAUR</t>
        </is>
      </c>
      <c r="G261" t="n">
        <v>1.9</v>
      </c>
      <c r="H261" t="n">
        <v>0</v>
      </c>
      <c r="I261" t="n">
        <v>0</v>
      </c>
      <c r="J261" t="n">
        <v>0</v>
      </c>
      <c r="K261" t="n">
        <v>0</v>
      </c>
      <c r="L261" t="n">
        <v>0</v>
      </c>
      <c r="M261" t="n">
        <v>0</v>
      </c>
      <c r="N261" t="n">
        <v>0</v>
      </c>
      <c r="O261" t="n">
        <v>0</v>
      </c>
      <c r="P261" t="n">
        <v>0</v>
      </c>
      <c r="Q261" t="n">
        <v>0</v>
      </c>
      <c r="R261" s="2" t="inlineStr"/>
    </row>
    <row r="262" ht="15" customHeight="1">
      <c r="A262" t="inlineStr">
        <is>
          <t>A 6649-2026</t>
        </is>
      </c>
      <c r="B262" s="1" t="n">
        <v>46056.55203703704</v>
      </c>
      <c r="C262" s="1" t="n">
        <v>46160</v>
      </c>
      <c r="D262" t="inlineStr">
        <is>
          <t>NORRBOTTENS LÄN</t>
        </is>
      </c>
      <c r="E262" t="inlineStr">
        <is>
          <t>ARVIDSJAUR</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50109-2024</t>
        </is>
      </c>
      <c r="B263" s="1" t="n">
        <v>45600</v>
      </c>
      <c r="C263" s="1" t="n">
        <v>46160</v>
      </c>
      <c r="D263" t="inlineStr">
        <is>
          <t>NORRBOTTENS LÄN</t>
        </is>
      </c>
      <c r="E263" t="inlineStr">
        <is>
          <t>ARVIDSJAUR</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48856-2025</t>
        </is>
      </c>
      <c r="B264" s="1" t="n">
        <v>45937.43583333334</v>
      </c>
      <c r="C264" s="1" t="n">
        <v>46160</v>
      </c>
      <c r="D264" t="inlineStr">
        <is>
          <t>NORRBOTTENS LÄN</t>
        </is>
      </c>
      <c r="E264" t="inlineStr">
        <is>
          <t>ARVIDSJAUR</t>
        </is>
      </c>
      <c r="G264" t="n">
        <v>8.6</v>
      </c>
      <c r="H264" t="n">
        <v>0</v>
      </c>
      <c r="I264" t="n">
        <v>0</v>
      </c>
      <c r="J264" t="n">
        <v>0</v>
      </c>
      <c r="K264" t="n">
        <v>0</v>
      </c>
      <c r="L264" t="n">
        <v>0</v>
      </c>
      <c r="M264" t="n">
        <v>0</v>
      </c>
      <c r="N264" t="n">
        <v>0</v>
      </c>
      <c r="O264" t="n">
        <v>0</v>
      </c>
      <c r="P264" t="n">
        <v>0</v>
      </c>
      <c r="Q264" t="n">
        <v>0</v>
      </c>
      <c r="R264" s="2" t="inlineStr"/>
    </row>
    <row r="265" ht="15" customHeight="1">
      <c r="A265" t="inlineStr">
        <is>
          <t>A 48858-2025</t>
        </is>
      </c>
      <c r="B265" s="1" t="n">
        <v>45937.43831018519</v>
      </c>
      <c r="C265" s="1" t="n">
        <v>46160</v>
      </c>
      <c r="D265" t="inlineStr">
        <is>
          <t>NORRBOTTENS LÄN</t>
        </is>
      </c>
      <c r="E265" t="inlineStr">
        <is>
          <t>ARVIDSJAUR</t>
        </is>
      </c>
      <c r="G265" t="n">
        <v>1</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46160</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49927-2025</t>
        </is>
      </c>
      <c r="B267" s="1" t="n">
        <v>45939</v>
      </c>
      <c r="C267" s="1" t="n">
        <v>46160</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48321-2025</t>
        </is>
      </c>
      <c r="B268" s="1" t="n">
        <v>45933</v>
      </c>
      <c r="C268" s="1" t="n">
        <v>46160</v>
      </c>
      <c r="D268" t="inlineStr">
        <is>
          <t>NORRBOTTENS LÄN</t>
        </is>
      </c>
      <c r="E268" t="inlineStr">
        <is>
          <t>ARVIDSJAUR</t>
        </is>
      </c>
      <c r="G268" t="n">
        <v>3.6</v>
      </c>
      <c r="H268" t="n">
        <v>0</v>
      </c>
      <c r="I268" t="n">
        <v>0</v>
      </c>
      <c r="J268" t="n">
        <v>0</v>
      </c>
      <c r="K268" t="n">
        <v>0</v>
      </c>
      <c r="L268" t="n">
        <v>0</v>
      </c>
      <c r="M268" t="n">
        <v>0</v>
      </c>
      <c r="N268" t="n">
        <v>0</v>
      </c>
      <c r="O268" t="n">
        <v>0</v>
      </c>
      <c r="P268" t="n">
        <v>0</v>
      </c>
      <c r="Q268" t="n">
        <v>0</v>
      </c>
      <c r="R268" s="2" t="inlineStr"/>
    </row>
    <row r="269" ht="15" customHeight="1">
      <c r="A269" t="inlineStr">
        <is>
          <t>A 29514-2025</t>
        </is>
      </c>
      <c r="B269" s="1" t="n">
        <v>45825.3119212963</v>
      </c>
      <c r="C269" s="1" t="n">
        <v>46160</v>
      </c>
      <c r="D269" t="inlineStr">
        <is>
          <t>NORRBOTTENS LÄN</t>
        </is>
      </c>
      <c r="E269" t="inlineStr">
        <is>
          <t>ARVIDSJAUR</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50341-2025</t>
        </is>
      </c>
      <c r="B270" s="1" t="n">
        <v>45944.53100694445</v>
      </c>
      <c r="C270" s="1" t="n">
        <v>46160</v>
      </c>
      <c r="D270" t="inlineStr">
        <is>
          <t>NORRBOTTENS LÄN</t>
        </is>
      </c>
      <c r="E270" t="inlineStr">
        <is>
          <t>ARVIDSJAUR</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50348-2025</t>
        </is>
      </c>
      <c r="B271" s="1" t="n">
        <v>45944.54674768518</v>
      </c>
      <c r="C271" s="1" t="n">
        <v>46160</v>
      </c>
      <c r="D271" t="inlineStr">
        <is>
          <t>NORRBOTTENS LÄN</t>
        </is>
      </c>
      <c r="E271" t="inlineStr">
        <is>
          <t>ARVIDSJAUR</t>
        </is>
      </c>
      <c r="F271" t="inlineStr">
        <is>
          <t>Sveaskog</t>
        </is>
      </c>
      <c r="G271" t="n">
        <v>10.8</v>
      </c>
      <c r="H271" t="n">
        <v>0</v>
      </c>
      <c r="I271" t="n">
        <v>0</v>
      </c>
      <c r="J271" t="n">
        <v>0</v>
      </c>
      <c r="K271" t="n">
        <v>0</v>
      </c>
      <c r="L271" t="n">
        <v>0</v>
      </c>
      <c r="M271" t="n">
        <v>0</v>
      </c>
      <c r="N271" t="n">
        <v>0</v>
      </c>
      <c r="O271" t="n">
        <v>0</v>
      </c>
      <c r="P271" t="n">
        <v>0</v>
      </c>
      <c r="Q271" t="n">
        <v>0</v>
      </c>
      <c r="R271" s="2" t="inlineStr"/>
    </row>
    <row r="272" ht="15" customHeight="1">
      <c r="A272" t="inlineStr">
        <is>
          <t>A 35670-2025</t>
        </is>
      </c>
      <c r="B272" s="1" t="n">
        <v>45859.61556712963</v>
      </c>
      <c r="C272" s="1" t="n">
        <v>46160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46160</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48048-2022</t>
        </is>
      </c>
      <c r="B274" s="1" t="n">
        <v>44855</v>
      </c>
      <c r="C274" s="1" t="n">
        <v>46160</v>
      </c>
      <c r="D274" t="inlineStr">
        <is>
          <t>NORRBOTTENS LÄN</t>
        </is>
      </c>
      <c r="E274" t="inlineStr">
        <is>
          <t>ARVIDSJAUR</t>
        </is>
      </c>
      <c r="G274" t="n">
        <v>3.2</v>
      </c>
      <c r="H274" t="n">
        <v>0</v>
      </c>
      <c r="I274" t="n">
        <v>0</v>
      </c>
      <c r="J274" t="n">
        <v>0</v>
      </c>
      <c r="K274" t="n">
        <v>0</v>
      </c>
      <c r="L274" t="n">
        <v>0</v>
      </c>
      <c r="M274" t="n">
        <v>0</v>
      </c>
      <c r="N274" t="n">
        <v>0</v>
      </c>
      <c r="O274" t="n">
        <v>0</v>
      </c>
      <c r="P274" t="n">
        <v>0</v>
      </c>
      <c r="Q274" t="n">
        <v>0</v>
      </c>
      <c r="R274" s="2" t="inlineStr"/>
    </row>
    <row r="275" ht="15" customHeight="1">
      <c r="A275" t="inlineStr">
        <is>
          <t>A 50350-2025</t>
        </is>
      </c>
      <c r="B275" s="1" t="n">
        <v>45944.55045138889</v>
      </c>
      <c r="C275" s="1" t="n">
        <v>46160</v>
      </c>
      <c r="D275" t="inlineStr">
        <is>
          <t>NORRBOTTENS LÄN</t>
        </is>
      </c>
      <c r="E275" t="inlineStr">
        <is>
          <t>ARVIDSJAUR</t>
        </is>
      </c>
      <c r="F275" t="inlineStr">
        <is>
          <t>Sveaskog</t>
        </is>
      </c>
      <c r="G275" t="n">
        <v>13.1</v>
      </c>
      <c r="H275" t="n">
        <v>0</v>
      </c>
      <c r="I275" t="n">
        <v>0</v>
      </c>
      <c r="J275" t="n">
        <v>0</v>
      </c>
      <c r="K275" t="n">
        <v>0</v>
      </c>
      <c r="L275" t="n">
        <v>0</v>
      </c>
      <c r="M275" t="n">
        <v>0</v>
      </c>
      <c r="N275" t="n">
        <v>0</v>
      </c>
      <c r="O275" t="n">
        <v>0</v>
      </c>
      <c r="P275" t="n">
        <v>0</v>
      </c>
      <c r="Q275" t="n">
        <v>0</v>
      </c>
      <c r="R275" s="2" t="inlineStr"/>
    </row>
    <row r="276" ht="15" customHeight="1">
      <c r="A276" t="inlineStr">
        <is>
          <t>A 41599-2024</t>
        </is>
      </c>
      <c r="B276" s="1" t="n">
        <v>45560</v>
      </c>
      <c r="C276" s="1" t="n">
        <v>46160</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50813-2025</t>
        </is>
      </c>
      <c r="B277" s="1" t="n">
        <v>45946.52356481482</v>
      </c>
      <c r="C277" s="1" t="n">
        <v>46160</v>
      </c>
      <c r="D277" t="inlineStr">
        <is>
          <t>NORRBOTTENS LÄN</t>
        </is>
      </c>
      <c r="E277" t="inlineStr">
        <is>
          <t>ARVIDSJAUR</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50835-2025</t>
        </is>
      </c>
      <c r="B278" s="1" t="n">
        <v>45946.55768518519</v>
      </c>
      <c r="C278" s="1" t="n">
        <v>46160</v>
      </c>
      <c r="D278" t="inlineStr">
        <is>
          <t>NORRBOTTENS LÄN</t>
        </is>
      </c>
      <c r="E278" t="inlineStr">
        <is>
          <t>ARVIDSJAUR</t>
        </is>
      </c>
      <c r="F278" t="inlineStr">
        <is>
          <t>Sveaskog</t>
        </is>
      </c>
      <c r="G278" t="n">
        <v>13.4</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45946.56050925926</v>
      </c>
      <c r="C279" s="1" t="n">
        <v>46160</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6653-2026</t>
        </is>
      </c>
      <c r="B280" s="1" t="n">
        <v>46056.55535879629</v>
      </c>
      <c r="C280" s="1" t="n">
        <v>46160</v>
      </c>
      <c r="D280" t="inlineStr">
        <is>
          <t>NORRBOTTENS LÄN</t>
        </is>
      </c>
      <c r="E280" t="inlineStr">
        <is>
          <t>ARVIDSJAUR</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53683-2024</t>
        </is>
      </c>
      <c r="B281" s="1" t="n">
        <v>45612</v>
      </c>
      <c r="C281" s="1" t="n">
        <v>46160</v>
      </c>
      <c r="D281" t="inlineStr">
        <is>
          <t>NORRBOTTENS LÄN</t>
        </is>
      </c>
      <c r="E281" t="inlineStr">
        <is>
          <t>ARVIDSJAUR</t>
        </is>
      </c>
      <c r="G281" t="n">
        <v>3.7</v>
      </c>
      <c r="H281" t="n">
        <v>0</v>
      </c>
      <c r="I281" t="n">
        <v>0</v>
      </c>
      <c r="J281" t="n">
        <v>0</v>
      </c>
      <c r="K281" t="n">
        <v>0</v>
      </c>
      <c r="L281" t="n">
        <v>0</v>
      </c>
      <c r="M281" t="n">
        <v>0</v>
      </c>
      <c r="N281" t="n">
        <v>0</v>
      </c>
      <c r="O281" t="n">
        <v>0</v>
      </c>
      <c r="P281" t="n">
        <v>0</v>
      </c>
      <c r="Q281" t="n">
        <v>0</v>
      </c>
      <c r="R281" s="2" t="inlineStr"/>
    </row>
    <row r="282" ht="15" customHeight="1">
      <c r="A282" t="inlineStr">
        <is>
          <t>A 51345-2025</t>
        </is>
      </c>
      <c r="B282" s="1" t="n">
        <v>45950.4332175926</v>
      </c>
      <c r="C282" s="1" t="n">
        <v>46160</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48358-2024</t>
        </is>
      </c>
      <c r="B283" s="1" t="n">
        <v>45590</v>
      </c>
      <c r="C283" s="1" t="n">
        <v>46160</v>
      </c>
      <c r="D283" t="inlineStr">
        <is>
          <t>NORRBOTTENS LÄN</t>
        </is>
      </c>
      <c r="E283" t="inlineStr">
        <is>
          <t>ARVIDSJAUR</t>
        </is>
      </c>
      <c r="F283" t="inlineStr">
        <is>
          <t>Sveaskog</t>
        </is>
      </c>
      <c r="G283" t="n">
        <v>20.3</v>
      </c>
      <c r="H283" t="n">
        <v>0</v>
      </c>
      <c r="I283" t="n">
        <v>0</v>
      </c>
      <c r="J283" t="n">
        <v>0</v>
      </c>
      <c r="K283" t="n">
        <v>0</v>
      </c>
      <c r="L283" t="n">
        <v>0</v>
      </c>
      <c r="M283" t="n">
        <v>0</v>
      </c>
      <c r="N283" t="n">
        <v>0</v>
      </c>
      <c r="O283" t="n">
        <v>0</v>
      </c>
      <c r="P283" t="n">
        <v>0</v>
      </c>
      <c r="Q283" t="n">
        <v>0</v>
      </c>
      <c r="R283" s="2" t="inlineStr"/>
    </row>
    <row r="284" ht="15" customHeight="1">
      <c r="A284" t="inlineStr">
        <is>
          <t>A 51406-2025</t>
        </is>
      </c>
      <c r="B284" s="1" t="n">
        <v>45950.48436342592</v>
      </c>
      <c r="C284" s="1" t="n">
        <v>46160</v>
      </c>
      <c r="D284" t="inlineStr">
        <is>
          <t>NORRBOTTENS LÄN</t>
        </is>
      </c>
      <c r="E284" t="inlineStr">
        <is>
          <t>ARVIDSJAUR</t>
        </is>
      </c>
      <c r="G284" t="n">
        <v>1.2</v>
      </c>
      <c r="H284" t="n">
        <v>0</v>
      </c>
      <c r="I284" t="n">
        <v>0</v>
      </c>
      <c r="J284" t="n">
        <v>0</v>
      </c>
      <c r="K284" t="n">
        <v>0</v>
      </c>
      <c r="L284" t="n">
        <v>0</v>
      </c>
      <c r="M284" t="n">
        <v>0</v>
      </c>
      <c r="N284" t="n">
        <v>0</v>
      </c>
      <c r="O284" t="n">
        <v>0</v>
      </c>
      <c r="P284" t="n">
        <v>0</v>
      </c>
      <c r="Q284" t="n">
        <v>0</v>
      </c>
      <c r="R284" s="2" t="inlineStr"/>
    </row>
    <row r="285" ht="15" customHeight="1">
      <c r="A285" t="inlineStr">
        <is>
          <t>A 49172-2024</t>
        </is>
      </c>
      <c r="B285" s="1" t="n">
        <v>45595.31174768518</v>
      </c>
      <c r="C285" s="1" t="n">
        <v>46160</v>
      </c>
      <c r="D285" t="inlineStr">
        <is>
          <t>NORRBOTTENS LÄN</t>
        </is>
      </c>
      <c r="E285" t="inlineStr">
        <is>
          <t>ARVIDSJAUR</t>
        </is>
      </c>
      <c r="F285" t="inlineStr">
        <is>
          <t>Sveaskog</t>
        </is>
      </c>
      <c r="G285" t="n">
        <v>10.8</v>
      </c>
      <c r="H285" t="n">
        <v>0</v>
      </c>
      <c r="I285" t="n">
        <v>0</v>
      </c>
      <c r="J285" t="n">
        <v>0</v>
      </c>
      <c r="K285" t="n">
        <v>0</v>
      </c>
      <c r="L285" t="n">
        <v>0</v>
      </c>
      <c r="M285" t="n">
        <v>0</v>
      </c>
      <c r="N285" t="n">
        <v>0</v>
      </c>
      <c r="O285" t="n">
        <v>0</v>
      </c>
      <c r="P285" t="n">
        <v>0</v>
      </c>
      <c r="Q285" t="n">
        <v>0</v>
      </c>
      <c r="R285" s="2" t="inlineStr"/>
    </row>
    <row r="286" ht="15" customHeight="1">
      <c r="A286" t="inlineStr">
        <is>
          <t>A 11741-2025</t>
        </is>
      </c>
      <c r="B286" s="1" t="n">
        <v>45727</v>
      </c>
      <c r="C286" s="1" t="n">
        <v>46160</v>
      </c>
      <c r="D286" t="inlineStr">
        <is>
          <t>NORRBOTTENS LÄN</t>
        </is>
      </c>
      <c r="E286" t="inlineStr">
        <is>
          <t>ARVIDSJAUR</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51349-2025</t>
        </is>
      </c>
      <c r="B287" s="1" t="n">
        <v>45950.43512731481</v>
      </c>
      <c r="C287" s="1" t="n">
        <v>46160</v>
      </c>
      <c r="D287" t="inlineStr">
        <is>
          <t>NORRBOTTENS LÄN</t>
        </is>
      </c>
      <c r="E287" t="inlineStr">
        <is>
          <t>ARVIDSJAUR</t>
        </is>
      </c>
      <c r="G287" t="n">
        <v>1.6</v>
      </c>
      <c r="H287" t="n">
        <v>0</v>
      </c>
      <c r="I287" t="n">
        <v>0</v>
      </c>
      <c r="J287" t="n">
        <v>0</v>
      </c>
      <c r="K287" t="n">
        <v>0</v>
      </c>
      <c r="L287" t="n">
        <v>0</v>
      </c>
      <c r="M287" t="n">
        <v>0</v>
      </c>
      <c r="N287" t="n">
        <v>0</v>
      </c>
      <c r="O287" t="n">
        <v>0</v>
      </c>
      <c r="P287" t="n">
        <v>0</v>
      </c>
      <c r="Q287" t="n">
        <v>0</v>
      </c>
      <c r="R287" s="2" t="inlineStr"/>
    </row>
    <row r="288" ht="15" customHeight="1">
      <c r="A288" t="inlineStr">
        <is>
          <t>A 51401-2025</t>
        </is>
      </c>
      <c r="B288" s="1" t="n">
        <v>45950.48019675926</v>
      </c>
      <c r="C288" s="1" t="n">
        <v>46160</v>
      </c>
      <c r="D288" t="inlineStr">
        <is>
          <t>NORRBOTTENS LÄN</t>
        </is>
      </c>
      <c r="E288" t="inlineStr">
        <is>
          <t>ARVIDSJAUR</t>
        </is>
      </c>
      <c r="G288" t="n">
        <v>6.8</v>
      </c>
      <c r="H288" t="n">
        <v>0</v>
      </c>
      <c r="I288" t="n">
        <v>0</v>
      </c>
      <c r="J288" t="n">
        <v>0</v>
      </c>
      <c r="K288" t="n">
        <v>0</v>
      </c>
      <c r="L288" t="n">
        <v>0</v>
      </c>
      <c r="M288" t="n">
        <v>0</v>
      </c>
      <c r="N288" t="n">
        <v>0</v>
      </c>
      <c r="O288" t="n">
        <v>0</v>
      </c>
      <c r="P288" t="n">
        <v>0</v>
      </c>
      <c r="Q288" t="n">
        <v>0</v>
      </c>
      <c r="R288" s="2" t="inlineStr"/>
    </row>
    <row r="289" ht="15" customHeight="1">
      <c r="A289" t="inlineStr">
        <is>
          <t>A 51403-2025</t>
        </is>
      </c>
      <c r="B289" s="1" t="n">
        <v>45950.48214120371</v>
      </c>
      <c r="C289" s="1" t="n">
        <v>46160</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51336-2025</t>
        </is>
      </c>
      <c r="B290" s="1" t="n">
        <v>45950</v>
      </c>
      <c r="C290" s="1" t="n">
        <v>46160</v>
      </c>
      <c r="D290" t="inlineStr">
        <is>
          <t>NORRBOTTENS LÄN</t>
        </is>
      </c>
      <c r="E290" t="inlineStr">
        <is>
          <t>ARVIDSJAUR</t>
        </is>
      </c>
      <c r="G290" t="n">
        <v>3.3</v>
      </c>
      <c r="H290" t="n">
        <v>0</v>
      </c>
      <c r="I290" t="n">
        <v>0</v>
      </c>
      <c r="J290" t="n">
        <v>0</v>
      </c>
      <c r="K290" t="n">
        <v>0</v>
      </c>
      <c r="L290" t="n">
        <v>0</v>
      </c>
      <c r="M290" t="n">
        <v>0</v>
      </c>
      <c r="N290" t="n">
        <v>0</v>
      </c>
      <c r="O290" t="n">
        <v>0</v>
      </c>
      <c r="P290" t="n">
        <v>0</v>
      </c>
      <c r="Q290" t="n">
        <v>0</v>
      </c>
      <c r="R290" s="2" t="inlineStr"/>
    </row>
    <row r="291" ht="15" customHeight="1">
      <c r="A291" t="inlineStr">
        <is>
          <t>A 36489-2025</t>
        </is>
      </c>
      <c r="B291" s="1" t="n">
        <v>45869.52704861111</v>
      </c>
      <c r="C291" s="1" t="n">
        <v>46160</v>
      </c>
      <c r="D291" t="inlineStr">
        <is>
          <t>NORRBOTTENS LÄN</t>
        </is>
      </c>
      <c r="E291" t="inlineStr">
        <is>
          <t>ARVIDSJAUR</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46443-2024</t>
        </is>
      </c>
      <c r="B292" s="1" t="n">
        <v>45582</v>
      </c>
      <c r="C292" s="1" t="n">
        <v>46160</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52127-2025</t>
        </is>
      </c>
      <c r="B293" s="1" t="n">
        <v>45952</v>
      </c>
      <c r="C293" s="1" t="n">
        <v>46160</v>
      </c>
      <c r="D293" t="inlineStr">
        <is>
          <t>NORRBOTTENS LÄN</t>
        </is>
      </c>
      <c r="E293" t="inlineStr">
        <is>
          <t>ARVIDSJAUR</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7043-2026</t>
        </is>
      </c>
      <c r="B294" s="1" t="n">
        <v>46057</v>
      </c>
      <c r="C294" s="1" t="n">
        <v>46160</v>
      </c>
      <c r="D294" t="inlineStr">
        <is>
          <t>NORRBOTTENS LÄN</t>
        </is>
      </c>
      <c r="E294" t="inlineStr">
        <is>
          <t>ARVIDSJAUR</t>
        </is>
      </c>
      <c r="G294" t="n">
        <v>7.1</v>
      </c>
      <c r="H294" t="n">
        <v>0</v>
      </c>
      <c r="I294" t="n">
        <v>0</v>
      </c>
      <c r="J294" t="n">
        <v>0</v>
      </c>
      <c r="K294" t="n">
        <v>0</v>
      </c>
      <c r="L294" t="n">
        <v>0</v>
      </c>
      <c r="M294" t="n">
        <v>0</v>
      </c>
      <c r="N294" t="n">
        <v>0</v>
      </c>
      <c r="O294" t="n">
        <v>0</v>
      </c>
      <c r="P294" t="n">
        <v>0</v>
      </c>
      <c r="Q294" t="n">
        <v>0</v>
      </c>
      <c r="R294" s="2" t="inlineStr"/>
    </row>
    <row r="295" ht="15" customHeight="1">
      <c r="A295" t="inlineStr">
        <is>
          <t>A 26686-2024</t>
        </is>
      </c>
      <c r="B295" s="1" t="n">
        <v>45470.35486111111</v>
      </c>
      <c r="C295" s="1" t="n">
        <v>46160</v>
      </c>
      <c r="D295" t="inlineStr">
        <is>
          <t>NORRBOTTENS LÄN</t>
        </is>
      </c>
      <c r="E295" t="inlineStr">
        <is>
          <t>ARVIDSJAUR</t>
        </is>
      </c>
      <c r="F295" t="inlineStr">
        <is>
          <t>Sveaskog</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10838-2025</t>
        </is>
      </c>
      <c r="B296" s="1" t="n">
        <v>45722</v>
      </c>
      <c r="C296" s="1" t="n">
        <v>46160</v>
      </c>
      <c r="D296" t="inlineStr">
        <is>
          <t>NORRBOTTENS LÄN</t>
        </is>
      </c>
      <c r="E296" t="inlineStr">
        <is>
          <t>ARVIDSJAUR</t>
        </is>
      </c>
      <c r="G296" t="n">
        <v>3.4</v>
      </c>
      <c r="H296" t="n">
        <v>0</v>
      </c>
      <c r="I296" t="n">
        <v>0</v>
      </c>
      <c r="J296" t="n">
        <v>0</v>
      </c>
      <c r="K296" t="n">
        <v>0</v>
      </c>
      <c r="L296" t="n">
        <v>0</v>
      </c>
      <c r="M296" t="n">
        <v>0</v>
      </c>
      <c r="N296" t="n">
        <v>0</v>
      </c>
      <c r="O296" t="n">
        <v>0</v>
      </c>
      <c r="P296" t="n">
        <v>0</v>
      </c>
      <c r="Q296" t="n">
        <v>0</v>
      </c>
      <c r="R296" s="2" t="inlineStr"/>
    </row>
    <row r="297" ht="15" customHeight="1">
      <c r="A297" t="inlineStr">
        <is>
          <t>A 11574-2025</t>
        </is>
      </c>
      <c r="B297" s="1" t="n">
        <v>45726</v>
      </c>
      <c r="C297" s="1" t="n">
        <v>46160</v>
      </c>
      <c r="D297" t="inlineStr">
        <is>
          <t>NORRBOTTENS LÄN</t>
        </is>
      </c>
      <c r="E297" t="inlineStr">
        <is>
          <t>ARVIDSJAUR</t>
        </is>
      </c>
      <c r="F297" t="inlineStr">
        <is>
          <t>Allmännings- och besparingsskogar</t>
        </is>
      </c>
      <c r="G297" t="n">
        <v>3.6</v>
      </c>
      <c r="H297" t="n">
        <v>0</v>
      </c>
      <c r="I297" t="n">
        <v>0</v>
      </c>
      <c r="J297" t="n">
        <v>0</v>
      </c>
      <c r="K297" t="n">
        <v>0</v>
      </c>
      <c r="L297" t="n">
        <v>0</v>
      </c>
      <c r="M297" t="n">
        <v>0</v>
      </c>
      <c r="N297" t="n">
        <v>0</v>
      </c>
      <c r="O297" t="n">
        <v>0</v>
      </c>
      <c r="P297" t="n">
        <v>0</v>
      </c>
      <c r="Q297" t="n">
        <v>0</v>
      </c>
      <c r="R297" s="2" t="inlineStr"/>
    </row>
    <row r="298" ht="15" customHeight="1">
      <c r="A298" t="inlineStr">
        <is>
          <t>A 11591-2025</t>
        </is>
      </c>
      <c r="B298" s="1" t="n">
        <v>45726</v>
      </c>
      <c r="C298" s="1" t="n">
        <v>46160</v>
      </c>
      <c r="D298" t="inlineStr">
        <is>
          <t>NORRBOTTENS LÄN</t>
        </is>
      </c>
      <c r="E298" t="inlineStr">
        <is>
          <t>ARVIDSJAUR</t>
        </is>
      </c>
      <c r="F298" t="inlineStr">
        <is>
          <t>Allmännings- och besparingsskogar</t>
        </is>
      </c>
      <c r="G298" t="n">
        <v>10.9</v>
      </c>
      <c r="H298" t="n">
        <v>0</v>
      </c>
      <c r="I298" t="n">
        <v>0</v>
      </c>
      <c r="J298" t="n">
        <v>0</v>
      </c>
      <c r="K298" t="n">
        <v>0</v>
      </c>
      <c r="L298" t="n">
        <v>0</v>
      </c>
      <c r="M298" t="n">
        <v>0</v>
      </c>
      <c r="N298" t="n">
        <v>0</v>
      </c>
      <c r="O298" t="n">
        <v>0</v>
      </c>
      <c r="P298" t="n">
        <v>0</v>
      </c>
      <c r="Q298" t="n">
        <v>0</v>
      </c>
      <c r="R298" s="2" t="inlineStr"/>
    </row>
    <row r="299" ht="15" customHeight="1">
      <c r="A299" t="inlineStr">
        <is>
          <t>A 28944-2025</t>
        </is>
      </c>
      <c r="B299" s="1" t="n">
        <v>45820</v>
      </c>
      <c r="C299" s="1" t="n">
        <v>46160</v>
      </c>
      <c r="D299" t="inlineStr">
        <is>
          <t>NORRBOTTENS LÄN</t>
        </is>
      </c>
      <c r="E299" t="inlineStr">
        <is>
          <t>ARVIDSJAUR</t>
        </is>
      </c>
      <c r="G299" t="n">
        <v>5.9</v>
      </c>
      <c r="H299" t="n">
        <v>0</v>
      </c>
      <c r="I299" t="n">
        <v>0</v>
      </c>
      <c r="J299" t="n">
        <v>0</v>
      </c>
      <c r="K299" t="n">
        <v>0</v>
      </c>
      <c r="L299" t="n">
        <v>0</v>
      </c>
      <c r="M299" t="n">
        <v>0</v>
      </c>
      <c r="N299" t="n">
        <v>0</v>
      </c>
      <c r="O299" t="n">
        <v>0</v>
      </c>
      <c r="P299" t="n">
        <v>0</v>
      </c>
      <c r="Q299" t="n">
        <v>0</v>
      </c>
      <c r="R299" s="2" t="inlineStr"/>
    </row>
    <row r="300" ht="15" customHeight="1">
      <c r="A300" t="inlineStr">
        <is>
          <t>A 52438-2025</t>
        </is>
      </c>
      <c r="B300" s="1" t="n">
        <v>45954.40479166667</v>
      </c>
      <c r="C300" s="1" t="n">
        <v>46160</v>
      </c>
      <c r="D300" t="inlineStr">
        <is>
          <t>NORRBOTTENS LÄN</t>
        </is>
      </c>
      <c r="E300" t="inlineStr">
        <is>
          <t>ARVIDSJAUR</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52448-2025</t>
        </is>
      </c>
      <c r="B301" s="1" t="n">
        <v>45954.41857638889</v>
      </c>
      <c r="C301" s="1" t="n">
        <v>46160</v>
      </c>
      <c r="D301" t="inlineStr">
        <is>
          <t>NORRBOTTENS LÄN</t>
        </is>
      </c>
      <c r="E301" t="inlineStr">
        <is>
          <t>ARVIDSJAUR</t>
        </is>
      </c>
      <c r="F301" t="inlineStr">
        <is>
          <t>Sveaskog</t>
        </is>
      </c>
      <c r="G301" t="n">
        <v>18.6</v>
      </c>
      <c r="H301" t="n">
        <v>0</v>
      </c>
      <c r="I301" t="n">
        <v>0</v>
      </c>
      <c r="J301" t="n">
        <v>0</v>
      </c>
      <c r="K301" t="n">
        <v>0</v>
      </c>
      <c r="L301" t="n">
        <v>0</v>
      </c>
      <c r="M301" t="n">
        <v>0</v>
      </c>
      <c r="N301" t="n">
        <v>0</v>
      </c>
      <c r="O301" t="n">
        <v>0</v>
      </c>
      <c r="P301" t="n">
        <v>0</v>
      </c>
      <c r="Q301" t="n">
        <v>0</v>
      </c>
      <c r="R301" s="2" t="inlineStr"/>
    </row>
    <row r="302" ht="15" customHeight="1">
      <c r="A302" t="inlineStr">
        <is>
          <t>A 37180-2025</t>
        </is>
      </c>
      <c r="B302" s="1" t="n">
        <v>45875</v>
      </c>
      <c r="C302" s="1" t="n">
        <v>46160</v>
      </c>
      <c r="D302" t="inlineStr">
        <is>
          <t>NORRBOTTENS LÄN</t>
        </is>
      </c>
      <c r="E302" t="inlineStr">
        <is>
          <t>ARVIDSJAUR</t>
        </is>
      </c>
      <c r="G302" t="n">
        <v>5.4</v>
      </c>
      <c r="H302" t="n">
        <v>0</v>
      </c>
      <c r="I302" t="n">
        <v>0</v>
      </c>
      <c r="J302" t="n">
        <v>0</v>
      </c>
      <c r="K302" t="n">
        <v>0</v>
      </c>
      <c r="L302" t="n">
        <v>0</v>
      </c>
      <c r="M302" t="n">
        <v>0</v>
      </c>
      <c r="N302" t="n">
        <v>0</v>
      </c>
      <c r="O302" t="n">
        <v>0</v>
      </c>
      <c r="P302" t="n">
        <v>0</v>
      </c>
      <c r="Q302" t="n">
        <v>0</v>
      </c>
      <c r="R302" s="2" t="inlineStr"/>
    </row>
    <row r="303" ht="15" customHeight="1">
      <c r="A303" t="inlineStr">
        <is>
          <t>A 61625-2024</t>
        </is>
      </c>
      <c r="B303" s="1" t="n">
        <v>45646</v>
      </c>
      <c r="C303" s="1" t="n">
        <v>46160</v>
      </c>
      <c r="D303" t="inlineStr">
        <is>
          <t>NORRBOTTENS LÄN</t>
        </is>
      </c>
      <c r="E303" t="inlineStr">
        <is>
          <t>ARVIDSJAUR</t>
        </is>
      </c>
      <c r="F303" t="inlineStr">
        <is>
          <t>Sveaskog</t>
        </is>
      </c>
      <c r="G303" t="n">
        <v>7.7</v>
      </c>
      <c r="H303" t="n">
        <v>0</v>
      </c>
      <c r="I303" t="n">
        <v>0</v>
      </c>
      <c r="J303" t="n">
        <v>0</v>
      </c>
      <c r="K303" t="n">
        <v>0</v>
      </c>
      <c r="L303" t="n">
        <v>0</v>
      </c>
      <c r="M303" t="n">
        <v>0</v>
      </c>
      <c r="N303" t="n">
        <v>0</v>
      </c>
      <c r="O303" t="n">
        <v>0</v>
      </c>
      <c r="P303" t="n">
        <v>0</v>
      </c>
      <c r="Q303" t="n">
        <v>0</v>
      </c>
      <c r="R303" s="2" t="inlineStr"/>
    </row>
    <row r="304" ht="15" customHeight="1">
      <c r="A304" t="inlineStr">
        <is>
          <t>A 52444-2025</t>
        </is>
      </c>
      <c r="B304" s="1" t="n">
        <v>45954.41598379629</v>
      </c>
      <c r="C304" s="1" t="n">
        <v>46160</v>
      </c>
      <c r="D304" t="inlineStr">
        <is>
          <t>NORRBOTTENS LÄN</t>
        </is>
      </c>
      <c r="E304" t="inlineStr">
        <is>
          <t>ARVIDSJAUR</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52948-2025</t>
        </is>
      </c>
      <c r="B305" s="1" t="n">
        <v>45957</v>
      </c>
      <c r="C305" s="1" t="n">
        <v>46160</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37191-2025</t>
        </is>
      </c>
      <c r="B306" s="1" t="n">
        <v>45875.64945601852</v>
      </c>
      <c r="C306" s="1" t="n">
        <v>46160</v>
      </c>
      <c r="D306" t="inlineStr">
        <is>
          <t>NORRBOTTENS LÄN</t>
        </is>
      </c>
      <c r="E306" t="inlineStr">
        <is>
          <t>ARVIDSJAUR</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37448-2025</t>
        </is>
      </c>
      <c r="B307" s="1" t="n">
        <v>45877</v>
      </c>
      <c r="C307" s="1" t="n">
        <v>46160</v>
      </c>
      <c r="D307" t="inlineStr">
        <is>
          <t>NORRBOTTENS LÄN</t>
        </is>
      </c>
      <c r="E307" t="inlineStr">
        <is>
          <t>ARVIDSJAUR</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37454-2025</t>
        </is>
      </c>
      <c r="B308" s="1" t="n">
        <v>45877.56238425926</v>
      </c>
      <c r="C308" s="1" t="n">
        <v>46160</v>
      </c>
      <c r="D308" t="inlineStr">
        <is>
          <t>NORRBOTTENS LÄN</t>
        </is>
      </c>
      <c r="E308" t="inlineStr">
        <is>
          <t>ARVIDSJAUR</t>
        </is>
      </c>
      <c r="F308" t="inlineStr">
        <is>
          <t>Sveaskog</t>
        </is>
      </c>
      <c r="G308" t="n">
        <v>23.4</v>
      </c>
      <c r="H308" t="n">
        <v>0</v>
      </c>
      <c r="I308" t="n">
        <v>0</v>
      </c>
      <c r="J308" t="n">
        <v>0</v>
      </c>
      <c r="K308" t="n">
        <v>0</v>
      </c>
      <c r="L308" t="n">
        <v>0</v>
      </c>
      <c r="M308" t="n">
        <v>0</v>
      </c>
      <c r="N308" t="n">
        <v>0</v>
      </c>
      <c r="O308" t="n">
        <v>0</v>
      </c>
      <c r="P308" t="n">
        <v>0</v>
      </c>
      <c r="Q308" t="n">
        <v>0</v>
      </c>
      <c r="R308" s="2" t="inlineStr"/>
    </row>
    <row r="309" ht="15" customHeight="1">
      <c r="A309" t="inlineStr">
        <is>
          <t>A 11582-2025</t>
        </is>
      </c>
      <c r="B309" s="1" t="n">
        <v>45726</v>
      </c>
      <c r="C309" s="1" t="n">
        <v>46160</v>
      </c>
      <c r="D309" t="inlineStr">
        <is>
          <t>NORRBOTTENS LÄN</t>
        </is>
      </c>
      <c r="E309" t="inlineStr">
        <is>
          <t>ARVIDSJAUR</t>
        </is>
      </c>
      <c r="F309" t="inlineStr">
        <is>
          <t>Allmännings- och besparingsskogar</t>
        </is>
      </c>
      <c r="G309" t="n">
        <v>7.1</v>
      </c>
      <c r="H309" t="n">
        <v>0</v>
      </c>
      <c r="I309" t="n">
        <v>0</v>
      </c>
      <c r="J309" t="n">
        <v>0</v>
      </c>
      <c r="K309" t="n">
        <v>0</v>
      </c>
      <c r="L309" t="n">
        <v>0</v>
      </c>
      <c r="M309" t="n">
        <v>0</v>
      </c>
      <c r="N309" t="n">
        <v>0</v>
      </c>
      <c r="O309" t="n">
        <v>0</v>
      </c>
      <c r="P309" t="n">
        <v>0</v>
      </c>
      <c r="Q309" t="n">
        <v>0</v>
      </c>
      <c r="R309" s="2" t="inlineStr"/>
    </row>
    <row r="310" ht="15" customHeight="1">
      <c r="A310" t="inlineStr">
        <is>
          <t>A 11538-2025</t>
        </is>
      </c>
      <c r="B310" s="1" t="n">
        <v>45726</v>
      </c>
      <c r="C310" s="1" t="n">
        <v>46160</v>
      </c>
      <c r="D310" t="inlineStr">
        <is>
          <t>NORRBOTTENS LÄN</t>
        </is>
      </c>
      <c r="E310" t="inlineStr">
        <is>
          <t>ARVIDSJAUR</t>
        </is>
      </c>
      <c r="F310" t="inlineStr">
        <is>
          <t>Allmännings- och besparingsskogar</t>
        </is>
      </c>
      <c r="G310" t="n">
        <v>15.3</v>
      </c>
      <c r="H310" t="n">
        <v>0</v>
      </c>
      <c r="I310" t="n">
        <v>0</v>
      </c>
      <c r="J310" t="n">
        <v>0</v>
      </c>
      <c r="K310" t="n">
        <v>0</v>
      </c>
      <c r="L310" t="n">
        <v>0</v>
      </c>
      <c r="M310" t="n">
        <v>0</v>
      </c>
      <c r="N310" t="n">
        <v>0</v>
      </c>
      <c r="O310" t="n">
        <v>0</v>
      </c>
      <c r="P310" t="n">
        <v>0</v>
      </c>
      <c r="Q310" t="n">
        <v>0</v>
      </c>
      <c r="R310" s="2" t="inlineStr"/>
    </row>
    <row r="311" ht="15" customHeight="1">
      <c r="A311" t="inlineStr">
        <is>
          <t>A 42798-2023</t>
        </is>
      </c>
      <c r="B311" s="1" t="n">
        <v>45182</v>
      </c>
      <c r="C311" s="1" t="n">
        <v>46160</v>
      </c>
      <c r="D311" t="inlineStr">
        <is>
          <t>NORRBOTTENS LÄN</t>
        </is>
      </c>
      <c r="E311" t="inlineStr">
        <is>
          <t>ARVIDSJAUR</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37788-2025</t>
        </is>
      </c>
      <c r="B312" s="1" t="n">
        <v>45881.30692129629</v>
      </c>
      <c r="C312" s="1" t="n">
        <v>46160</v>
      </c>
      <c r="D312" t="inlineStr">
        <is>
          <t>NORRBOTTENS LÄN</t>
        </is>
      </c>
      <c r="E312" t="inlineStr">
        <is>
          <t>ARVIDSJAUR</t>
        </is>
      </c>
      <c r="F312" t="inlineStr">
        <is>
          <t>Sveaskog</t>
        </is>
      </c>
      <c r="G312" t="n">
        <v>13.8</v>
      </c>
      <c r="H312" t="n">
        <v>0</v>
      </c>
      <c r="I312" t="n">
        <v>0</v>
      </c>
      <c r="J312" t="n">
        <v>0</v>
      </c>
      <c r="K312" t="n">
        <v>0</v>
      </c>
      <c r="L312" t="n">
        <v>0</v>
      </c>
      <c r="M312" t="n">
        <v>0</v>
      </c>
      <c r="N312" t="n">
        <v>0</v>
      </c>
      <c r="O312" t="n">
        <v>0</v>
      </c>
      <c r="P312" t="n">
        <v>0</v>
      </c>
      <c r="Q312" t="n">
        <v>0</v>
      </c>
      <c r="R312" s="2" t="inlineStr"/>
    </row>
    <row r="313" ht="15" customHeight="1">
      <c r="A313" t="inlineStr">
        <is>
          <t>A 37790-2025</t>
        </is>
      </c>
      <c r="B313" s="1" t="n">
        <v>45881.31024305556</v>
      </c>
      <c r="C313" s="1" t="n">
        <v>46160</v>
      </c>
      <c r="D313" t="inlineStr">
        <is>
          <t>NORRBOTTENS LÄN</t>
        </is>
      </c>
      <c r="E313" t="inlineStr">
        <is>
          <t>ARVIDSJAUR</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52646-2023</t>
        </is>
      </c>
      <c r="B314" s="1" t="n">
        <v>45225</v>
      </c>
      <c r="C314" s="1" t="n">
        <v>46160</v>
      </c>
      <c r="D314" t="inlineStr">
        <is>
          <t>NORRBOTTENS LÄN</t>
        </is>
      </c>
      <c r="E314" t="inlineStr">
        <is>
          <t>ARVIDSJAUR</t>
        </is>
      </c>
      <c r="G314" t="n">
        <v>1.2</v>
      </c>
      <c r="H314" t="n">
        <v>0</v>
      </c>
      <c r="I314" t="n">
        <v>0</v>
      </c>
      <c r="J314" t="n">
        <v>0</v>
      </c>
      <c r="K314" t="n">
        <v>0</v>
      </c>
      <c r="L314" t="n">
        <v>0</v>
      </c>
      <c r="M314" t="n">
        <v>0</v>
      </c>
      <c r="N314" t="n">
        <v>0</v>
      </c>
      <c r="O314" t="n">
        <v>0</v>
      </c>
      <c r="P314" t="n">
        <v>0</v>
      </c>
      <c r="Q314" t="n">
        <v>0</v>
      </c>
      <c r="R314" s="2" t="inlineStr"/>
    </row>
    <row r="315" ht="15" customHeight="1">
      <c r="A315" t="inlineStr">
        <is>
          <t>A 7084-2025</t>
        </is>
      </c>
      <c r="B315" s="1" t="n">
        <v>45701</v>
      </c>
      <c r="C315" s="1" t="n">
        <v>46160</v>
      </c>
      <c r="D315" t="inlineStr">
        <is>
          <t>NORRBOTTENS LÄN</t>
        </is>
      </c>
      <c r="E315" t="inlineStr">
        <is>
          <t>ARVIDSJAUR</t>
        </is>
      </c>
      <c r="G315" t="n">
        <v>1.7</v>
      </c>
      <c r="H315" t="n">
        <v>0</v>
      </c>
      <c r="I315" t="n">
        <v>0</v>
      </c>
      <c r="J315" t="n">
        <v>0</v>
      </c>
      <c r="K315" t="n">
        <v>0</v>
      </c>
      <c r="L315" t="n">
        <v>0</v>
      </c>
      <c r="M315" t="n">
        <v>0</v>
      </c>
      <c r="N315" t="n">
        <v>0</v>
      </c>
      <c r="O315" t="n">
        <v>0</v>
      </c>
      <c r="P315" t="n">
        <v>0</v>
      </c>
      <c r="Q315" t="n">
        <v>0</v>
      </c>
      <c r="R315" s="2" t="inlineStr"/>
    </row>
    <row r="316" ht="15" customHeight="1">
      <c r="A316" t="inlineStr">
        <is>
          <t>A 58942-2024</t>
        </is>
      </c>
      <c r="B316" s="1" t="n">
        <v>45636</v>
      </c>
      <c r="C316" s="1" t="n">
        <v>46160</v>
      </c>
      <c r="D316" t="inlineStr">
        <is>
          <t>NORRBOTTENS LÄN</t>
        </is>
      </c>
      <c r="E316" t="inlineStr">
        <is>
          <t>ARVIDSJAUR</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53978-2025</t>
        </is>
      </c>
      <c r="B317" s="1" t="n">
        <v>45961.55643518519</v>
      </c>
      <c r="C317" s="1" t="n">
        <v>46160</v>
      </c>
      <c r="D317" t="inlineStr">
        <is>
          <t>NORRBOTTENS LÄN</t>
        </is>
      </c>
      <c r="E317" t="inlineStr">
        <is>
          <t>ARVIDSJAUR</t>
        </is>
      </c>
      <c r="F317" t="inlineStr">
        <is>
          <t>Sveaskog</t>
        </is>
      </c>
      <c r="G317" t="n">
        <v>2.5</v>
      </c>
      <c r="H317" t="n">
        <v>0</v>
      </c>
      <c r="I317" t="n">
        <v>0</v>
      </c>
      <c r="J317" t="n">
        <v>0</v>
      </c>
      <c r="K317" t="n">
        <v>0</v>
      </c>
      <c r="L317" t="n">
        <v>0</v>
      </c>
      <c r="M317" t="n">
        <v>0</v>
      </c>
      <c r="N317" t="n">
        <v>0</v>
      </c>
      <c r="O317" t="n">
        <v>0</v>
      </c>
      <c r="P317" t="n">
        <v>0</v>
      </c>
      <c r="Q317" t="n">
        <v>0</v>
      </c>
      <c r="R317" s="2" t="inlineStr"/>
    </row>
    <row r="318" ht="15" customHeight="1">
      <c r="A318" t="inlineStr">
        <is>
          <t>A 56495-2024</t>
        </is>
      </c>
      <c r="B318" s="1" t="n">
        <v>45625</v>
      </c>
      <c r="C318" s="1" t="n">
        <v>46160</v>
      </c>
      <c r="D318" t="inlineStr">
        <is>
          <t>NORRBOTTENS LÄN</t>
        </is>
      </c>
      <c r="E318" t="inlineStr">
        <is>
          <t>ARVIDSJAUR</t>
        </is>
      </c>
      <c r="G318" t="n">
        <v>14.1</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46160</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54223-2025</t>
        </is>
      </c>
      <c r="B320" s="1" t="n">
        <v>45964.60665509259</v>
      </c>
      <c r="C320" s="1" t="n">
        <v>46160</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54086-2025</t>
        </is>
      </c>
      <c r="B321" s="1" t="n">
        <v>45964.38981481481</v>
      </c>
      <c r="C321" s="1" t="n">
        <v>46160</v>
      </c>
      <c r="D321" t="inlineStr">
        <is>
          <t>NORRBOTTENS LÄN</t>
        </is>
      </c>
      <c r="E321" t="inlineStr">
        <is>
          <t>ARVIDSJAUR</t>
        </is>
      </c>
      <c r="F321" t="inlineStr">
        <is>
          <t>Sveaskog</t>
        </is>
      </c>
      <c r="G321" t="n">
        <v>40.6</v>
      </c>
      <c r="H321" t="n">
        <v>0</v>
      </c>
      <c r="I321" t="n">
        <v>0</v>
      </c>
      <c r="J321" t="n">
        <v>0</v>
      </c>
      <c r="K321" t="n">
        <v>0</v>
      </c>
      <c r="L321" t="n">
        <v>0</v>
      </c>
      <c r="M321" t="n">
        <v>0</v>
      </c>
      <c r="N321" t="n">
        <v>0</v>
      </c>
      <c r="O321" t="n">
        <v>0</v>
      </c>
      <c r="P321" t="n">
        <v>0</v>
      </c>
      <c r="Q321" t="n">
        <v>0</v>
      </c>
      <c r="R321" s="2" t="inlineStr"/>
    </row>
    <row r="322" ht="15" customHeight="1">
      <c r="A322" t="inlineStr">
        <is>
          <t>A 38919-2025</t>
        </is>
      </c>
      <c r="B322" s="1" t="n">
        <v>45884</v>
      </c>
      <c r="C322" s="1" t="n">
        <v>46160</v>
      </c>
      <c r="D322" t="inlineStr">
        <is>
          <t>NORRBOTTENS LÄN</t>
        </is>
      </c>
      <c r="E322" t="inlineStr">
        <is>
          <t>ARVIDSJAUR</t>
        </is>
      </c>
      <c r="G322" t="n">
        <v>1.7</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46160</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34510-2021</t>
        </is>
      </c>
      <c r="B324" s="1" t="n">
        <v>44382</v>
      </c>
      <c r="C324" s="1" t="n">
        <v>46160</v>
      </c>
      <c r="D324" t="inlineStr">
        <is>
          <t>NORRBOTTENS LÄN</t>
        </is>
      </c>
      <c r="E324" t="inlineStr">
        <is>
          <t>ARVIDSJAUR</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54355-2025</t>
        </is>
      </c>
      <c r="B325" s="1" t="n">
        <v>45964</v>
      </c>
      <c r="C325" s="1" t="n">
        <v>46160</v>
      </c>
      <c r="D325" t="inlineStr">
        <is>
          <t>NORRBOTTENS LÄN</t>
        </is>
      </c>
      <c r="E325" t="inlineStr">
        <is>
          <t>ARVIDSJAUR</t>
        </is>
      </c>
      <c r="G325" t="n">
        <v>3.9</v>
      </c>
      <c r="H325" t="n">
        <v>0</v>
      </c>
      <c r="I325" t="n">
        <v>0</v>
      </c>
      <c r="J325" t="n">
        <v>0</v>
      </c>
      <c r="K325" t="n">
        <v>0</v>
      </c>
      <c r="L325" t="n">
        <v>0</v>
      </c>
      <c r="M325" t="n">
        <v>0</v>
      </c>
      <c r="N325" t="n">
        <v>0</v>
      </c>
      <c r="O325" t="n">
        <v>0</v>
      </c>
      <c r="P325" t="n">
        <v>0</v>
      </c>
      <c r="Q325" t="n">
        <v>0</v>
      </c>
      <c r="R325" s="2" t="inlineStr"/>
    </row>
    <row r="326" ht="15" customHeight="1">
      <c r="A326" t="inlineStr">
        <is>
          <t>A 53971-2025</t>
        </is>
      </c>
      <c r="B326" s="1" t="n">
        <v>45961</v>
      </c>
      <c r="C326" s="1" t="n">
        <v>46160</v>
      </c>
      <c r="D326" t="inlineStr">
        <is>
          <t>NORRBOTTENS LÄN</t>
        </is>
      </c>
      <c r="E326" t="inlineStr">
        <is>
          <t>ARVIDSJAUR</t>
        </is>
      </c>
      <c r="F326" t="inlineStr">
        <is>
          <t>Sveaskog</t>
        </is>
      </c>
      <c r="G326" t="n">
        <v>13.1</v>
      </c>
      <c r="H326" t="n">
        <v>0</v>
      </c>
      <c r="I326" t="n">
        <v>0</v>
      </c>
      <c r="J326" t="n">
        <v>0</v>
      </c>
      <c r="K326" t="n">
        <v>0</v>
      </c>
      <c r="L326" t="n">
        <v>0</v>
      </c>
      <c r="M326" t="n">
        <v>0</v>
      </c>
      <c r="N326" t="n">
        <v>0</v>
      </c>
      <c r="O326" t="n">
        <v>0</v>
      </c>
      <c r="P326" t="n">
        <v>0</v>
      </c>
      <c r="Q326" t="n">
        <v>0</v>
      </c>
      <c r="R326" s="2" t="inlineStr"/>
    </row>
    <row r="327" ht="15" customHeight="1">
      <c r="A327" t="inlineStr">
        <is>
          <t>A 54305-2025</t>
        </is>
      </c>
      <c r="B327" s="1" t="n">
        <v>45965.29879629629</v>
      </c>
      <c r="C327" s="1" t="n">
        <v>46160</v>
      </c>
      <c r="D327" t="inlineStr">
        <is>
          <t>NORRBOTTENS LÄN</t>
        </is>
      </c>
      <c r="E327" t="inlineStr">
        <is>
          <t>ARVIDSJAUR</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54363-2025</t>
        </is>
      </c>
      <c r="B328" s="1" t="n">
        <v>45965.39699074074</v>
      </c>
      <c r="C328" s="1" t="n">
        <v>46160</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54304-2025</t>
        </is>
      </c>
      <c r="B329" s="1" t="n">
        <v>45965.29511574074</v>
      </c>
      <c r="C329" s="1" t="n">
        <v>46160</v>
      </c>
      <c r="D329" t="inlineStr">
        <is>
          <t>NORRBOTTENS LÄN</t>
        </is>
      </c>
      <c r="E329" t="inlineStr">
        <is>
          <t>ARVIDSJAUR</t>
        </is>
      </c>
      <c r="F329" t="inlineStr">
        <is>
          <t>Sveaskog</t>
        </is>
      </c>
      <c r="G329" t="n">
        <v>12.4</v>
      </c>
      <c r="H329" t="n">
        <v>0</v>
      </c>
      <c r="I329" t="n">
        <v>0</v>
      </c>
      <c r="J329" t="n">
        <v>0</v>
      </c>
      <c r="K329" t="n">
        <v>0</v>
      </c>
      <c r="L329" t="n">
        <v>0</v>
      </c>
      <c r="M329" t="n">
        <v>0</v>
      </c>
      <c r="N329" t="n">
        <v>0</v>
      </c>
      <c r="O329" t="n">
        <v>0</v>
      </c>
      <c r="P329" t="n">
        <v>0</v>
      </c>
      <c r="Q329" t="n">
        <v>0</v>
      </c>
      <c r="R329" s="2" t="inlineStr"/>
    </row>
    <row r="330" ht="15" customHeight="1">
      <c r="A330" t="inlineStr">
        <is>
          <t>A 54303-2025</t>
        </is>
      </c>
      <c r="B330" s="1" t="n">
        <v>45965.28409722223</v>
      </c>
      <c r="C330" s="1" t="n">
        <v>46160</v>
      </c>
      <c r="D330" t="inlineStr">
        <is>
          <t>NORRBOTTENS LÄN</t>
        </is>
      </c>
      <c r="E330" t="inlineStr">
        <is>
          <t>ARVIDSJAUR</t>
        </is>
      </c>
      <c r="F330" t="inlineStr">
        <is>
          <t>Sveaskog</t>
        </is>
      </c>
      <c r="G330" t="n">
        <v>14.5</v>
      </c>
      <c r="H330" t="n">
        <v>0</v>
      </c>
      <c r="I330" t="n">
        <v>0</v>
      </c>
      <c r="J330" t="n">
        <v>0</v>
      </c>
      <c r="K330" t="n">
        <v>0</v>
      </c>
      <c r="L330" t="n">
        <v>0</v>
      </c>
      <c r="M330" t="n">
        <v>0</v>
      </c>
      <c r="N330" t="n">
        <v>0</v>
      </c>
      <c r="O330" t="n">
        <v>0</v>
      </c>
      <c r="P330" t="n">
        <v>0</v>
      </c>
      <c r="Q330" t="n">
        <v>0</v>
      </c>
      <c r="R330" s="2" t="inlineStr"/>
    </row>
    <row r="331" ht="15" customHeight="1">
      <c r="A331" t="inlineStr">
        <is>
          <t>A 38343-2025</t>
        </is>
      </c>
      <c r="B331" s="1" t="n">
        <v>45883</v>
      </c>
      <c r="C331" s="1" t="n">
        <v>46160</v>
      </c>
      <c r="D331" t="inlineStr">
        <is>
          <t>NORRBOTTENS LÄN</t>
        </is>
      </c>
      <c r="E331" t="inlineStr">
        <is>
          <t>ARVIDSJAUR</t>
        </is>
      </c>
      <c r="G331" t="n">
        <v>2.6</v>
      </c>
      <c r="H331" t="n">
        <v>0</v>
      </c>
      <c r="I331" t="n">
        <v>0</v>
      </c>
      <c r="J331" t="n">
        <v>0</v>
      </c>
      <c r="K331" t="n">
        <v>0</v>
      </c>
      <c r="L331" t="n">
        <v>0</v>
      </c>
      <c r="M331" t="n">
        <v>0</v>
      </c>
      <c r="N331" t="n">
        <v>0</v>
      </c>
      <c r="O331" t="n">
        <v>0</v>
      </c>
      <c r="P331" t="n">
        <v>0</v>
      </c>
      <c r="Q331" t="n">
        <v>0</v>
      </c>
      <c r="R331" s="2" t="inlineStr"/>
    </row>
    <row r="332" ht="15" customHeight="1">
      <c r="A332" t="inlineStr">
        <is>
          <t>A 54604-2025</t>
        </is>
      </c>
      <c r="B332" s="1" t="n">
        <v>45965.88976851852</v>
      </c>
      <c r="C332" s="1" t="n">
        <v>46160</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54360-2025</t>
        </is>
      </c>
      <c r="B333" s="1" t="n">
        <v>45965</v>
      </c>
      <c r="C333" s="1" t="n">
        <v>46160</v>
      </c>
      <c r="D333" t="inlineStr">
        <is>
          <t>NORRBOTTENS LÄN</t>
        </is>
      </c>
      <c r="E333" t="inlineStr">
        <is>
          <t>ARVIDSJAUR</t>
        </is>
      </c>
      <c r="G333" t="n">
        <v>1.2</v>
      </c>
      <c r="H333" t="n">
        <v>0</v>
      </c>
      <c r="I333" t="n">
        <v>0</v>
      </c>
      <c r="J333" t="n">
        <v>0</v>
      </c>
      <c r="K333" t="n">
        <v>0</v>
      </c>
      <c r="L333" t="n">
        <v>0</v>
      </c>
      <c r="M333" t="n">
        <v>0</v>
      </c>
      <c r="N333" t="n">
        <v>0</v>
      </c>
      <c r="O333" t="n">
        <v>0</v>
      </c>
      <c r="P333" t="n">
        <v>0</v>
      </c>
      <c r="Q333" t="n">
        <v>0</v>
      </c>
      <c r="R333" s="2" t="inlineStr"/>
    </row>
    <row r="334" ht="15" customHeight="1">
      <c r="A334" t="inlineStr">
        <is>
          <t>A 54362-2025</t>
        </is>
      </c>
      <c r="B334" s="1" t="n">
        <v>45965</v>
      </c>
      <c r="C334" s="1" t="n">
        <v>46160</v>
      </c>
      <c r="D334" t="inlineStr">
        <is>
          <t>NORRBOTTENS LÄN</t>
        </is>
      </c>
      <c r="E334" t="inlineStr">
        <is>
          <t>ARVIDSJAUR</t>
        </is>
      </c>
      <c r="G334" t="n">
        <v>0.8</v>
      </c>
      <c r="H334" t="n">
        <v>0</v>
      </c>
      <c r="I334" t="n">
        <v>0</v>
      </c>
      <c r="J334" t="n">
        <v>0</v>
      </c>
      <c r="K334" t="n">
        <v>0</v>
      </c>
      <c r="L334" t="n">
        <v>0</v>
      </c>
      <c r="M334" t="n">
        <v>0</v>
      </c>
      <c r="N334" t="n">
        <v>0</v>
      </c>
      <c r="O334" t="n">
        <v>0</v>
      </c>
      <c r="P334" t="n">
        <v>0</v>
      </c>
      <c r="Q334" t="n">
        <v>0</v>
      </c>
      <c r="R334" s="2" t="inlineStr"/>
    </row>
    <row r="335" ht="15" customHeight="1">
      <c r="A335" t="inlineStr">
        <is>
          <t>A 39619-2022</t>
        </is>
      </c>
      <c r="B335" s="1" t="n">
        <v>44818</v>
      </c>
      <c r="C335" s="1" t="n">
        <v>46160</v>
      </c>
      <c r="D335" t="inlineStr">
        <is>
          <t>NORRBOTTENS LÄN</t>
        </is>
      </c>
      <c r="E335" t="inlineStr">
        <is>
          <t>ARVIDSJAUR</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2301-2026</t>
        </is>
      </c>
      <c r="B336" s="1" t="n">
        <v>46034</v>
      </c>
      <c r="C336" s="1" t="n">
        <v>46160</v>
      </c>
      <c r="D336" t="inlineStr">
        <is>
          <t>NORRBOTTENS LÄN</t>
        </is>
      </c>
      <c r="E336" t="inlineStr">
        <is>
          <t>ARVIDSJAUR</t>
        </is>
      </c>
      <c r="F336" t="inlineStr">
        <is>
          <t>Allmännings- och besparingsskogar</t>
        </is>
      </c>
      <c r="G336" t="n">
        <v>6.9</v>
      </c>
      <c r="H336" t="n">
        <v>0</v>
      </c>
      <c r="I336" t="n">
        <v>0</v>
      </c>
      <c r="J336" t="n">
        <v>0</v>
      </c>
      <c r="K336" t="n">
        <v>0</v>
      </c>
      <c r="L336" t="n">
        <v>0</v>
      </c>
      <c r="M336" t="n">
        <v>0</v>
      </c>
      <c r="N336" t="n">
        <v>0</v>
      </c>
      <c r="O336" t="n">
        <v>0</v>
      </c>
      <c r="P336" t="n">
        <v>0</v>
      </c>
      <c r="Q336" t="n">
        <v>0</v>
      </c>
      <c r="R336" s="2" t="inlineStr"/>
    </row>
    <row r="337" ht="15" customHeight="1">
      <c r="A337" t="inlineStr">
        <is>
          <t>A 39775-2022</t>
        </is>
      </c>
      <c r="B337" s="1" t="n">
        <v>44819</v>
      </c>
      <c r="C337" s="1" t="n">
        <v>46160</v>
      </c>
      <c r="D337" t="inlineStr">
        <is>
          <t>NORRBOTTENS LÄN</t>
        </is>
      </c>
      <c r="E337" t="inlineStr">
        <is>
          <t>ARVIDSJAUR</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19237-2025</t>
        </is>
      </c>
      <c r="B338" s="1" t="n">
        <v>45769</v>
      </c>
      <c r="C338" s="1" t="n">
        <v>46160</v>
      </c>
      <c r="D338" t="inlineStr">
        <is>
          <t>NORRBOTTENS LÄN</t>
        </is>
      </c>
      <c r="E338" t="inlineStr">
        <is>
          <t>ARVIDSJAUR</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55755-2025</t>
        </is>
      </c>
      <c r="B339" s="1" t="n">
        <v>45972.59224537037</v>
      </c>
      <c r="C339" s="1" t="n">
        <v>46160</v>
      </c>
      <c r="D339" t="inlineStr">
        <is>
          <t>NORRBOTTENS LÄN</t>
        </is>
      </c>
      <c r="E339" t="inlineStr">
        <is>
          <t>ARVIDSJAUR</t>
        </is>
      </c>
      <c r="F339" t="inlineStr">
        <is>
          <t>Sveaskog</t>
        </is>
      </c>
      <c r="G339" t="n">
        <v>18.9</v>
      </c>
      <c r="H339" t="n">
        <v>0</v>
      </c>
      <c r="I339" t="n">
        <v>0</v>
      </c>
      <c r="J339" t="n">
        <v>0</v>
      </c>
      <c r="K339" t="n">
        <v>0</v>
      </c>
      <c r="L339" t="n">
        <v>0</v>
      </c>
      <c r="M339" t="n">
        <v>0</v>
      </c>
      <c r="N339" t="n">
        <v>0</v>
      </c>
      <c r="O339" t="n">
        <v>0</v>
      </c>
      <c r="P339" t="n">
        <v>0</v>
      </c>
      <c r="Q339" t="n">
        <v>0</v>
      </c>
      <c r="R339" s="2" t="inlineStr"/>
    </row>
    <row r="340" ht="15" customHeight="1">
      <c r="A340" t="inlineStr">
        <is>
          <t>A 56283-2025</t>
        </is>
      </c>
      <c r="B340" s="1" t="n">
        <v>45974.59386574074</v>
      </c>
      <c r="C340" s="1" t="n">
        <v>46160</v>
      </c>
      <c r="D340" t="inlineStr">
        <is>
          <t>NORRBOTTENS LÄN</t>
        </is>
      </c>
      <c r="E340" t="inlineStr">
        <is>
          <t>ARVIDSJAUR</t>
        </is>
      </c>
      <c r="G340" t="n">
        <v>4.4</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46160</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55929-2025</t>
        </is>
      </c>
      <c r="B342" s="1" t="n">
        <v>45973.43658564815</v>
      </c>
      <c r="C342" s="1" t="n">
        <v>46160</v>
      </c>
      <c r="D342" t="inlineStr">
        <is>
          <t>NORRBOTTENS LÄN</t>
        </is>
      </c>
      <c r="E342" t="inlineStr">
        <is>
          <t>ARVIDSJAUR</t>
        </is>
      </c>
      <c r="F342" t="inlineStr">
        <is>
          <t>Övriga Aktiebolag</t>
        </is>
      </c>
      <c r="G342" t="n">
        <v>11.8</v>
      </c>
      <c r="H342" t="n">
        <v>0</v>
      </c>
      <c r="I342" t="n">
        <v>0</v>
      </c>
      <c r="J342" t="n">
        <v>0</v>
      </c>
      <c r="K342" t="n">
        <v>0</v>
      </c>
      <c r="L342" t="n">
        <v>0</v>
      </c>
      <c r="M342" t="n">
        <v>0</v>
      </c>
      <c r="N342" t="n">
        <v>0</v>
      </c>
      <c r="O342" t="n">
        <v>0</v>
      </c>
      <c r="P342" t="n">
        <v>0</v>
      </c>
      <c r="Q342" t="n">
        <v>0</v>
      </c>
      <c r="R342" s="2" t="inlineStr"/>
    </row>
    <row r="343" ht="15" customHeight="1">
      <c r="A343" t="inlineStr">
        <is>
          <t>A 56174-2025</t>
        </is>
      </c>
      <c r="B343" s="1" t="n">
        <v>45974.39755787037</v>
      </c>
      <c r="C343" s="1" t="n">
        <v>46160</v>
      </c>
      <c r="D343" t="inlineStr">
        <is>
          <t>NORRBOTTENS LÄN</t>
        </is>
      </c>
      <c r="E343" t="inlineStr">
        <is>
          <t>ARVIDSJAUR</t>
        </is>
      </c>
      <c r="G343" t="n">
        <v>4</v>
      </c>
      <c r="H343" t="n">
        <v>0</v>
      </c>
      <c r="I343" t="n">
        <v>0</v>
      </c>
      <c r="J343" t="n">
        <v>0</v>
      </c>
      <c r="K343" t="n">
        <v>0</v>
      </c>
      <c r="L343" t="n">
        <v>0</v>
      </c>
      <c r="M343" t="n">
        <v>0</v>
      </c>
      <c r="N343" t="n">
        <v>0</v>
      </c>
      <c r="O343" t="n">
        <v>0</v>
      </c>
      <c r="P343" t="n">
        <v>0</v>
      </c>
      <c r="Q343" t="n">
        <v>0</v>
      </c>
      <c r="R343" s="2" t="inlineStr"/>
    </row>
    <row r="344" ht="15" customHeight="1">
      <c r="A344" t="inlineStr">
        <is>
          <t>A 56168-2025</t>
        </is>
      </c>
      <c r="B344" s="1" t="n">
        <v>45974.38932870371</v>
      </c>
      <c r="C344" s="1" t="n">
        <v>46160</v>
      </c>
      <c r="D344" t="inlineStr">
        <is>
          <t>NORRBOTTENS LÄN</t>
        </is>
      </c>
      <c r="E344" t="inlineStr">
        <is>
          <t>ARVIDSJAUR</t>
        </is>
      </c>
      <c r="F344" t="inlineStr">
        <is>
          <t>Sveaskog</t>
        </is>
      </c>
      <c r="G344" t="n">
        <v>14.4</v>
      </c>
      <c r="H344" t="n">
        <v>0</v>
      </c>
      <c r="I344" t="n">
        <v>0</v>
      </c>
      <c r="J344" t="n">
        <v>0</v>
      </c>
      <c r="K344" t="n">
        <v>0</v>
      </c>
      <c r="L344" t="n">
        <v>0</v>
      </c>
      <c r="M344" t="n">
        <v>0</v>
      </c>
      <c r="N344" t="n">
        <v>0</v>
      </c>
      <c r="O344" t="n">
        <v>0</v>
      </c>
      <c r="P344" t="n">
        <v>0</v>
      </c>
      <c r="Q344" t="n">
        <v>0</v>
      </c>
      <c r="R344" s="2" t="inlineStr"/>
    </row>
    <row r="345" ht="15" customHeight="1">
      <c r="A345" t="inlineStr">
        <is>
          <t>A 55795-2025</t>
        </is>
      </c>
      <c r="B345" s="1" t="n">
        <v>45972.65466435185</v>
      </c>
      <c r="C345" s="1" t="n">
        <v>46160</v>
      </c>
      <c r="D345" t="inlineStr">
        <is>
          <t>NORRBOTTENS LÄN</t>
        </is>
      </c>
      <c r="E345" t="inlineStr">
        <is>
          <t>ARVIDSJAUR</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46160</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56265-2025</t>
        </is>
      </c>
      <c r="B347" s="1" t="n">
        <v>45974.57791666667</v>
      </c>
      <c r="C347" s="1" t="n">
        <v>46160</v>
      </c>
      <c r="D347" t="inlineStr">
        <is>
          <t>NORRBOTTENS LÄN</t>
        </is>
      </c>
      <c r="E347" t="inlineStr">
        <is>
          <t>ARVIDSJAUR</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56520-2025</t>
        </is>
      </c>
      <c r="B348" s="1" t="n">
        <v>45975.46047453704</v>
      </c>
      <c r="C348" s="1" t="n">
        <v>46160</v>
      </c>
      <c r="D348" t="inlineStr">
        <is>
          <t>NORRBOTTENS LÄN</t>
        </is>
      </c>
      <c r="E348" t="inlineStr">
        <is>
          <t>ARVIDSJAUR</t>
        </is>
      </c>
      <c r="F348" t="inlineStr">
        <is>
          <t>Sveaskog</t>
        </is>
      </c>
      <c r="G348" t="n">
        <v>14.9</v>
      </c>
      <c r="H348" t="n">
        <v>0</v>
      </c>
      <c r="I348" t="n">
        <v>0</v>
      </c>
      <c r="J348" t="n">
        <v>0</v>
      </c>
      <c r="K348" t="n">
        <v>0</v>
      </c>
      <c r="L348" t="n">
        <v>0</v>
      </c>
      <c r="M348" t="n">
        <v>0</v>
      </c>
      <c r="N348" t="n">
        <v>0</v>
      </c>
      <c r="O348" t="n">
        <v>0</v>
      </c>
      <c r="P348" t="n">
        <v>0</v>
      </c>
      <c r="Q348" t="n">
        <v>0</v>
      </c>
      <c r="R348" s="2" t="inlineStr"/>
    </row>
    <row r="349" ht="15" customHeight="1">
      <c r="A349" t="inlineStr">
        <is>
          <t>A 56651-2025</t>
        </is>
      </c>
      <c r="B349" s="1" t="n">
        <v>45975.64247685186</v>
      </c>
      <c r="C349" s="1" t="n">
        <v>46160</v>
      </c>
      <c r="D349" t="inlineStr">
        <is>
          <t>NORRBOTTENS LÄN</t>
        </is>
      </c>
      <c r="E349" t="inlineStr">
        <is>
          <t>ARVIDSJAUR</t>
        </is>
      </c>
      <c r="F349" t="inlineStr">
        <is>
          <t>Sveaskog</t>
        </is>
      </c>
      <c r="G349" t="n">
        <v>11.3</v>
      </c>
      <c r="H349" t="n">
        <v>0</v>
      </c>
      <c r="I349" t="n">
        <v>0</v>
      </c>
      <c r="J349" t="n">
        <v>0</v>
      </c>
      <c r="K349" t="n">
        <v>0</v>
      </c>
      <c r="L349" t="n">
        <v>0</v>
      </c>
      <c r="M349" t="n">
        <v>0</v>
      </c>
      <c r="N349" t="n">
        <v>0</v>
      </c>
      <c r="O349" t="n">
        <v>0</v>
      </c>
      <c r="P349" t="n">
        <v>0</v>
      </c>
      <c r="Q349" t="n">
        <v>0</v>
      </c>
      <c r="R349" s="2" t="inlineStr"/>
    </row>
    <row r="350" ht="15" customHeight="1">
      <c r="A350" t="inlineStr">
        <is>
          <t>A 57164-2025</t>
        </is>
      </c>
      <c r="B350" s="1" t="n">
        <v>45978</v>
      </c>
      <c r="C350" s="1" t="n">
        <v>46160</v>
      </c>
      <c r="D350" t="inlineStr">
        <is>
          <t>NORRBOTTENS LÄN</t>
        </is>
      </c>
      <c r="E350" t="inlineStr">
        <is>
          <t>ARVIDSJAUR</t>
        </is>
      </c>
      <c r="G350" t="n">
        <v>2.1</v>
      </c>
      <c r="H350" t="n">
        <v>0</v>
      </c>
      <c r="I350" t="n">
        <v>0</v>
      </c>
      <c r="J350" t="n">
        <v>0</v>
      </c>
      <c r="K350" t="n">
        <v>0</v>
      </c>
      <c r="L350" t="n">
        <v>0</v>
      </c>
      <c r="M350" t="n">
        <v>0</v>
      </c>
      <c r="N350" t="n">
        <v>0</v>
      </c>
      <c r="O350" t="n">
        <v>0</v>
      </c>
      <c r="P350" t="n">
        <v>0</v>
      </c>
      <c r="Q350" t="n">
        <v>0</v>
      </c>
      <c r="R350" s="2" t="inlineStr"/>
    </row>
    <row r="351" ht="15" customHeight="1">
      <c r="A351" t="inlineStr">
        <is>
          <t>A 56529-2025</t>
        </is>
      </c>
      <c r="B351" s="1" t="n">
        <v>45975.46728009259</v>
      </c>
      <c r="C351" s="1" t="n">
        <v>46160</v>
      </c>
      <c r="D351" t="inlineStr">
        <is>
          <t>NORRBOTTENS LÄN</t>
        </is>
      </c>
      <c r="E351" t="inlineStr">
        <is>
          <t>ARVIDSJAUR</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46160</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46160</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57166-2025</t>
        </is>
      </c>
      <c r="B354" s="1" t="n">
        <v>45978</v>
      </c>
      <c r="C354" s="1" t="n">
        <v>46160</v>
      </c>
      <c r="D354" t="inlineStr">
        <is>
          <t>NORRBOTTENS LÄN</t>
        </is>
      </c>
      <c r="E354" t="inlineStr">
        <is>
          <t>ARVIDSJAUR</t>
        </is>
      </c>
      <c r="G354" t="n">
        <v>4.9</v>
      </c>
      <c r="H354" t="n">
        <v>0</v>
      </c>
      <c r="I354" t="n">
        <v>0</v>
      </c>
      <c r="J354" t="n">
        <v>0</v>
      </c>
      <c r="K354" t="n">
        <v>0</v>
      </c>
      <c r="L354" t="n">
        <v>0</v>
      </c>
      <c r="M354" t="n">
        <v>0</v>
      </c>
      <c r="N354" t="n">
        <v>0</v>
      </c>
      <c r="O354" t="n">
        <v>0</v>
      </c>
      <c r="P354" t="n">
        <v>0</v>
      </c>
      <c r="Q354" t="n">
        <v>0</v>
      </c>
      <c r="R354" s="2" t="inlineStr"/>
    </row>
    <row r="355" ht="15" customHeight="1">
      <c r="A355" t="inlineStr">
        <is>
          <t>A 56588-2025</t>
        </is>
      </c>
      <c r="B355" s="1" t="n">
        <v>45975.56208333333</v>
      </c>
      <c r="C355" s="1" t="n">
        <v>46160</v>
      </c>
      <c r="D355" t="inlineStr">
        <is>
          <t>NORRBOTTENS LÄN</t>
        </is>
      </c>
      <c r="E355" t="inlineStr">
        <is>
          <t>ARVIDSJAUR</t>
        </is>
      </c>
      <c r="F355" t="inlineStr">
        <is>
          <t>Sveaskog</t>
        </is>
      </c>
      <c r="G355" t="n">
        <v>12.8</v>
      </c>
      <c r="H355" t="n">
        <v>0</v>
      </c>
      <c r="I355" t="n">
        <v>0</v>
      </c>
      <c r="J355" t="n">
        <v>0</v>
      </c>
      <c r="K355" t="n">
        <v>0</v>
      </c>
      <c r="L355" t="n">
        <v>0</v>
      </c>
      <c r="M355" t="n">
        <v>0</v>
      </c>
      <c r="N355" t="n">
        <v>0</v>
      </c>
      <c r="O355" t="n">
        <v>0</v>
      </c>
      <c r="P355" t="n">
        <v>0</v>
      </c>
      <c r="Q355" t="n">
        <v>0</v>
      </c>
      <c r="R355" s="2" t="inlineStr"/>
    </row>
    <row r="356" ht="15" customHeight="1">
      <c r="A356" t="inlineStr">
        <is>
          <t>A 56430-2025</t>
        </is>
      </c>
      <c r="B356" s="1" t="n">
        <v>45975.34607638889</v>
      </c>
      <c r="C356" s="1" t="n">
        <v>46160</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56606-2025</t>
        </is>
      </c>
      <c r="B357" s="1" t="n">
        <v>45975.58065972223</v>
      </c>
      <c r="C357" s="1" t="n">
        <v>46160</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56630-2025</t>
        </is>
      </c>
      <c r="B358" s="1" t="n">
        <v>45975.61517361111</v>
      </c>
      <c r="C358" s="1" t="n">
        <v>46160</v>
      </c>
      <c r="D358" t="inlineStr">
        <is>
          <t>NORRBOTTENS LÄN</t>
        </is>
      </c>
      <c r="E358" t="inlineStr">
        <is>
          <t>ARVIDSJAUR</t>
        </is>
      </c>
      <c r="G358" t="n">
        <v>7.2</v>
      </c>
      <c r="H358" t="n">
        <v>0</v>
      </c>
      <c r="I358" t="n">
        <v>0</v>
      </c>
      <c r="J358" t="n">
        <v>0</v>
      </c>
      <c r="K358" t="n">
        <v>0</v>
      </c>
      <c r="L358" t="n">
        <v>0</v>
      </c>
      <c r="M358" t="n">
        <v>0</v>
      </c>
      <c r="N358" t="n">
        <v>0</v>
      </c>
      <c r="O358" t="n">
        <v>0</v>
      </c>
      <c r="P358" t="n">
        <v>0</v>
      </c>
      <c r="Q358" t="n">
        <v>0</v>
      </c>
      <c r="R358" s="2" t="inlineStr"/>
    </row>
    <row r="359" ht="15" customHeight="1">
      <c r="A359" t="inlineStr">
        <is>
          <t>A 56652-2025</t>
        </is>
      </c>
      <c r="B359" s="1" t="n">
        <v>45975.64438657407</v>
      </c>
      <c r="C359" s="1" t="n">
        <v>46160</v>
      </c>
      <c r="D359" t="inlineStr">
        <is>
          <t>NORRBOTTENS LÄN</t>
        </is>
      </c>
      <c r="E359" t="inlineStr">
        <is>
          <t>ARVIDSJAUR</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56657-2025</t>
        </is>
      </c>
      <c r="B360" s="1" t="n">
        <v>45975.65388888889</v>
      </c>
      <c r="C360" s="1" t="n">
        <v>46160</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56680-2025</t>
        </is>
      </c>
      <c r="B361" s="1" t="n">
        <v>45975</v>
      </c>
      <c r="C361" s="1" t="n">
        <v>46160</v>
      </c>
      <c r="D361" t="inlineStr">
        <is>
          <t>NORRBOTTENS LÄN</t>
        </is>
      </c>
      <c r="E361" t="inlineStr">
        <is>
          <t>ARVIDSJAUR</t>
        </is>
      </c>
      <c r="G361" t="n">
        <v>4.3</v>
      </c>
      <c r="H361" t="n">
        <v>0</v>
      </c>
      <c r="I361" t="n">
        <v>0</v>
      </c>
      <c r="J361" t="n">
        <v>0</v>
      </c>
      <c r="K361" t="n">
        <v>0</v>
      </c>
      <c r="L361" t="n">
        <v>0</v>
      </c>
      <c r="M361" t="n">
        <v>0</v>
      </c>
      <c r="N361" t="n">
        <v>0</v>
      </c>
      <c r="O361" t="n">
        <v>0</v>
      </c>
      <c r="P361" t="n">
        <v>0</v>
      </c>
      <c r="Q361" t="n">
        <v>0</v>
      </c>
      <c r="R361" s="2" t="inlineStr"/>
    </row>
    <row r="362" ht="15" customHeight="1">
      <c r="A362" t="inlineStr">
        <is>
          <t>A 56723-2025</t>
        </is>
      </c>
      <c r="B362" s="1" t="n">
        <v>45975</v>
      </c>
      <c r="C362" s="1" t="n">
        <v>46160</v>
      </c>
      <c r="D362" t="inlineStr">
        <is>
          <t>NORRBOTTENS LÄN</t>
        </is>
      </c>
      <c r="E362" t="inlineStr">
        <is>
          <t>ARVIDSJAUR</t>
        </is>
      </c>
      <c r="G362" t="n">
        <v>1.6</v>
      </c>
      <c r="H362" t="n">
        <v>0</v>
      </c>
      <c r="I362" t="n">
        <v>0</v>
      </c>
      <c r="J362" t="n">
        <v>0</v>
      </c>
      <c r="K362" t="n">
        <v>0</v>
      </c>
      <c r="L362" t="n">
        <v>0</v>
      </c>
      <c r="M362" t="n">
        <v>0</v>
      </c>
      <c r="N362" t="n">
        <v>0</v>
      </c>
      <c r="O362" t="n">
        <v>0</v>
      </c>
      <c r="P362" t="n">
        <v>0</v>
      </c>
      <c r="Q362" t="n">
        <v>0</v>
      </c>
      <c r="R362" s="2" t="inlineStr"/>
    </row>
    <row r="363" ht="15" customHeight="1">
      <c r="A363" t="inlineStr">
        <is>
          <t>A 46072-2021</t>
        </is>
      </c>
      <c r="B363" s="1" t="n">
        <v>44442</v>
      </c>
      <c r="C363" s="1" t="n">
        <v>46160</v>
      </c>
      <c r="D363" t="inlineStr">
        <is>
          <t>NORRBOTTENS LÄN</t>
        </is>
      </c>
      <c r="E363" t="inlineStr">
        <is>
          <t>ARVIDSJAUR</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57795-2025</t>
        </is>
      </c>
      <c r="B364" s="1" t="n">
        <v>45981</v>
      </c>
      <c r="C364" s="1" t="n">
        <v>46160</v>
      </c>
      <c r="D364" t="inlineStr">
        <is>
          <t>NORRBOTTENS LÄN</t>
        </is>
      </c>
      <c r="E364" t="inlineStr">
        <is>
          <t>ARVIDSJAUR</t>
        </is>
      </c>
      <c r="F364" t="inlineStr">
        <is>
          <t>Sveaskog</t>
        </is>
      </c>
      <c r="G364" t="n">
        <v>21.6</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46160</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11615-2025</t>
        </is>
      </c>
      <c r="B366" s="1" t="n">
        <v>45726</v>
      </c>
      <c r="C366" s="1" t="n">
        <v>46160</v>
      </c>
      <c r="D366" t="inlineStr">
        <is>
          <t>NORRBOTTENS LÄN</t>
        </is>
      </c>
      <c r="E366" t="inlineStr">
        <is>
          <t>ARVIDSJAUR</t>
        </is>
      </c>
      <c r="F366" t="inlineStr">
        <is>
          <t>Allmännings- och besparingsskogar</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11623-2025</t>
        </is>
      </c>
      <c r="B367" s="1" t="n">
        <v>45726</v>
      </c>
      <c r="C367" s="1" t="n">
        <v>46160</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11626-2025</t>
        </is>
      </c>
      <c r="B368" s="1" t="n">
        <v>45726</v>
      </c>
      <c r="C368" s="1" t="n">
        <v>46160</v>
      </c>
      <c r="D368" t="inlineStr">
        <is>
          <t>NORRBOTTENS LÄN</t>
        </is>
      </c>
      <c r="E368" t="inlineStr">
        <is>
          <t>ARVIDSJAUR</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10329-2026</t>
        </is>
      </c>
      <c r="B369" s="1" t="n">
        <v>46076.66290509259</v>
      </c>
      <c r="C369" s="1" t="n">
        <v>46160</v>
      </c>
      <c r="D369" t="inlineStr">
        <is>
          <t>NORRBOTTENS LÄN</t>
        </is>
      </c>
      <c r="E369" t="inlineStr">
        <is>
          <t>ARVIDSJAUR</t>
        </is>
      </c>
      <c r="F369" t="inlineStr">
        <is>
          <t>Sveaskog</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58793-2025</t>
        </is>
      </c>
      <c r="B370" s="1" t="n">
        <v>45986</v>
      </c>
      <c r="C370" s="1" t="n">
        <v>46160</v>
      </c>
      <c r="D370" t="inlineStr">
        <is>
          <t>NORRBOTTENS LÄN</t>
        </is>
      </c>
      <c r="E370" t="inlineStr">
        <is>
          <t>ARVIDSJAUR</t>
        </is>
      </c>
      <c r="G370" t="n">
        <v>6.2</v>
      </c>
      <c r="H370" t="n">
        <v>0</v>
      </c>
      <c r="I370" t="n">
        <v>0</v>
      </c>
      <c r="J370" t="n">
        <v>0</v>
      </c>
      <c r="K370" t="n">
        <v>0</v>
      </c>
      <c r="L370" t="n">
        <v>0</v>
      </c>
      <c r="M370" t="n">
        <v>0</v>
      </c>
      <c r="N370" t="n">
        <v>0</v>
      </c>
      <c r="O370" t="n">
        <v>0</v>
      </c>
      <c r="P370" t="n">
        <v>0</v>
      </c>
      <c r="Q370" t="n">
        <v>0</v>
      </c>
      <c r="R370" s="2" t="inlineStr"/>
    </row>
    <row r="371" ht="15" customHeight="1">
      <c r="A371" t="inlineStr">
        <is>
          <t>A 58794-2025</t>
        </is>
      </c>
      <c r="B371" s="1" t="n">
        <v>45986</v>
      </c>
      <c r="C371" s="1" t="n">
        <v>46160</v>
      </c>
      <c r="D371" t="inlineStr">
        <is>
          <t>NORRBOTTENS LÄN</t>
        </is>
      </c>
      <c r="E371" t="inlineStr">
        <is>
          <t>ARVIDSJAUR</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58667-2025</t>
        </is>
      </c>
      <c r="B372" s="1" t="n">
        <v>45986.5440162037</v>
      </c>
      <c r="C372" s="1" t="n">
        <v>46160</v>
      </c>
      <c r="D372" t="inlineStr">
        <is>
          <t>NORRBOTTENS LÄN</t>
        </is>
      </c>
      <c r="E372" t="inlineStr">
        <is>
          <t>ARVIDSJAUR</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52407-2021</t>
        </is>
      </c>
      <c r="B373" s="1" t="n">
        <v>44463</v>
      </c>
      <c r="C373" s="1" t="n">
        <v>46160</v>
      </c>
      <c r="D373" t="inlineStr">
        <is>
          <t>NORRBOTTENS LÄN</t>
        </is>
      </c>
      <c r="E373" t="inlineStr">
        <is>
          <t>ARVIDSJAUR</t>
        </is>
      </c>
      <c r="G373" t="n">
        <v>10.3</v>
      </c>
      <c r="H373" t="n">
        <v>0</v>
      </c>
      <c r="I373" t="n">
        <v>0</v>
      </c>
      <c r="J373" t="n">
        <v>0</v>
      </c>
      <c r="K373" t="n">
        <v>0</v>
      </c>
      <c r="L373" t="n">
        <v>0</v>
      </c>
      <c r="M373" t="n">
        <v>0</v>
      </c>
      <c r="N373" t="n">
        <v>0</v>
      </c>
      <c r="O373" t="n">
        <v>0</v>
      </c>
      <c r="P373" t="n">
        <v>0</v>
      </c>
      <c r="Q373" t="n">
        <v>0</v>
      </c>
      <c r="R373" s="2" t="inlineStr"/>
    </row>
    <row r="374" ht="15" customHeight="1">
      <c r="A374" t="inlineStr">
        <is>
          <t>A 9854-2026</t>
        </is>
      </c>
      <c r="B374" s="1" t="n">
        <v>46072.83361111111</v>
      </c>
      <c r="C374" s="1" t="n">
        <v>46160</v>
      </c>
      <c r="D374" t="inlineStr">
        <is>
          <t>NORRBOTTENS LÄN</t>
        </is>
      </c>
      <c r="E374" t="inlineStr">
        <is>
          <t>ARVIDSJAUR</t>
        </is>
      </c>
      <c r="G374" t="n">
        <v>2.2</v>
      </c>
      <c r="H374" t="n">
        <v>0</v>
      </c>
      <c r="I374" t="n">
        <v>0</v>
      </c>
      <c r="J374" t="n">
        <v>0</v>
      </c>
      <c r="K374" t="n">
        <v>0</v>
      </c>
      <c r="L374" t="n">
        <v>0</v>
      </c>
      <c r="M374" t="n">
        <v>0</v>
      </c>
      <c r="N374" t="n">
        <v>0</v>
      </c>
      <c r="O374" t="n">
        <v>0</v>
      </c>
      <c r="P374" t="n">
        <v>0</v>
      </c>
      <c r="Q374" t="n">
        <v>0</v>
      </c>
      <c r="R374" s="2" t="inlineStr"/>
    </row>
    <row r="375" ht="15" customHeight="1">
      <c r="A375" t="inlineStr">
        <is>
          <t>A 39439-2024</t>
        </is>
      </c>
      <c r="B375" s="1" t="n">
        <v>45551.60893518518</v>
      </c>
      <c r="C375" s="1" t="n">
        <v>46160</v>
      </c>
      <c r="D375" t="inlineStr">
        <is>
          <t>NORRBOTTENS LÄN</t>
        </is>
      </c>
      <c r="E375" t="inlineStr">
        <is>
          <t>ARVIDSJAUR</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58202-2025</t>
        </is>
      </c>
      <c r="B376" s="1" t="n">
        <v>45984.47054398148</v>
      </c>
      <c r="C376" s="1" t="n">
        <v>46160</v>
      </c>
      <c r="D376" t="inlineStr">
        <is>
          <t>NORRBOTTENS LÄN</t>
        </is>
      </c>
      <c r="E376" t="inlineStr">
        <is>
          <t>ARVIDSJAUR</t>
        </is>
      </c>
      <c r="F376" t="inlineStr">
        <is>
          <t>Sveaskog</t>
        </is>
      </c>
      <c r="G376" t="n">
        <v>13.8</v>
      </c>
      <c r="H376" t="n">
        <v>0</v>
      </c>
      <c r="I376" t="n">
        <v>0</v>
      </c>
      <c r="J376" t="n">
        <v>0</v>
      </c>
      <c r="K376" t="n">
        <v>0</v>
      </c>
      <c r="L376" t="n">
        <v>0</v>
      </c>
      <c r="M376" t="n">
        <v>0</v>
      </c>
      <c r="N376" t="n">
        <v>0</v>
      </c>
      <c r="O376" t="n">
        <v>0</v>
      </c>
      <c r="P376" t="n">
        <v>0</v>
      </c>
      <c r="Q376" t="n">
        <v>0</v>
      </c>
      <c r="R376" s="2" t="inlineStr"/>
    </row>
    <row r="377" ht="15" customHeight="1">
      <c r="A377" t="inlineStr">
        <is>
          <t>A 10317-2026</t>
        </is>
      </c>
      <c r="B377" s="1" t="n">
        <v>46076.65640046296</v>
      </c>
      <c r="C377" s="1" t="n">
        <v>46160</v>
      </c>
      <c r="D377" t="inlineStr">
        <is>
          <t>NORRBOTTENS LÄN</t>
        </is>
      </c>
      <c r="E377" t="inlineStr">
        <is>
          <t>ARVIDSJAUR</t>
        </is>
      </c>
      <c r="F377" t="inlineStr">
        <is>
          <t>Sveaskog</t>
        </is>
      </c>
      <c r="G377" t="n">
        <v>9.1</v>
      </c>
      <c r="H377" t="n">
        <v>0</v>
      </c>
      <c r="I377" t="n">
        <v>0</v>
      </c>
      <c r="J377" t="n">
        <v>0</v>
      </c>
      <c r="K377" t="n">
        <v>0</v>
      </c>
      <c r="L377" t="n">
        <v>0</v>
      </c>
      <c r="M377" t="n">
        <v>0</v>
      </c>
      <c r="N377" t="n">
        <v>0</v>
      </c>
      <c r="O377" t="n">
        <v>0</v>
      </c>
      <c r="P377" t="n">
        <v>0</v>
      </c>
      <c r="Q377" t="n">
        <v>0</v>
      </c>
      <c r="R377" s="2" t="inlineStr"/>
    </row>
    <row r="378" ht="15" customHeight="1">
      <c r="A378" t="inlineStr">
        <is>
          <t>A 42674-2021</t>
        </is>
      </c>
      <c r="B378" s="1" t="n">
        <v>44428</v>
      </c>
      <c r="C378" s="1" t="n">
        <v>46160</v>
      </c>
      <c r="D378" t="inlineStr">
        <is>
          <t>NORRBOTTENS LÄN</t>
        </is>
      </c>
      <c r="E378" t="inlineStr">
        <is>
          <t>ARVIDSJAUR</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42694-2021</t>
        </is>
      </c>
      <c r="B379" s="1" t="n">
        <v>44428</v>
      </c>
      <c r="C379" s="1" t="n">
        <v>46160</v>
      </c>
      <c r="D379" t="inlineStr">
        <is>
          <t>NORRBOTTENS LÄN</t>
        </is>
      </c>
      <c r="E379" t="inlineStr">
        <is>
          <t>ARVIDSJAUR</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24810-2023</t>
        </is>
      </c>
      <c r="B380" s="1" t="n">
        <v>45084</v>
      </c>
      <c r="C380" s="1" t="n">
        <v>46160</v>
      </c>
      <c r="D380" t="inlineStr">
        <is>
          <t>NORRBOTTENS LÄN</t>
        </is>
      </c>
      <c r="E380" t="inlineStr">
        <is>
          <t>ARVIDSJAUR</t>
        </is>
      </c>
      <c r="G380" t="n">
        <v>5.2</v>
      </c>
      <c r="H380" t="n">
        <v>0</v>
      </c>
      <c r="I380" t="n">
        <v>0</v>
      </c>
      <c r="J380" t="n">
        <v>0</v>
      </c>
      <c r="K380" t="n">
        <v>0</v>
      </c>
      <c r="L380" t="n">
        <v>0</v>
      </c>
      <c r="M380" t="n">
        <v>0</v>
      </c>
      <c r="N380" t="n">
        <v>0</v>
      </c>
      <c r="O380" t="n">
        <v>0</v>
      </c>
      <c r="P380" t="n">
        <v>0</v>
      </c>
      <c r="Q380" t="n">
        <v>0</v>
      </c>
      <c r="R380" s="2" t="inlineStr"/>
    </row>
    <row r="381" ht="15" customHeight="1">
      <c r="A381" t="inlineStr">
        <is>
          <t>A 58570-2025</t>
        </is>
      </c>
      <c r="B381" s="1" t="n">
        <v>45986.37326388889</v>
      </c>
      <c r="C381" s="1" t="n">
        <v>46160</v>
      </c>
      <c r="D381" t="inlineStr">
        <is>
          <t>NORRBOTTENS LÄN</t>
        </is>
      </c>
      <c r="E381" t="inlineStr">
        <is>
          <t>ARVIDSJAUR</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46160</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25790-2024</t>
        </is>
      </c>
      <c r="B383" s="1" t="n">
        <v>45467</v>
      </c>
      <c r="C383" s="1" t="n">
        <v>46160</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25913-2024</t>
        </is>
      </c>
      <c r="B384" s="1" t="n">
        <v>45467</v>
      </c>
      <c r="C384" s="1" t="n">
        <v>46160</v>
      </c>
      <c r="D384" t="inlineStr">
        <is>
          <t>NORRBOTTENS LÄN</t>
        </is>
      </c>
      <c r="E384" t="inlineStr">
        <is>
          <t>ARVIDSJAUR</t>
        </is>
      </c>
      <c r="G384" t="n">
        <v>4.8</v>
      </c>
      <c r="H384" t="n">
        <v>0</v>
      </c>
      <c r="I384" t="n">
        <v>0</v>
      </c>
      <c r="J384" t="n">
        <v>0</v>
      </c>
      <c r="K384" t="n">
        <v>0</v>
      </c>
      <c r="L384" t="n">
        <v>0</v>
      </c>
      <c r="M384" t="n">
        <v>0</v>
      </c>
      <c r="N384" t="n">
        <v>0</v>
      </c>
      <c r="O384" t="n">
        <v>0</v>
      </c>
      <c r="P384" t="n">
        <v>0</v>
      </c>
      <c r="Q384" t="n">
        <v>0</v>
      </c>
      <c r="R384" s="2" t="inlineStr"/>
    </row>
    <row r="385" ht="15" customHeight="1">
      <c r="A385" t="inlineStr">
        <is>
          <t>A 10555-2026</t>
        </is>
      </c>
      <c r="B385" s="1" t="n">
        <v>46077.63511574074</v>
      </c>
      <c r="C385" s="1" t="n">
        <v>46160</v>
      </c>
      <c r="D385" t="inlineStr">
        <is>
          <t>NORRBOTTENS LÄN</t>
        </is>
      </c>
      <c r="E385" t="inlineStr">
        <is>
          <t>ARVIDSJAUR</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22565-2025</t>
        </is>
      </c>
      <c r="B386" s="1" t="n">
        <v>45786</v>
      </c>
      <c r="C386" s="1" t="n">
        <v>46160</v>
      </c>
      <c r="D386" t="inlineStr">
        <is>
          <t>NORRBOTTENS LÄN</t>
        </is>
      </c>
      <c r="E386" t="inlineStr">
        <is>
          <t>ARVIDSJAUR</t>
        </is>
      </c>
      <c r="G386" t="n">
        <v>3.2</v>
      </c>
      <c r="H386" t="n">
        <v>0</v>
      </c>
      <c r="I386" t="n">
        <v>0</v>
      </c>
      <c r="J386" t="n">
        <v>0</v>
      </c>
      <c r="K386" t="n">
        <v>0</v>
      </c>
      <c r="L386" t="n">
        <v>0</v>
      </c>
      <c r="M386" t="n">
        <v>0</v>
      </c>
      <c r="N386" t="n">
        <v>0</v>
      </c>
      <c r="O386" t="n">
        <v>0</v>
      </c>
      <c r="P386" t="n">
        <v>0</v>
      </c>
      <c r="Q386" t="n">
        <v>0</v>
      </c>
      <c r="R386" s="2" t="inlineStr"/>
    </row>
    <row r="387" ht="15" customHeight="1">
      <c r="A387" t="inlineStr">
        <is>
          <t>A 59277-2025</t>
        </is>
      </c>
      <c r="B387" s="1" t="n">
        <v>45988</v>
      </c>
      <c r="C387" s="1" t="n">
        <v>46160</v>
      </c>
      <c r="D387" t="inlineStr">
        <is>
          <t>NORRBOTTENS LÄN</t>
        </is>
      </c>
      <c r="E387" t="inlineStr">
        <is>
          <t>ARVIDSJAUR</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59325-2022</t>
        </is>
      </c>
      <c r="B388" s="1" t="n">
        <v>44904</v>
      </c>
      <c r="C388" s="1" t="n">
        <v>46160</v>
      </c>
      <c r="D388" t="inlineStr">
        <is>
          <t>NORRBOTTENS LÄN</t>
        </is>
      </c>
      <c r="E388" t="inlineStr">
        <is>
          <t>ARVIDSJAUR</t>
        </is>
      </c>
      <c r="F388" t="inlineStr">
        <is>
          <t>Sveaskog</t>
        </is>
      </c>
      <c r="G388" t="n">
        <v>6.4</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46160</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60560-2025</t>
        </is>
      </c>
      <c r="B390" s="1" t="n">
        <v>45994</v>
      </c>
      <c r="C390" s="1" t="n">
        <v>46160</v>
      </c>
      <c r="D390" t="inlineStr">
        <is>
          <t>NORRBOTTENS LÄN</t>
        </is>
      </c>
      <c r="E390" t="inlineStr">
        <is>
          <t>ARVIDSJAUR</t>
        </is>
      </c>
      <c r="G390" t="n">
        <v>6.6</v>
      </c>
      <c r="H390" t="n">
        <v>0</v>
      </c>
      <c r="I390" t="n">
        <v>0</v>
      </c>
      <c r="J390" t="n">
        <v>0</v>
      </c>
      <c r="K390" t="n">
        <v>0</v>
      </c>
      <c r="L390" t="n">
        <v>0</v>
      </c>
      <c r="M390" t="n">
        <v>0</v>
      </c>
      <c r="N390" t="n">
        <v>0</v>
      </c>
      <c r="O390" t="n">
        <v>0</v>
      </c>
      <c r="P390" t="n">
        <v>0</v>
      </c>
      <c r="Q390" t="n">
        <v>0</v>
      </c>
      <c r="R390" s="2" t="inlineStr"/>
    </row>
    <row r="391" ht="15" customHeight="1">
      <c r="A391" t="inlineStr">
        <is>
          <t>A 11030-2025</t>
        </is>
      </c>
      <c r="B391" s="1" t="n">
        <v>45723</v>
      </c>
      <c r="C391" s="1" t="n">
        <v>46160</v>
      </c>
      <c r="D391" t="inlineStr">
        <is>
          <t>NORRBOTTENS LÄN</t>
        </is>
      </c>
      <c r="E391" t="inlineStr">
        <is>
          <t>ARVIDSJAUR</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60584-2025</t>
        </is>
      </c>
      <c r="B392" s="1" t="n">
        <v>45996.33219907407</v>
      </c>
      <c r="C392" s="1" t="n">
        <v>46160</v>
      </c>
      <c r="D392" t="inlineStr">
        <is>
          <t>NORRBOTTENS LÄN</t>
        </is>
      </c>
      <c r="E392" t="inlineStr">
        <is>
          <t>ARVIDSJAUR</t>
        </is>
      </c>
      <c r="F392" t="inlineStr">
        <is>
          <t>Sveaskog</t>
        </is>
      </c>
      <c r="G392" t="n">
        <v>11.2</v>
      </c>
      <c r="H392" t="n">
        <v>0</v>
      </c>
      <c r="I392" t="n">
        <v>0</v>
      </c>
      <c r="J392" t="n">
        <v>0</v>
      </c>
      <c r="K392" t="n">
        <v>0</v>
      </c>
      <c r="L392" t="n">
        <v>0</v>
      </c>
      <c r="M392" t="n">
        <v>0</v>
      </c>
      <c r="N392" t="n">
        <v>0</v>
      </c>
      <c r="O392" t="n">
        <v>0</v>
      </c>
      <c r="P392" t="n">
        <v>0</v>
      </c>
      <c r="Q392" t="n">
        <v>0</v>
      </c>
      <c r="R392" s="2" t="inlineStr"/>
    </row>
    <row r="393" ht="15" customHeight="1">
      <c r="A393" t="inlineStr">
        <is>
          <t>A 60391-2025</t>
        </is>
      </c>
      <c r="B393" s="1" t="n">
        <v>45995.38697916667</v>
      </c>
      <c r="C393" s="1" t="n">
        <v>46160</v>
      </c>
      <c r="D393" t="inlineStr">
        <is>
          <t>NORRBOTTENS LÄN</t>
        </is>
      </c>
      <c r="E393" t="inlineStr">
        <is>
          <t>ARVIDSJAUR</t>
        </is>
      </c>
      <c r="F393" t="inlineStr">
        <is>
          <t>Sveaskog</t>
        </is>
      </c>
      <c r="G393" t="n">
        <v>14.1</v>
      </c>
      <c r="H393" t="n">
        <v>0</v>
      </c>
      <c r="I393" t="n">
        <v>0</v>
      </c>
      <c r="J393" t="n">
        <v>0</v>
      </c>
      <c r="K393" t="n">
        <v>0</v>
      </c>
      <c r="L393" t="n">
        <v>0</v>
      </c>
      <c r="M393" t="n">
        <v>0</v>
      </c>
      <c r="N393" t="n">
        <v>0</v>
      </c>
      <c r="O393" t="n">
        <v>0</v>
      </c>
      <c r="P393" t="n">
        <v>0</v>
      </c>
      <c r="Q393" t="n">
        <v>0</v>
      </c>
      <c r="R393" s="2" t="inlineStr"/>
    </row>
    <row r="394" ht="15" customHeight="1">
      <c r="A394" t="inlineStr">
        <is>
          <t>A 51353-2025</t>
        </is>
      </c>
      <c r="B394" s="1" t="n">
        <v>45950.43695601852</v>
      </c>
      <c r="C394" s="1" t="n">
        <v>46160</v>
      </c>
      <c r="D394" t="inlineStr">
        <is>
          <t>NORRBOTTENS LÄN</t>
        </is>
      </c>
      <c r="E394" t="inlineStr">
        <is>
          <t>ARVIDSJAUR</t>
        </is>
      </c>
      <c r="G394" t="n">
        <v>2.1</v>
      </c>
      <c r="H394" t="n">
        <v>0</v>
      </c>
      <c r="I394" t="n">
        <v>0</v>
      </c>
      <c r="J394" t="n">
        <v>0</v>
      </c>
      <c r="K394" t="n">
        <v>0</v>
      </c>
      <c r="L394" t="n">
        <v>0</v>
      </c>
      <c r="M394" t="n">
        <v>0</v>
      </c>
      <c r="N394" t="n">
        <v>0</v>
      </c>
      <c r="O394" t="n">
        <v>0</v>
      </c>
      <c r="P394" t="n">
        <v>0</v>
      </c>
      <c r="Q394" t="n">
        <v>0</v>
      </c>
      <c r="R394" s="2" t="inlineStr"/>
    </row>
    <row r="395" ht="15" customHeight="1">
      <c r="A395" t="inlineStr">
        <is>
          <t>A 61054-2025</t>
        </is>
      </c>
      <c r="B395" s="1" t="n">
        <v>46000</v>
      </c>
      <c r="C395" s="1" t="n">
        <v>46160</v>
      </c>
      <c r="D395" t="inlineStr">
        <is>
          <t>NORRBOTTENS LÄN</t>
        </is>
      </c>
      <c r="E395" t="inlineStr">
        <is>
          <t>ARVIDSJAUR</t>
        </is>
      </c>
      <c r="F395" t="inlineStr">
        <is>
          <t>Sveaskog</t>
        </is>
      </c>
      <c r="G395" t="n">
        <v>18.4</v>
      </c>
      <c r="H395" t="n">
        <v>0</v>
      </c>
      <c r="I395" t="n">
        <v>0</v>
      </c>
      <c r="J395" t="n">
        <v>0</v>
      </c>
      <c r="K395" t="n">
        <v>0</v>
      </c>
      <c r="L395" t="n">
        <v>0</v>
      </c>
      <c r="M395" t="n">
        <v>0</v>
      </c>
      <c r="N395" t="n">
        <v>0</v>
      </c>
      <c r="O395" t="n">
        <v>0</v>
      </c>
      <c r="P395" t="n">
        <v>0</v>
      </c>
      <c r="Q395" t="n">
        <v>0</v>
      </c>
      <c r="R395" s="2" t="inlineStr"/>
    </row>
    <row r="396" ht="15" customHeight="1">
      <c r="A396" t="inlineStr">
        <is>
          <t>A 42870-2024</t>
        </is>
      </c>
      <c r="B396" s="1" t="n">
        <v>45566.66489583333</v>
      </c>
      <c r="C396" s="1" t="n">
        <v>46160</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10126-2024</t>
        </is>
      </c>
      <c r="B397" s="1" t="n">
        <v>45364</v>
      </c>
      <c r="C397" s="1" t="n">
        <v>46160</v>
      </c>
      <c r="D397" t="inlineStr">
        <is>
          <t>NORRBOTTENS LÄN</t>
        </is>
      </c>
      <c r="E397" t="inlineStr">
        <is>
          <t>ARVIDSJAUR</t>
        </is>
      </c>
      <c r="F397" t="inlineStr">
        <is>
          <t>Sveaskog</t>
        </is>
      </c>
      <c r="G397" t="n">
        <v>19.8</v>
      </c>
      <c r="H397" t="n">
        <v>0</v>
      </c>
      <c r="I397" t="n">
        <v>0</v>
      </c>
      <c r="J397" t="n">
        <v>0</v>
      </c>
      <c r="K397" t="n">
        <v>0</v>
      </c>
      <c r="L397" t="n">
        <v>0</v>
      </c>
      <c r="M397" t="n">
        <v>0</v>
      </c>
      <c r="N397" t="n">
        <v>0</v>
      </c>
      <c r="O397" t="n">
        <v>0</v>
      </c>
      <c r="P397" t="n">
        <v>0</v>
      </c>
      <c r="Q397" t="n">
        <v>0</v>
      </c>
      <c r="R397" s="2" t="inlineStr"/>
    </row>
    <row r="398" ht="15" customHeight="1">
      <c r="A398" t="inlineStr">
        <is>
          <t>A 61851-2025</t>
        </is>
      </c>
      <c r="B398" s="1" t="n">
        <v>46003</v>
      </c>
      <c r="C398" s="1" t="n">
        <v>46160</v>
      </c>
      <c r="D398" t="inlineStr">
        <is>
          <t>NORRBOTTENS LÄN</t>
        </is>
      </c>
      <c r="E398" t="inlineStr">
        <is>
          <t>ARVIDSJAUR</t>
        </is>
      </c>
      <c r="G398" t="n">
        <v>3.5</v>
      </c>
      <c r="H398" t="n">
        <v>0</v>
      </c>
      <c r="I398" t="n">
        <v>0</v>
      </c>
      <c r="J398" t="n">
        <v>0</v>
      </c>
      <c r="K398" t="n">
        <v>0</v>
      </c>
      <c r="L398" t="n">
        <v>0</v>
      </c>
      <c r="M398" t="n">
        <v>0</v>
      </c>
      <c r="N398" t="n">
        <v>0</v>
      </c>
      <c r="O398" t="n">
        <v>0</v>
      </c>
      <c r="P398" t="n">
        <v>0</v>
      </c>
      <c r="Q398" t="n">
        <v>0</v>
      </c>
      <c r="R398" s="2" t="inlineStr"/>
    </row>
    <row r="399" ht="15" customHeight="1">
      <c r="A399" t="inlineStr">
        <is>
          <t>A 61874-2025</t>
        </is>
      </c>
      <c r="B399" s="1" t="n">
        <v>46003</v>
      </c>
      <c r="C399" s="1" t="n">
        <v>46160</v>
      </c>
      <c r="D399" t="inlineStr">
        <is>
          <t>NORRBOTTENS LÄN</t>
        </is>
      </c>
      <c r="E399" t="inlineStr">
        <is>
          <t>ARVIDSJAUR</t>
        </is>
      </c>
      <c r="G399" t="n">
        <v>8.5</v>
      </c>
      <c r="H399" t="n">
        <v>0</v>
      </c>
      <c r="I399" t="n">
        <v>0</v>
      </c>
      <c r="J399" t="n">
        <v>0</v>
      </c>
      <c r="K399" t="n">
        <v>0</v>
      </c>
      <c r="L399" t="n">
        <v>0</v>
      </c>
      <c r="M399" t="n">
        <v>0</v>
      </c>
      <c r="N399" t="n">
        <v>0</v>
      </c>
      <c r="O399" t="n">
        <v>0</v>
      </c>
      <c r="P399" t="n">
        <v>0</v>
      </c>
      <c r="Q399" t="n">
        <v>0</v>
      </c>
      <c r="R399" s="2" t="inlineStr"/>
    </row>
    <row r="400" ht="15" customHeight="1">
      <c r="A400" t="inlineStr">
        <is>
          <t>A 62286-2025</t>
        </is>
      </c>
      <c r="B400" s="1" t="n">
        <v>46006</v>
      </c>
      <c r="C400" s="1" t="n">
        <v>46160</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2778-2023</t>
        </is>
      </c>
      <c r="B401" s="1" t="n">
        <v>44944</v>
      </c>
      <c r="C401" s="1" t="n">
        <v>46160</v>
      </c>
      <c r="D401" t="inlineStr">
        <is>
          <t>NORRBOTTENS LÄN</t>
        </is>
      </c>
      <c r="E401" t="inlineStr">
        <is>
          <t>ARVIDSJAUR</t>
        </is>
      </c>
      <c r="F401" t="inlineStr">
        <is>
          <t>Sveaskog</t>
        </is>
      </c>
      <c r="G401" t="n">
        <v>11.1</v>
      </c>
      <c r="H401" t="n">
        <v>0</v>
      </c>
      <c r="I401" t="n">
        <v>0</v>
      </c>
      <c r="J401" t="n">
        <v>0</v>
      </c>
      <c r="K401" t="n">
        <v>0</v>
      </c>
      <c r="L401" t="n">
        <v>0</v>
      </c>
      <c r="M401" t="n">
        <v>0</v>
      </c>
      <c r="N401" t="n">
        <v>0</v>
      </c>
      <c r="O401" t="n">
        <v>0</v>
      </c>
      <c r="P401" t="n">
        <v>0</v>
      </c>
      <c r="Q401" t="n">
        <v>0</v>
      </c>
      <c r="R401" s="2" t="inlineStr"/>
    </row>
    <row r="402" ht="15" customHeight="1">
      <c r="A402" t="inlineStr">
        <is>
          <t>A 11370-2026</t>
        </is>
      </c>
      <c r="B402" s="1" t="n">
        <v>46083.38574074074</v>
      </c>
      <c r="C402" s="1" t="n">
        <v>46160</v>
      </c>
      <c r="D402" t="inlineStr">
        <is>
          <t>NORRBOTTENS LÄN</t>
        </is>
      </c>
      <c r="E402" t="inlineStr">
        <is>
          <t>ARVIDSJAUR</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10243-2024</t>
        </is>
      </c>
      <c r="B403" s="1" t="n">
        <v>45365</v>
      </c>
      <c r="C403" s="1" t="n">
        <v>46160</v>
      </c>
      <c r="D403" t="inlineStr">
        <is>
          <t>NORRBOTTENS LÄN</t>
        </is>
      </c>
      <c r="E403" t="inlineStr">
        <is>
          <t>ARVIDSJAUR</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45188-2025</t>
        </is>
      </c>
      <c r="B404" s="1" t="n">
        <v>45919</v>
      </c>
      <c r="C404" s="1" t="n">
        <v>46160</v>
      </c>
      <c r="D404" t="inlineStr">
        <is>
          <t>NORRBOTTENS LÄN</t>
        </is>
      </c>
      <c r="E404" t="inlineStr">
        <is>
          <t>ARVIDSJAUR</t>
        </is>
      </c>
      <c r="F404" t="inlineStr">
        <is>
          <t>Sveaskog</t>
        </is>
      </c>
      <c r="G404" t="n">
        <v>13.4</v>
      </c>
      <c r="H404" t="n">
        <v>0</v>
      </c>
      <c r="I404" t="n">
        <v>0</v>
      </c>
      <c r="J404" t="n">
        <v>0</v>
      </c>
      <c r="K404" t="n">
        <v>0</v>
      </c>
      <c r="L404" t="n">
        <v>0</v>
      </c>
      <c r="M404" t="n">
        <v>0</v>
      </c>
      <c r="N404" t="n">
        <v>0</v>
      </c>
      <c r="O404" t="n">
        <v>0</v>
      </c>
      <c r="P404" t="n">
        <v>0</v>
      </c>
      <c r="Q404" t="n">
        <v>0</v>
      </c>
      <c r="R404" s="2" t="inlineStr"/>
    </row>
    <row r="405" ht="15" customHeight="1">
      <c r="A405" t="inlineStr">
        <is>
          <t>A 22688-2024</t>
        </is>
      </c>
      <c r="B405" s="1" t="n">
        <v>45448</v>
      </c>
      <c r="C405" s="1" t="n">
        <v>46160</v>
      </c>
      <c r="D405" t="inlineStr">
        <is>
          <t>NORRBOTTENS LÄN</t>
        </is>
      </c>
      <c r="E405" t="inlineStr">
        <is>
          <t>ARVIDSJAUR</t>
        </is>
      </c>
      <c r="G405" t="n">
        <v>6.4</v>
      </c>
      <c r="H405" t="n">
        <v>0</v>
      </c>
      <c r="I405" t="n">
        <v>0</v>
      </c>
      <c r="J405" t="n">
        <v>0</v>
      </c>
      <c r="K405" t="n">
        <v>0</v>
      </c>
      <c r="L405" t="n">
        <v>0</v>
      </c>
      <c r="M405" t="n">
        <v>0</v>
      </c>
      <c r="N405" t="n">
        <v>0</v>
      </c>
      <c r="O405" t="n">
        <v>0</v>
      </c>
      <c r="P405" t="n">
        <v>0</v>
      </c>
      <c r="Q405" t="n">
        <v>0</v>
      </c>
      <c r="R405" s="2" t="inlineStr"/>
    </row>
    <row r="406" ht="15" customHeight="1">
      <c r="A406" t="inlineStr">
        <is>
          <t>A 48614-2024</t>
        </is>
      </c>
      <c r="B406" s="1" t="n">
        <v>45593</v>
      </c>
      <c r="C406" s="1" t="n">
        <v>46160</v>
      </c>
      <c r="D406" t="inlineStr">
        <is>
          <t>NORRBOTTENS LÄN</t>
        </is>
      </c>
      <c r="E406" t="inlineStr">
        <is>
          <t>ARVIDSJAUR</t>
        </is>
      </c>
      <c r="G406" t="n">
        <v>13.4</v>
      </c>
      <c r="H406" t="n">
        <v>0</v>
      </c>
      <c r="I406" t="n">
        <v>0</v>
      </c>
      <c r="J406" t="n">
        <v>0</v>
      </c>
      <c r="K406" t="n">
        <v>0</v>
      </c>
      <c r="L406" t="n">
        <v>0</v>
      </c>
      <c r="M406" t="n">
        <v>0</v>
      </c>
      <c r="N406" t="n">
        <v>0</v>
      </c>
      <c r="O406" t="n">
        <v>0</v>
      </c>
      <c r="P406" t="n">
        <v>0</v>
      </c>
      <c r="Q406" t="n">
        <v>0</v>
      </c>
      <c r="R406" s="2" t="inlineStr"/>
    </row>
    <row r="407" ht="15" customHeight="1">
      <c r="A407" t="inlineStr">
        <is>
          <t>A 63135-2025</t>
        </is>
      </c>
      <c r="B407" s="1" t="n">
        <v>46010</v>
      </c>
      <c r="C407" s="1" t="n">
        <v>46160</v>
      </c>
      <c r="D407" t="inlineStr">
        <is>
          <t>NORRBOTTENS LÄN</t>
        </is>
      </c>
      <c r="E407" t="inlineStr">
        <is>
          <t>ARVIDSJAUR</t>
        </is>
      </c>
      <c r="F407" t="inlineStr">
        <is>
          <t>Allmännings- och besparingsskogar</t>
        </is>
      </c>
      <c r="G407" t="n">
        <v>10.7</v>
      </c>
      <c r="H407" t="n">
        <v>0</v>
      </c>
      <c r="I407" t="n">
        <v>0</v>
      </c>
      <c r="J407" t="n">
        <v>0</v>
      </c>
      <c r="K407" t="n">
        <v>0</v>
      </c>
      <c r="L407" t="n">
        <v>0</v>
      </c>
      <c r="M407" t="n">
        <v>0</v>
      </c>
      <c r="N407" t="n">
        <v>0</v>
      </c>
      <c r="O407" t="n">
        <v>0</v>
      </c>
      <c r="P407" t="n">
        <v>0</v>
      </c>
      <c r="Q407" t="n">
        <v>0</v>
      </c>
      <c r="R407" s="2" t="inlineStr"/>
    </row>
    <row r="408" ht="15" customHeight="1">
      <c r="A408" t="inlineStr">
        <is>
          <t>A 64113-2025</t>
        </is>
      </c>
      <c r="B408" s="1" t="n">
        <v>46013</v>
      </c>
      <c r="C408" s="1" t="n">
        <v>46160</v>
      </c>
      <c r="D408" t="inlineStr">
        <is>
          <t>NORRBOTTENS LÄN</t>
        </is>
      </c>
      <c r="E408" t="inlineStr">
        <is>
          <t>ARVIDSJAUR</t>
        </is>
      </c>
      <c r="G408" t="n">
        <v>14.4</v>
      </c>
      <c r="H408" t="n">
        <v>0</v>
      </c>
      <c r="I408" t="n">
        <v>0</v>
      </c>
      <c r="J408" t="n">
        <v>0</v>
      </c>
      <c r="K408" t="n">
        <v>0</v>
      </c>
      <c r="L408" t="n">
        <v>0</v>
      </c>
      <c r="M408" t="n">
        <v>0</v>
      </c>
      <c r="N408" t="n">
        <v>0</v>
      </c>
      <c r="O408" t="n">
        <v>0</v>
      </c>
      <c r="P408" t="n">
        <v>0</v>
      </c>
      <c r="Q408" t="n">
        <v>0</v>
      </c>
      <c r="R408" s="2" t="inlineStr"/>
    </row>
    <row r="409" ht="15" customHeight="1">
      <c r="A409" t="inlineStr">
        <is>
          <t>A 11567-2026</t>
        </is>
      </c>
      <c r="B409" s="1" t="n">
        <v>46084.37118055556</v>
      </c>
      <c r="C409" s="1" t="n">
        <v>46160</v>
      </c>
      <c r="D409" t="inlineStr">
        <is>
          <t>NORRBOTTENS LÄN</t>
        </is>
      </c>
      <c r="E409" t="inlineStr">
        <is>
          <t>ARVIDSJAUR</t>
        </is>
      </c>
      <c r="G409" t="n">
        <v>4.5</v>
      </c>
      <c r="H409" t="n">
        <v>0</v>
      </c>
      <c r="I409" t="n">
        <v>0</v>
      </c>
      <c r="J409" t="n">
        <v>0</v>
      </c>
      <c r="K409" t="n">
        <v>0</v>
      </c>
      <c r="L409" t="n">
        <v>0</v>
      </c>
      <c r="M409" t="n">
        <v>0</v>
      </c>
      <c r="N409" t="n">
        <v>0</v>
      </c>
      <c r="O409" t="n">
        <v>0</v>
      </c>
      <c r="P409" t="n">
        <v>0</v>
      </c>
      <c r="Q409" t="n">
        <v>0</v>
      </c>
      <c r="R409" s="2" t="inlineStr"/>
    </row>
    <row r="410" ht="15" customHeight="1">
      <c r="A410" t="inlineStr">
        <is>
          <t>A 11670-2026</t>
        </is>
      </c>
      <c r="B410" s="1" t="n">
        <v>46084.5583449074</v>
      </c>
      <c r="C410" s="1" t="n">
        <v>46160</v>
      </c>
      <c r="D410" t="inlineStr">
        <is>
          <t>NORRBOTTENS LÄN</t>
        </is>
      </c>
      <c r="E410" t="inlineStr">
        <is>
          <t>ARVIDSJAUR</t>
        </is>
      </c>
      <c r="G410" t="n">
        <v>2.7</v>
      </c>
      <c r="H410" t="n">
        <v>0</v>
      </c>
      <c r="I410" t="n">
        <v>0</v>
      </c>
      <c r="J410" t="n">
        <v>0</v>
      </c>
      <c r="K410" t="n">
        <v>0</v>
      </c>
      <c r="L410" t="n">
        <v>0</v>
      </c>
      <c r="M410" t="n">
        <v>0</v>
      </c>
      <c r="N410" t="n">
        <v>0</v>
      </c>
      <c r="O410" t="n">
        <v>0</v>
      </c>
      <c r="P410" t="n">
        <v>0</v>
      </c>
      <c r="Q410" t="n">
        <v>0</v>
      </c>
      <c r="R410" s="2" t="inlineStr"/>
    </row>
    <row r="411" ht="15" customHeight="1">
      <c r="A411" t="inlineStr">
        <is>
          <t>A 11674-2026</t>
        </is>
      </c>
      <c r="B411" s="1" t="n">
        <v>46084.56123842593</v>
      </c>
      <c r="C411" s="1" t="n">
        <v>46160</v>
      </c>
      <c r="D411" t="inlineStr">
        <is>
          <t>NORRBOTTENS LÄN</t>
        </is>
      </c>
      <c r="E411" t="inlineStr">
        <is>
          <t>ARVIDSJAUR</t>
        </is>
      </c>
      <c r="G411" t="n">
        <v>1.4</v>
      </c>
      <c r="H411" t="n">
        <v>0</v>
      </c>
      <c r="I411" t="n">
        <v>0</v>
      </c>
      <c r="J411" t="n">
        <v>0</v>
      </c>
      <c r="K411" t="n">
        <v>0</v>
      </c>
      <c r="L411" t="n">
        <v>0</v>
      </c>
      <c r="M411" t="n">
        <v>0</v>
      </c>
      <c r="N411" t="n">
        <v>0</v>
      </c>
      <c r="O411" t="n">
        <v>0</v>
      </c>
      <c r="P411" t="n">
        <v>0</v>
      </c>
      <c r="Q411" t="n">
        <v>0</v>
      </c>
      <c r="R411" s="2" t="inlineStr"/>
    </row>
    <row r="412" ht="15" customHeight="1">
      <c r="A412" t="inlineStr">
        <is>
          <t>A 52837-2024</t>
        </is>
      </c>
      <c r="B412" s="1" t="n">
        <v>45610</v>
      </c>
      <c r="C412" s="1" t="n">
        <v>46160</v>
      </c>
      <c r="D412" t="inlineStr">
        <is>
          <t>NORRBOTTENS LÄN</t>
        </is>
      </c>
      <c r="E412" t="inlineStr">
        <is>
          <t>ARVIDSJAUR</t>
        </is>
      </c>
      <c r="G412" t="n">
        <v>6.5</v>
      </c>
      <c r="H412" t="n">
        <v>0</v>
      </c>
      <c r="I412" t="n">
        <v>0</v>
      </c>
      <c r="J412" t="n">
        <v>0</v>
      </c>
      <c r="K412" t="n">
        <v>0</v>
      </c>
      <c r="L412" t="n">
        <v>0</v>
      </c>
      <c r="M412" t="n">
        <v>0</v>
      </c>
      <c r="N412" t="n">
        <v>0</v>
      </c>
      <c r="O412" t="n">
        <v>0</v>
      </c>
      <c r="P412" t="n">
        <v>0</v>
      </c>
      <c r="Q412" t="n">
        <v>0</v>
      </c>
      <c r="R412" s="2" t="inlineStr"/>
    </row>
    <row r="413" ht="15" customHeight="1">
      <c r="A413" t="inlineStr">
        <is>
          <t>A 39328-2023</t>
        </is>
      </c>
      <c r="B413" s="1" t="n">
        <v>45166</v>
      </c>
      <c r="C413" s="1" t="n">
        <v>46160</v>
      </c>
      <c r="D413" t="inlineStr">
        <is>
          <t>NORRBOTTENS LÄN</t>
        </is>
      </c>
      <c r="E413" t="inlineStr">
        <is>
          <t>ARVIDSJAUR</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11565-2026</t>
        </is>
      </c>
      <c r="B414" s="1" t="n">
        <v>46084.36946759259</v>
      </c>
      <c r="C414" s="1" t="n">
        <v>46160</v>
      </c>
      <c r="D414" t="inlineStr">
        <is>
          <t>NORRBOTTENS LÄN</t>
        </is>
      </c>
      <c r="E414" t="inlineStr">
        <is>
          <t>ARVIDSJAUR</t>
        </is>
      </c>
      <c r="G414" t="n">
        <v>3.5</v>
      </c>
      <c r="H414" t="n">
        <v>0</v>
      </c>
      <c r="I414" t="n">
        <v>0</v>
      </c>
      <c r="J414" t="n">
        <v>0</v>
      </c>
      <c r="K414" t="n">
        <v>0</v>
      </c>
      <c r="L414" t="n">
        <v>0</v>
      </c>
      <c r="M414" t="n">
        <v>0</v>
      </c>
      <c r="N414" t="n">
        <v>0</v>
      </c>
      <c r="O414" t="n">
        <v>0</v>
      </c>
      <c r="P414" t="n">
        <v>0</v>
      </c>
      <c r="Q414" t="n">
        <v>0</v>
      </c>
      <c r="R414" s="2" t="inlineStr"/>
    </row>
    <row r="415" ht="15" customHeight="1">
      <c r="A415" t="inlineStr">
        <is>
          <t>A 18299-2026</t>
        </is>
      </c>
      <c r="B415" s="1" t="n">
        <v>46126.4491087963</v>
      </c>
      <c r="C415" s="1" t="n">
        <v>46160</v>
      </c>
      <c r="D415" t="inlineStr">
        <is>
          <t>NORRBOTTENS LÄN</t>
        </is>
      </c>
      <c r="E415" t="inlineStr">
        <is>
          <t>ARVIDSJAUR</t>
        </is>
      </c>
      <c r="F415" t="inlineStr">
        <is>
          <t>Sveaskog</t>
        </is>
      </c>
      <c r="G415" t="n">
        <v>14.8</v>
      </c>
      <c r="H415" t="n">
        <v>0</v>
      </c>
      <c r="I415" t="n">
        <v>0</v>
      </c>
      <c r="J415" t="n">
        <v>0</v>
      </c>
      <c r="K415" t="n">
        <v>0</v>
      </c>
      <c r="L415" t="n">
        <v>0</v>
      </c>
      <c r="M415" t="n">
        <v>0</v>
      </c>
      <c r="N415" t="n">
        <v>0</v>
      </c>
      <c r="O415" t="n">
        <v>0</v>
      </c>
      <c r="P415" t="n">
        <v>0</v>
      </c>
      <c r="Q415" t="n">
        <v>0</v>
      </c>
      <c r="R415" s="2" t="inlineStr"/>
    </row>
    <row r="416" ht="15" customHeight="1">
      <c r="A416" t="inlineStr">
        <is>
          <t>A 36403-2023</t>
        </is>
      </c>
      <c r="B416" s="1" t="n">
        <v>45152</v>
      </c>
      <c r="C416" s="1" t="n">
        <v>46160</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12290-2026</t>
        </is>
      </c>
      <c r="B417" s="1" t="n">
        <v>46087</v>
      </c>
      <c r="C417" s="1" t="n">
        <v>46160</v>
      </c>
      <c r="D417" t="inlineStr">
        <is>
          <t>NORRBOTTENS LÄN</t>
        </is>
      </c>
      <c r="E417" t="inlineStr">
        <is>
          <t>ARVIDSJAUR</t>
        </is>
      </c>
      <c r="G417" t="n">
        <v>4.9</v>
      </c>
      <c r="H417" t="n">
        <v>0</v>
      </c>
      <c r="I417" t="n">
        <v>0</v>
      </c>
      <c r="J417" t="n">
        <v>0</v>
      </c>
      <c r="K417" t="n">
        <v>0</v>
      </c>
      <c r="L417" t="n">
        <v>0</v>
      </c>
      <c r="M417" t="n">
        <v>0</v>
      </c>
      <c r="N417" t="n">
        <v>0</v>
      </c>
      <c r="O417" t="n">
        <v>0</v>
      </c>
      <c r="P417" t="n">
        <v>0</v>
      </c>
      <c r="Q417" t="n">
        <v>0</v>
      </c>
      <c r="R417" s="2" t="inlineStr"/>
    </row>
    <row r="418" ht="15" customHeight="1">
      <c r="A418" t="inlineStr">
        <is>
          <t>A 8626-2023</t>
        </is>
      </c>
      <c r="B418" s="1" t="n">
        <v>44977</v>
      </c>
      <c r="C418" s="1" t="n">
        <v>46160</v>
      </c>
      <c r="D418" t="inlineStr">
        <is>
          <t>NORRBOTTENS LÄN</t>
        </is>
      </c>
      <c r="E418" t="inlineStr">
        <is>
          <t>ARVIDSJAUR</t>
        </is>
      </c>
      <c r="G418" t="n">
        <v>3.4</v>
      </c>
      <c r="H418" t="n">
        <v>0</v>
      </c>
      <c r="I418" t="n">
        <v>0</v>
      </c>
      <c r="J418" t="n">
        <v>0</v>
      </c>
      <c r="K418" t="n">
        <v>0</v>
      </c>
      <c r="L418" t="n">
        <v>0</v>
      </c>
      <c r="M418" t="n">
        <v>0</v>
      </c>
      <c r="N418" t="n">
        <v>0</v>
      </c>
      <c r="O418" t="n">
        <v>0</v>
      </c>
      <c r="P418" t="n">
        <v>0</v>
      </c>
      <c r="Q418" t="n">
        <v>0</v>
      </c>
      <c r="R418" s="2" t="inlineStr"/>
    </row>
    <row r="419" ht="15" customHeight="1">
      <c r="A419" t="inlineStr">
        <is>
          <t>A 36090-2023</t>
        </is>
      </c>
      <c r="B419" s="1" t="n">
        <v>45149</v>
      </c>
      <c r="C419" s="1" t="n">
        <v>46160</v>
      </c>
      <c r="D419" t="inlineStr">
        <is>
          <t>NORRBOTTENS LÄN</t>
        </is>
      </c>
      <c r="E419" t="inlineStr">
        <is>
          <t>ARVIDSJAUR</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48461-2024</t>
        </is>
      </c>
      <c r="B420" s="1" t="n">
        <v>45590</v>
      </c>
      <c r="C420" s="1" t="n">
        <v>46160</v>
      </c>
      <c r="D420" t="inlineStr">
        <is>
          <t>NORRBOTTENS LÄN</t>
        </is>
      </c>
      <c r="E420" t="inlineStr">
        <is>
          <t>ARVIDSJAUR</t>
        </is>
      </c>
      <c r="G420" t="n">
        <v>3.1</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46160</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46160</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3034-2024</t>
        </is>
      </c>
      <c r="B423" s="1" t="n">
        <v>45316</v>
      </c>
      <c r="C423" s="1" t="n">
        <v>46160</v>
      </c>
      <c r="D423" t="inlineStr">
        <is>
          <t>NORRBOTTENS LÄN</t>
        </is>
      </c>
      <c r="E423" t="inlineStr">
        <is>
          <t>ARVIDSJAUR</t>
        </is>
      </c>
      <c r="F423" t="inlineStr">
        <is>
          <t>Allmännings- och besparingsskogar</t>
        </is>
      </c>
      <c r="G423" t="n">
        <v>3.9</v>
      </c>
      <c r="H423" t="n">
        <v>0</v>
      </c>
      <c r="I423" t="n">
        <v>0</v>
      </c>
      <c r="J423" t="n">
        <v>0</v>
      </c>
      <c r="K423" t="n">
        <v>0</v>
      </c>
      <c r="L423" t="n">
        <v>0</v>
      </c>
      <c r="M423" t="n">
        <v>0</v>
      </c>
      <c r="N423" t="n">
        <v>0</v>
      </c>
      <c r="O423" t="n">
        <v>0</v>
      </c>
      <c r="P423" t="n">
        <v>0</v>
      </c>
      <c r="Q423" t="n">
        <v>0</v>
      </c>
      <c r="R423" s="2" t="inlineStr"/>
    </row>
    <row r="424" ht="15" customHeight="1">
      <c r="A424" t="inlineStr">
        <is>
          <t>A 9996-2023</t>
        </is>
      </c>
      <c r="B424" s="1" t="n">
        <v>44979</v>
      </c>
      <c r="C424" s="1" t="n">
        <v>46160</v>
      </c>
      <c r="D424" t="inlineStr">
        <is>
          <t>NORRBOTTENS LÄN</t>
        </is>
      </c>
      <c r="E424" t="inlineStr">
        <is>
          <t>ARVIDSJAUR</t>
        </is>
      </c>
      <c r="G424" t="n">
        <v>6.6</v>
      </c>
      <c r="H424" t="n">
        <v>0</v>
      </c>
      <c r="I424" t="n">
        <v>0</v>
      </c>
      <c r="J424" t="n">
        <v>0</v>
      </c>
      <c r="K424" t="n">
        <v>0</v>
      </c>
      <c r="L424" t="n">
        <v>0</v>
      </c>
      <c r="M424" t="n">
        <v>0</v>
      </c>
      <c r="N424" t="n">
        <v>0</v>
      </c>
      <c r="O424" t="n">
        <v>0</v>
      </c>
      <c r="P424" t="n">
        <v>0</v>
      </c>
      <c r="Q424" t="n">
        <v>0</v>
      </c>
      <c r="R424" s="2" t="inlineStr"/>
    </row>
    <row r="425" ht="15" customHeight="1">
      <c r="A425" t="inlineStr">
        <is>
          <t>A 40937-2024</t>
        </is>
      </c>
      <c r="B425" s="1" t="n">
        <v>45558.6424537037</v>
      </c>
      <c r="C425" s="1" t="n">
        <v>46160</v>
      </c>
      <c r="D425" t="inlineStr">
        <is>
          <t>NORRBOTTENS LÄN</t>
        </is>
      </c>
      <c r="E425" t="inlineStr">
        <is>
          <t>ARVIDSJAUR</t>
        </is>
      </c>
      <c r="F425" t="inlineStr">
        <is>
          <t>Sveaskog</t>
        </is>
      </c>
      <c r="G425" t="n">
        <v>22.6</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46160</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30343-2023</t>
        </is>
      </c>
      <c r="B427" s="1" t="n">
        <v>45111</v>
      </c>
      <c r="C427" s="1" t="n">
        <v>46160</v>
      </c>
      <c r="D427" t="inlineStr">
        <is>
          <t>NORRBOTTENS LÄN</t>
        </is>
      </c>
      <c r="E427" t="inlineStr">
        <is>
          <t>ARVIDSJAUR</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4937-2024</t>
        </is>
      </c>
      <c r="B428" s="1" t="n">
        <v>45329</v>
      </c>
      <c r="C428" s="1" t="n">
        <v>46160</v>
      </c>
      <c r="D428" t="inlineStr">
        <is>
          <t>NORRBOTTENS LÄN</t>
        </is>
      </c>
      <c r="E428" t="inlineStr">
        <is>
          <t>ARVIDSJAUR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21704-2024</t>
        </is>
      </c>
      <c r="B429" s="1" t="n">
        <v>45442</v>
      </c>
      <c r="C429" s="1" t="n">
        <v>46160</v>
      </c>
      <c r="D429" t="inlineStr">
        <is>
          <t>NORRBOTTENS LÄN</t>
        </is>
      </c>
      <c r="E429" t="inlineStr">
        <is>
          <t>ARVIDSJAUR</t>
        </is>
      </c>
      <c r="G429" t="n">
        <v>3.1</v>
      </c>
      <c r="H429" t="n">
        <v>0</v>
      </c>
      <c r="I429" t="n">
        <v>0</v>
      </c>
      <c r="J429" t="n">
        <v>0</v>
      </c>
      <c r="K429" t="n">
        <v>0</v>
      </c>
      <c r="L429" t="n">
        <v>0</v>
      </c>
      <c r="M429" t="n">
        <v>0</v>
      </c>
      <c r="N429" t="n">
        <v>0</v>
      </c>
      <c r="O429" t="n">
        <v>0</v>
      </c>
      <c r="P429" t="n">
        <v>0</v>
      </c>
      <c r="Q429" t="n">
        <v>0</v>
      </c>
      <c r="R429" s="2" t="inlineStr"/>
    </row>
    <row r="430" ht="15" customHeight="1">
      <c r="A430" t="inlineStr">
        <is>
          <t>A 54218-2024</t>
        </is>
      </c>
      <c r="B430" s="1" t="n">
        <v>45616</v>
      </c>
      <c r="C430" s="1" t="n">
        <v>46160</v>
      </c>
      <c r="D430" t="inlineStr">
        <is>
          <t>NORRBOTTENS LÄN</t>
        </is>
      </c>
      <c r="E430" t="inlineStr">
        <is>
          <t>ARVIDSJAUR</t>
        </is>
      </c>
      <c r="G430" t="n">
        <v>4.4</v>
      </c>
      <c r="H430" t="n">
        <v>0</v>
      </c>
      <c r="I430" t="n">
        <v>0</v>
      </c>
      <c r="J430" t="n">
        <v>0</v>
      </c>
      <c r="K430" t="n">
        <v>0</v>
      </c>
      <c r="L430" t="n">
        <v>0</v>
      </c>
      <c r="M430" t="n">
        <v>0</v>
      </c>
      <c r="N430" t="n">
        <v>0</v>
      </c>
      <c r="O430" t="n">
        <v>0</v>
      </c>
      <c r="P430" t="n">
        <v>0</v>
      </c>
      <c r="Q430" t="n">
        <v>0</v>
      </c>
      <c r="R430" s="2" t="inlineStr"/>
    </row>
    <row r="431" ht="15" customHeight="1">
      <c r="A431" t="inlineStr">
        <is>
          <t>A 30752-2023</t>
        </is>
      </c>
      <c r="B431" s="1" t="n">
        <v>45103</v>
      </c>
      <c r="C431" s="1" t="n">
        <v>46160</v>
      </c>
      <c r="D431" t="inlineStr">
        <is>
          <t>NORRBOTTENS LÄN</t>
        </is>
      </c>
      <c r="E431" t="inlineStr">
        <is>
          <t>ARVIDSJAUR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26684-2024</t>
        </is>
      </c>
      <c r="B432" s="1" t="n">
        <v>45470.35256944445</v>
      </c>
      <c r="C432" s="1" t="n">
        <v>46160</v>
      </c>
      <c r="D432" t="inlineStr">
        <is>
          <t>NORRBOTTENS LÄN</t>
        </is>
      </c>
      <c r="E432" t="inlineStr">
        <is>
          <t>ARVIDSJAUR</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26689-2024</t>
        </is>
      </c>
      <c r="B433" s="1" t="n">
        <v>45470.35973379629</v>
      </c>
      <c r="C433" s="1" t="n">
        <v>46160</v>
      </c>
      <c r="D433" t="inlineStr">
        <is>
          <t>NORRBOTTENS LÄN</t>
        </is>
      </c>
      <c r="E433" t="inlineStr">
        <is>
          <t>ARVIDSJAUR</t>
        </is>
      </c>
      <c r="F433" t="inlineStr">
        <is>
          <t>Sveaskog</t>
        </is>
      </c>
      <c r="G433" t="n">
        <v>11.8</v>
      </c>
      <c r="H433" t="n">
        <v>0</v>
      </c>
      <c r="I433" t="n">
        <v>0</v>
      </c>
      <c r="J433" t="n">
        <v>0</v>
      </c>
      <c r="K433" t="n">
        <v>0</v>
      </c>
      <c r="L433" t="n">
        <v>0</v>
      </c>
      <c r="M433" t="n">
        <v>0</v>
      </c>
      <c r="N433" t="n">
        <v>0</v>
      </c>
      <c r="O433" t="n">
        <v>0</v>
      </c>
      <c r="P433" t="n">
        <v>0</v>
      </c>
      <c r="Q433" t="n">
        <v>0</v>
      </c>
      <c r="R433" s="2" t="inlineStr"/>
    </row>
    <row r="434" ht="15" customHeight="1">
      <c r="A434" t="inlineStr">
        <is>
          <t>A 14054-2026</t>
        </is>
      </c>
      <c r="B434" s="1" t="n">
        <v>46099.316875</v>
      </c>
      <c r="C434" s="1" t="n">
        <v>46160</v>
      </c>
      <c r="D434" t="inlineStr">
        <is>
          <t>NORRBOTTENS LÄN</t>
        </is>
      </c>
      <c r="E434" t="inlineStr">
        <is>
          <t>ARVIDSJAUR</t>
        </is>
      </c>
      <c r="F434" t="inlineStr">
        <is>
          <t>Sveaskog</t>
        </is>
      </c>
      <c r="G434" t="n">
        <v>4.7</v>
      </c>
      <c r="H434" t="n">
        <v>0</v>
      </c>
      <c r="I434" t="n">
        <v>0</v>
      </c>
      <c r="J434" t="n">
        <v>0</v>
      </c>
      <c r="K434" t="n">
        <v>0</v>
      </c>
      <c r="L434" t="n">
        <v>0</v>
      </c>
      <c r="M434" t="n">
        <v>0</v>
      </c>
      <c r="N434" t="n">
        <v>0</v>
      </c>
      <c r="O434" t="n">
        <v>0</v>
      </c>
      <c r="P434" t="n">
        <v>0</v>
      </c>
      <c r="Q434" t="n">
        <v>0</v>
      </c>
      <c r="R434" s="2" t="inlineStr"/>
    </row>
    <row r="435" ht="15" customHeight="1">
      <c r="A435" t="inlineStr">
        <is>
          <t>A 14272-2026</t>
        </is>
      </c>
      <c r="B435" s="1" t="n">
        <v>46099</v>
      </c>
      <c r="C435" s="1" t="n">
        <v>46160</v>
      </c>
      <c r="D435" t="inlineStr">
        <is>
          <t>NORRBOTTENS LÄN</t>
        </is>
      </c>
      <c r="E435" t="inlineStr">
        <is>
          <t>ARVIDSJAUR</t>
        </is>
      </c>
      <c r="F435" t="inlineStr">
        <is>
          <t>Sveaskog</t>
        </is>
      </c>
      <c r="G435" t="n">
        <v>40.4</v>
      </c>
      <c r="H435" t="n">
        <v>0</v>
      </c>
      <c r="I435" t="n">
        <v>0</v>
      </c>
      <c r="J435" t="n">
        <v>0</v>
      </c>
      <c r="K435" t="n">
        <v>0</v>
      </c>
      <c r="L435" t="n">
        <v>0</v>
      </c>
      <c r="M435" t="n">
        <v>0</v>
      </c>
      <c r="N435" t="n">
        <v>0</v>
      </c>
      <c r="O435" t="n">
        <v>0</v>
      </c>
      <c r="P435" t="n">
        <v>0</v>
      </c>
      <c r="Q435" t="n">
        <v>0</v>
      </c>
      <c r="R435" s="2" t="inlineStr"/>
    </row>
    <row r="436" ht="15" customHeight="1">
      <c r="A436" t="inlineStr">
        <is>
          <t>A 40940-2024</t>
        </is>
      </c>
      <c r="B436" s="1" t="n">
        <v>45558.64387731482</v>
      </c>
      <c r="C436" s="1" t="n">
        <v>46160</v>
      </c>
      <c r="D436" t="inlineStr">
        <is>
          <t>NORRBOTTENS LÄN</t>
        </is>
      </c>
      <c r="E436" t="inlineStr">
        <is>
          <t>ARVIDSJAUR</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46160</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10832-2025</t>
        </is>
      </c>
      <c r="B438" s="1" t="n">
        <v>45722</v>
      </c>
      <c r="C438" s="1" t="n">
        <v>46160</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10852-2025</t>
        </is>
      </c>
      <c r="B439" s="1" t="n">
        <v>45722</v>
      </c>
      <c r="C439" s="1" t="n">
        <v>46160</v>
      </c>
      <c r="D439" t="inlineStr">
        <is>
          <t>NORRBOTTENS LÄN</t>
        </is>
      </c>
      <c r="E439" t="inlineStr">
        <is>
          <t>ARVIDSJAUR</t>
        </is>
      </c>
      <c r="F439" t="inlineStr">
        <is>
          <t>Sveaskog</t>
        </is>
      </c>
      <c r="G439" t="n">
        <v>7</v>
      </c>
      <c r="H439" t="n">
        <v>0</v>
      </c>
      <c r="I439" t="n">
        <v>0</v>
      </c>
      <c r="J439" t="n">
        <v>0</v>
      </c>
      <c r="K439" t="n">
        <v>0</v>
      </c>
      <c r="L439" t="n">
        <v>0</v>
      </c>
      <c r="M439" t="n">
        <v>0</v>
      </c>
      <c r="N439" t="n">
        <v>0</v>
      </c>
      <c r="O439" t="n">
        <v>0</v>
      </c>
      <c r="P439" t="n">
        <v>0</v>
      </c>
      <c r="Q439" t="n">
        <v>0</v>
      </c>
      <c r="R439" s="2" t="inlineStr"/>
    </row>
    <row r="440" ht="15" customHeight="1">
      <c r="A440" t="inlineStr">
        <is>
          <t>A 54336-2024</t>
        </is>
      </c>
      <c r="B440" s="1" t="n">
        <v>45617.38408564815</v>
      </c>
      <c r="C440" s="1" t="n">
        <v>46160</v>
      </c>
      <c r="D440" t="inlineStr">
        <is>
          <t>NORRBOTTENS LÄN</t>
        </is>
      </c>
      <c r="E440" t="inlineStr">
        <is>
          <t>ARVIDSJAUR</t>
        </is>
      </c>
      <c r="F440" t="inlineStr">
        <is>
          <t>Sveaskog</t>
        </is>
      </c>
      <c r="G440" t="n">
        <v>5.5</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46160</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46160</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46160</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46104.4116087963</v>
      </c>
      <c r="C444" s="1" t="n">
        <v>46160</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46104.40841435185</v>
      </c>
      <c r="C445" s="1" t="n">
        <v>46160</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21061-2026</t>
        </is>
      </c>
      <c r="B446" s="1" t="n">
        <v>46146.38792824074</v>
      </c>
      <c r="C446" s="1" t="n">
        <v>46160</v>
      </c>
      <c r="D446" t="inlineStr">
        <is>
          <t>NORRBOTTENS LÄN</t>
        </is>
      </c>
      <c r="E446" t="inlineStr">
        <is>
          <t>ARVIDSJAUR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46146.38303240741</v>
      </c>
      <c r="C447" s="1" t="n">
        <v>46160</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46146.38583333333</v>
      </c>
      <c r="C448" s="1" t="n">
        <v>46160</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21058-2026</t>
        </is>
      </c>
      <c r="B449" s="1" t="n">
        <v>46146.38584490741</v>
      </c>
      <c r="C449" s="1" t="n">
        <v>46160</v>
      </c>
      <c r="D449" t="inlineStr">
        <is>
          <t>NORRBOTTENS LÄN</t>
        </is>
      </c>
      <c r="E449" t="inlineStr">
        <is>
          <t>ARVIDSJAUR</t>
        </is>
      </c>
      <c r="G449" t="n">
        <v>0.9</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46146.39068287037</v>
      </c>
      <c r="C450" s="1" t="n">
        <v>46160</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48364-2024</t>
        </is>
      </c>
      <c r="B451" s="1" t="n">
        <v>45590.57606481481</v>
      </c>
      <c r="C451" s="1" t="n">
        <v>46160</v>
      </c>
      <c r="D451" t="inlineStr">
        <is>
          <t>NORRBOTTENS LÄN</t>
        </is>
      </c>
      <c r="E451" t="inlineStr">
        <is>
          <t>ARVIDSJAUR</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21255-2026</t>
        </is>
      </c>
      <c r="B452" s="1" t="n">
        <v>46147</v>
      </c>
      <c r="C452" s="1" t="n">
        <v>46160</v>
      </c>
      <c r="D452" t="inlineStr">
        <is>
          <t>NORRBOTTENS LÄN</t>
        </is>
      </c>
      <c r="E452" t="inlineStr">
        <is>
          <t>ARVIDSJAUR</t>
        </is>
      </c>
      <c r="F452" t="inlineStr">
        <is>
          <t>Sveaskog</t>
        </is>
      </c>
      <c r="G452" t="n">
        <v>28.3</v>
      </c>
      <c r="H452" t="n">
        <v>0</v>
      </c>
      <c r="I452" t="n">
        <v>0</v>
      </c>
      <c r="J452" t="n">
        <v>0</v>
      </c>
      <c r="K452" t="n">
        <v>0</v>
      </c>
      <c r="L452" t="n">
        <v>0</v>
      </c>
      <c r="M452" t="n">
        <v>0</v>
      </c>
      <c r="N452" t="n">
        <v>0</v>
      </c>
      <c r="O452" t="n">
        <v>0</v>
      </c>
      <c r="P452" t="n">
        <v>0</v>
      </c>
      <c r="Q452" t="n">
        <v>0</v>
      </c>
      <c r="R452" s="2" t="inlineStr"/>
    </row>
    <row r="453" ht="15" customHeight="1">
      <c r="A453" t="inlineStr">
        <is>
          <t>A 21054-2026</t>
        </is>
      </c>
      <c r="B453" s="1" t="n">
        <v>46146.37946759259</v>
      </c>
      <c r="C453" s="1" t="n">
        <v>46160</v>
      </c>
      <c r="D453" t="inlineStr">
        <is>
          <t>NORRBOTTENS LÄN</t>
        </is>
      </c>
      <c r="E453" t="inlineStr">
        <is>
          <t>ARVIDSJAUR</t>
        </is>
      </c>
      <c r="F453" t="inlineStr">
        <is>
          <t>Sveaskog</t>
        </is>
      </c>
      <c r="G453" t="n">
        <v>6.9</v>
      </c>
      <c r="H453" t="n">
        <v>0</v>
      </c>
      <c r="I453" t="n">
        <v>0</v>
      </c>
      <c r="J453" t="n">
        <v>0</v>
      </c>
      <c r="K453" t="n">
        <v>0</v>
      </c>
      <c r="L453" t="n">
        <v>0</v>
      </c>
      <c r="M453" t="n">
        <v>0</v>
      </c>
      <c r="N453" t="n">
        <v>0</v>
      </c>
      <c r="O453" t="n">
        <v>0</v>
      </c>
      <c r="P453" t="n">
        <v>0</v>
      </c>
      <c r="Q453" t="n">
        <v>0</v>
      </c>
      <c r="R453" s="2" t="inlineStr"/>
    </row>
    <row r="454" ht="15" customHeight="1">
      <c r="A454" t="inlineStr">
        <is>
          <t>A 36483-2022</t>
        </is>
      </c>
      <c r="B454" s="1" t="n">
        <v>44804</v>
      </c>
      <c r="C454" s="1" t="n">
        <v>46160</v>
      </c>
      <c r="D454" t="inlineStr">
        <is>
          <t>NORRBOTTENS LÄN</t>
        </is>
      </c>
      <c r="E454" t="inlineStr">
        <is>
          <t>ARVIDSJAUR</t>
        </is>
      </c>
      <c r="G454" t="n">
        <v>2.9</v>
      </c>
      <c r="H454" t="n">
        <v>0</v>
      </c>
      <c r="I454" t="n">
        <v>0</v>
      </c>
      <c r="J454" t="n">
        <v>0</v>
      </c>
      <c r="K454" t="n">
        <v>0</v>
      </c>
      <c r="L454" t="n">
        <v>0</v>
      </c>
      <c r="M454" t="n">
        <v>0</v>
      </c>
      <c r="N454" t="n">
        <v>0</v>
      </c>
      <c r="O454" t="n">
        <v>0</v>
      </c>
      <c r="P454" t="n">
        <v>0</v>
      </c>
      <c r="Q454" t="n">
        <v>0</v>
      </c>
      <c r="R454" s="2" t="inlineStr"/>
    </row>
    <row r="455" ht="15" customHeight="1">
      <c r="A455" t="inlineStr">
        <is>
          <t>A 26591-2023</t>
        </is>
      </c>
      <c r="B455" s="1" t="n">
        <v>45090</v>
      </c>
      <c r="C455" s="1" t="n">
        <v>46160</v>
      </c>
      <c r="D455" t="inlineStr">
        <is>
          <t>NORRBOTTENS LÄN</t>
        </is>
      </c>
      <c r="E455" t="inlineStr">
        <is>
          <t>ARVIDSJAUR</t>
        </is>
      </c>
      <c r="G455" t="n">
        <v>0.5</v>
      </c>
      <c r="H455" t="n">
        <v>0</v>
      </c>
      <c r="I455" t="n">
        <v>0</v>
      </c>
      <c r="J455" t="n">
        <v>0</v>
      </c>
      <c r="K455" t="n">
        <v>0</v>
      </c>
      <c r="L455" t="n">
        <v>0</v>
      </c>
      <c r="M455" t="n">
        <v>0</v>
      </c>
      <c r="N455" t="n">
        <v>0</v>
      </c>
      <c r="O455" t="n">
        <v>0</v>
      </c>
      <c r="P455" t="n">
        <v>0</v>
      </c>
      <c r="Q455" t="n">
        <v>0</v>
      </c>
      <c r="R455" s="2" t="inlineStr"/>
    </row>
    <row r="456" ht="15" customHeight="1">
      <c r="A456" t="inlineStr">
        <is>
          <t>A 48892-2024</t>
        </is>
      </c>
      <c r="B456" s="1" t="n">
        <v>45594</v>
      </c>
      <c r="C456" s="1" t="n">
        <v>46160</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21418-2026</t>
        </is>
      </c>
      <c r="B457" s="1" t="n">
        <v>46148.35943287037</v>
      </c>
      <c r="C457" s="1" t="n">
        <v>46160</v>
      </c>
      <c r="D457" t="inlineStr">
        <is>
          <t>NORRBOTTENS LÄN</t>
        </is>
      </c>
      <c r="E457" t="inlineStr">
        <is>
          <t>ARVIDSJAUR</t>
        </is>
      </c>
      <c r="G457" t="n">
        <v>1.6</v>
      </c>
      <c r="H457" t="n">
        <v>0</v>
      </c>
      <c r="I457" t="n">
        <v>0</v>
      </c>
      <c r="J457" t="n">
        <v>0</v>
      </c>
      <c r="K457" t="n">
        <v>0</v>
      </c>
      <c r="L457" t="n">
        <v>0</v>
      </c>
      <c r="M457" t="n">
        <v>0</v>
      </c>
      <c r="N457" t="n">
        <v>0</v>
      </c>
      <c r="O457" t="n">
        <v>0</v>
      </c>
      <c r="P457" t="n">
        <v>0</v>
      </c>
      <c r="Q457" t="n">
        <v>0</v>
      </c>
      <c r="R457" s="2" t="inlineStr"/>
    </row>
    <row r="458" ht="15" customHeight="1">
      <c r="A458" t="inlineStr">
        <is>
          <t>A 32268-2023</t>
        </is>
      </c>
      <c r="B458" s="1" t="n">
        <v>45120</v>
      </c>
      <c r="C458" s="1" t="n">
        <v>46160</v>
      </c>
      <c r="D458" t="inlineStr">
        <is>
          <t>NORRBOTTENS LÄN</t>
        </is>
      </c>
      <c r="E458" t="inlineStr">
        <is>
          <t>ARVIDSJAUR</t>
        </is>
      </c>
      <c r="F458" t="inlineStr">
        <is>
          <t>Sveaskog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20698-2022</t>
        </is>
      </c>
      <c r="B459" s="1" t="n">
        <v>44700</v>
      </c>
      <c r="C459" s="1" t="n">
        <v>46160</v>
      </c>
      <c r="D459" t="inlineStr">
        <is>
          <t>NORRBOTTENS LÄN</t>
        </is>
      </c>
      <c r="E459" t="inlineStr">
        <is>
          <t>ARVIDSJAUR</t>
        </is>
      </c>
      <c r="G459" t="n">
        <v>1.3</v>
      </c>
      <c r="H459" t="n">
        <v>0</v>
      </c>
      <c r="I459" t="n">
        <v>0</v>
      </c>
      <c r="J459" t="n">
        <v>0</v>
      </c>
      <c r="K459" t="n">
        <v>0</v>
      </c>
      <c r="L459" t="n">
        <v>0</v>
      </c>
      <c r="M459" t="n">
        <v>0</v>
      </c>
      <c r="N459" t="n">
        <v>0</v>
      </c>
      <c r="O459" t="n">
        <v>0</v>
      </c>
      <c r="P459" t="n">
        <v>0</v>
      </c>
      <c r="Q459" t="n">
        <v>0</v>
      </c>
      <c r="R459" s="2" t="inlineStr"/>
    </row>
    <row r="460" ht="15" customHeight="1">
      <c r="A460" t="inlineStr">
        <is>
          <t>A 36954-2023</t>
        </is>
      </c>
      <c r="B460" s="1" t="n">
        <v>45154</v>
      </c>
      <c r="C460" s="1" t="n">
        <v>46160</v>
      </c>
      <c r="D460" t="inlineStr">
        <is>
          <t>NORRBOTTENS LÄN</t>
        </is>
      </c>
      <c r="E460" t="inlineStr">
        <is>
          <t>ARVIDSJAUR</t>
        </is>
      </c>
      <c r="G460" t="n">
        <v>3.7</v>
      </c>
      <c r="H460" t="n">
        <v>0</v>
      </c>
      <c r="I460" t="n">
        <v>0</v>
      </c>
      <c r="J460" t="n">
        <v>0</v>
      </c>
      <c r="K460" t="n">
        <v>0</v>
      </c>
      <c r="L460" t="n">
        <v>0</v>
      </c>
      <c r="M460" t="n">
        <v>0</v>
      </c>
      <c r="N460" t="n">
        <v>0</v>
      </c>
      <c r="O460" t="n">
        <v>0</v>
      </c>
      <c r="P460" t="n">
        <v>0</v>
      </c>
      <c r="Q460" t="n">
        <v>0</v>
      </c>
      <c r="R460" s="2" t="inlineStr"/>
    </row>
    <row r="461" ht="15" customHeight="1">
      <c r="A461" t="inlineStr">
        <is>
          <t>A 16446-2026</t>
        </is>
      </c>
      <c r="B461" s="1" t="n">
        <v>46112</v>
      </c>
      <c r="C461" s="1" t="n">
        <v>46160</v>
      </c>
      <c r="D461" t="inlineStr">
        <is>
          <t>NORRBOTTENS LÄN</t>
        </is>
      </c>
      <c r="E461" t="inlineStr">
        <is>
          <t>ARVIDSJAUR</t>
        </is>
      </c>
      <c r="F461" t="inlineStr">
        <is>
          <t>Sveaskog</t>
        </is>
      </c>
      <c r="G461" t="n">
        <v>37.2</v>
      </c>
      <c r="H461" t="n">
        <v>0</v>
      </c>
      <c r="I461" t="n">
        <v>0</v>
      </c>
      <c r="J461" t="n">
        <v>0</v>
      </c>
      <c r="K461" t="n">
        <v>0</v>
      </c>
      <c r="L461" t="n">
        <v>0</v>
      </c>
      <c r="M461" t="n">
        <v>0</v>
      </c>
      <c r="N461" t="n">
        <v>0</v>
      </c>
      <c r="O461" t="n">
        <v>0</v>
      </c>
      <c r="P461" t="n">
        <v>0</v>
      </c>
      <c r="Q461" t="n">
        <v>0</v>
      </c>
      <c r="R461" s="2" t="inlineStr"/>
    </row>
    <row r="462" ht="15" customHeight="1">
      <c r="A462" t="inlineStr">
        <is>
          <t>A 25121-2024</t>
        </is>
      </c>
      <c r="B462" s="1" t="n">
        <v>45462</v>
      </c>
      <c r="C462" s="1" t="n">
        <v>46160</v>
      </c>
      <c r="D462" t="inlineStr">
        <is>
          <t>NORRBOTTENS LÄN</t>
        </is>
      </c>
      <c r="E462" t="inlineStr">
        <is>
          <t>ARVIDSJAUR</t>
        </is>
      </c>
      <c r="F462" t="inlineStr">
        <is>
          <t>Sveaskog</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46160</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3206-2024</t>
        </is>
      </c>
      <c r="B464" s="1" t="n">
        <v>45316</v>
      </c>
      <c r="C464" s="1" t="n">
        <v>46160</v>
      </c>
      <c r="D464" t="inlineStr">
        <is>
          <t>NORRBOTTENS LÄN</t>
        </is>
      </c>
      <c r="E464" t="inlineStr">
        <is>
          <t>ARVIDSJAUR</t>
        </is>
      </c>
      <c r="F464" t="inlineStr">
        <is>
          <t>Allmännings- och besparingsskogar</t>
        </is>
      </c>
      <c r="G464" t="n">
        <v>15.1</v>
      </c>
      <c r="H464" t="n">
        <v>0</v>
      </c>
      <c r="I464" t="n">
        <v>0</v>
      </c>
      <c r="J464" t="n">
        <v>0</v>
      </c>
      <c r="K464" t="n">
        <v>0</v>
      </c>
      <c r="L464" t="n">
        <v>0</v>
      </c>
      <c r="M464" t="n">
        <v>0</v>
      </c>
      <c r="N464" t="n">
        <v>0</v>
      </c>
      <c r="O464" t="n">
        <v>0</v>
      </c>
      <c r="P464" t="n">
        <v>0</v>
      </c>
      <c r="Q464" t="n">
        <v>0</v>
      </c>
      <c r="R464" s="2" t="inlineStr"/>
    </row>
    <row r="465" ht="15" customHeight="1">
      <c r="A465" t="inlineStr">
        <is>
          <t>A 25599-2024</t>
        </is>
      </c>
      <c r="B465" s="1" t="n">
        <v>45463.62568287037</v>
      </c>
      <c r="C465" s="1" t="n">
        <v>46160</v>
      </c>
      <c r="D465" t="inlineStr">
        <is>
          <t>NORRBOTTENS LÄN</t>
        </is>
      </c>
      <c r="E465" t="inlineStr">
        <is>
          <t>ARVIDSJAUR</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3265-2024</t>
        </is>
      </c>
      <c r="B466" s="1" t="n">
        <v>45316</v>
      </c>
      <c r="C466" s="1" t="n">
        <v>46160</v>
      </c>
      <c r="D466" t="inlineStr">
        <is>
          <t>NORRBOTTENS LÄN</t>
        </is>
      </c>
      <c r="E466" t="inlineStr">
        <is>
          <t>ARVIDSJAUR</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11492-2025</t>
        </is>
      </c>
      <c r="B467" s="1" t="n">
        <v>45726</v>
      </c>
      <c r="C467" s="1" t="n">
        <v>46160</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11494-2025</t>
        </is>
      </c>
      <c r="B468" s="1" t="n">
        <v>45726</v>
      </c>
      <c r="C468" s="1" t="n">
        <v>46160</v>
      </c>
      <c r="D468" t="inlineStr">
        <is>
          <t>NORRBOTTENS LÄN</t>
        </is>
      </c>
      <c r="E468" t="inlineStr">
        <is>
          <t>ARVIDSJAUR</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46160</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11540-2025</t>
        </is>
      </c>
      <c r="B470" s="1" t="n">
        <v>45726</v>
      </c>
      <c r="C470" s="1" t="n">
        <v>46160</v>
      </c>
      <c r="D470" t="inlineStr">
        <is>
          <t>NORRBOTTENS LÄN</t>
        </is>
      </c>
      <c r="E470" t="inlineStr">
        <is>
          <t>ARVIDSJAUR</t>
        </is>
      </c>
      <c r="F470" t="inlineStr">
        <is>
          <t>Allmännings- och besparingsskogar</t>
        </is>
      </c>
      <c r="G470" t="n">
        <v>4.7</v>
      </c>
      <c r="H470" t="n">
        <v>0</v>
      </c>
      <c r="I470" t="n">
        <v>0</v>
      </c>
      <c r="J470" t="n">
        <v>0</v>
      </c>
      <c r="K470" t="n">
        <v>0</v>
      </c>
      <c r="L470" t="n">
        <v>0</v>
      </c>
      <c r="M470" t="n">
        <v>0</v>
      </c>
      <c r="N470" t="n">
        <v>0</v>
      </c>
      <c r="O470" t="n">
        <v>0</v>
      </c>
      <c r="P470" t="n">
        <v>0</v>
      </c>
      <c r="Q470" t="n">
        <v>0</v>
      </c>
      <c r="R470" s="2" t="inlineStr"/>
    </row>
    <row r="471" ht="15" customHeight="1">
      <c r="A471" t="inlineStr">
        <is>
          <t>A 19232-2025</t>
        </is>
      </c>
      <c r="B471" s="1" t="n">
        <v>45769</v>
      </c>
      <c r="C471" s="1" t="n">
        <v>46160</v>
      </c>
      <c r="D471" t="inlineStr">
        <is>
          <t>NORRBOTTENS LÄN</t>
        </is>
      </c>
      <c r="E471" t="inlineStr">
        <is>
          <t>ARVIDSJAUR</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29674-2024</t>
        </is>
      </c>
      <c r="B472" s="1" t="n">
        <v>45484.94219907407</v>
      </c>
      <c r="C472" s="1" t="n">
        <v>46160</v>
      </c>
      <c r="D472" t="inlineStr">
        <is>
          <t>NORRBOTTENS LÄN</t>
        </is>
      </c>
      <c r="E472" t="inlineStr">
        <is>
          <t>ARVIDSJAUR</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28313-2023</t>
        </is>
      </c>
      <c r="B473" s="1" t="n">
        <v>45099</v>
      </c>
      <c r="C473" s="1" t="n">
        <v>46160</v>
      </c>
      <c r="D473" t="inlineStr">
        <is>
          <t>NORRBOTTENS LÄN</t>
        </is>
      </c>
      <c r="E473" t="inlineStr">
        <is>
          <t>ARVIDSJAUR</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48373-2024</t>
        </is>
      </c>
      <c r="B474" s="1" t="n">
        <v>45590</v>
      </c>
      <c r="C474" s="1" t="n">
        <v>46160</v>
      </c>
      <c r="D474" t="inlineStr">
        <is>
          <t>NORRBOTTENS LÄN</t>
        </is>
      </c>
      <c r="E474" t="inlineStr">
        <is>
          <t>ARVIDSJAUR</t>
        </is>
      </c>
      <c r="F474" t="inlineStr">
        <is>
          <t>Sveaskog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5702-2024</t>
        </is>
      </c>
      <c r="B475" s="1" t="n">
        <v>45334</v>
      </c>
      <c r="C475" s="1" t="n">
        <v>46160</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50527-2024</t>
        </is>
      </c>
      <c r="B476" s="1" t="n">
        <v>45601.56194444445</v>
      </c>
      <c r="C476" s="1" t="n">
        <v>46160</v>
      </c>
      <c r="D476" t="inlineStr">
        <is>
          <t>NORRBOTTENS LÄN</t>
        </is>
      </c>
      <c r="E476" t="inlineStr">
        <is>
          <t>ARVIDSJAUR</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22691-2024</t>
        </is>
      </c>
      <c r="B477" s="1" t="n">
        <v>45448</v>
      </c>
      <c r="C477" s="1" t="n">
        <v>46160</v>
      </c>
      <c r="D477" t="inlineStr">
        <is>
          <t>NORRBOTTENS LÄN</t>
        </is>
      </c>
      <c r="E477" t="inlineStr">
        <is>
          <t>ARVIDSJAUR</t>
        </is>
      </c>
      <c r="F477" t="inlineStr">
        <is>
          <t>Sveaskog</t>
        </is>
      </c>
      <c r="G477" t="n">
        <v>11.2</v>
      </c>
      <c r="H477" t="n">
        <v>0</v>
      </c>
      <c r="I477" t="n">
        <v>0</v>
      </c>
      <c r="J477" t="n">
        <v>0</v>
      </c>
      <c r="K477" t="n">
        <v>0</v>
      </c>
      <c r="L477" t="n">
        <v>0</v>
      </c>
      <c r="M477" t="n">
        <v>0</v>
      </c>
      <c r="N477" t="n">
        <v>0</v>
      </c>
      <c r="O477" t="n">
        <v>0</v>
      </c>
      <c r="P477" t="n">
        <v>0</v>
      </c>
      <c r="Q477" t="n">
        <v>0</v>
      </c>
      <c r="R477" s="2" t="inlineStr"/>
    </row>
    <row r="478" ht="15" customHeight="1">
      <c r="A478" t="inlineStr">
        <is>
          <t>A 52645-2023</t>
        </is>
      </c>
      <c r="B478" s="1" t="n">
        <v>45225</v>
      </c>
      <c r="C478" s="1" t="n">
        <v>46160</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36452-2024</t>
        </is>
      </c>
      <c r="B479" s="1" t="n">
        <v>45537</v>
      </c>
      <c r="C479" s="1" t="n">
        <v>46160</v>
      </c>
      <c r="D479" t="inlineStr">
        <is>
          <t>NORRBOTTENS LÄN</t>
        </is>
      </c>
      <c r="E479" t="inlineStr">
        <is>
          <t>ARVIDSJAUR</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45034-2023</t>
        </is>
      </c>
      <c r="B480" s="1" t="n">
        <v>45191.28909722222</v>
      </c>
      <c r="C480" s="1" t="n">
        <v>46160</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47919-2024</t>
        </is>
      </c>
      <c r="B481" s="1" t="n">
        <v>45589</v>
      </c>
      <c r="C481" s="1" t="n">
        <v>46160</v>
      </c>
      <c r="D481" t="inlineStr">
        <is>
          <t>NORRBOTTENS LÄN</t>
        </is>
      </c>
      <c r="E481" t="inlineStr">
        <is>
          <t>ARVIDSJAUR</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54211-2024</t>
        </is>
      </c>
      <c r="B482" s="1" t="n">
        <v>45616</v>
      </c>
      <c r="C482" s="1" t="n">
        <v>46160</v>
      </c>
      <c r="D482" t="inlineStr">
        <is>
          <t>NORRBOTTENS LÄN</t>
        </is>
      </c>
      <c r="E482" t="inlineStr">
        <is>
          <t>ARVIDSJAUR</t>
        </is>
      </c>
      <c r="G482" t="n">
        <v>15</v>
      </c>
      <c r="H482" t="n">
        <v>0</v>
      </c>
      <c r="I482" t="n">
        <v>0</v>
      </c>
      <c r="J482" t="n">
        <v>0</v>
      </c>
      <c r="K482" t="n">
        <v>0</v>
      </c>
      <c r="L482" t="n">
        <v>0</v>
      </c>
      <c r="M482" t="n">
        <v>0</v>
      </c>
      <c r="N482" t="n">
        <v>0</v>
      </c>
      <c r="O482" t="n">
        <v>0</v>
      </c>
      <c r="P482" t="n">
        <v>0</v>
      </c>
      <c r="Q482" t="n">
        <v>0</v>
      </c>
      <c r="R482" s="2" t="inlineStr"/>
    </row>
    <row r="483" ht="15" customHeight="1">
      <c r="A483" t="inlineStr">
        <is>
          <t>A 54311-2023</t>
        </is>
      </c>
      <c r="B483" s="1" t="n">
        <v>45225</v>
      </c>
      <c r="C483" s="1" t="n">
        <v>46160</v>
      </c>
      <c r="D483" t="inlineStr">
        <is>
          <t>NORRBOTTENS LÄN</t>
        </is>
      </c>
      <c r="E483" t="inlineStr">
        <is>
          <t>ARVIDSJAUR</t>
        </is>
      </c>
      <c r="G483" t="n">
        <v>1.4</v>
      </c>
      <c r="H483" t="n">
        <v>0</v>
      </c>
      <c r="I483" t="n">
        <v>0</v>
      </c>
      <c r="J483" t="n">
        <v>0</v>
      </c>
      <c r="K483" t="n">
        <v>0</v>
      </c>
      <c r="L483" t="n">
        <v>0</v>
      </c>
      <c r="M483" t="n">
        <v>0</v>
      </c>
      <c r="N483" t="n">
        <v>0</v>
      </c>
      <c r="O483" t="n">
        <v>0</v>
      </c>
      <c r="P483" t="n">
        <v>0</v>
      </c>
      <c r="Q483" t="n">
        <v>0</v>
      </c>
      <c r="R483" s="2" t="inlineStr"/>
    </row>
    <row r="484" ht="15" customHeight="1">
      <c r="A484" t="inlineStr">
        <is>
          <t>A 40756-2022</t>
        </is>
      </c>
      <c r="B484" s="1" t="n">
        <v>44824</v>
      </c>
      <c r="C484" s="1" t="n">
        <v>46160</v>
      </c>
      <c r="D484" t="inlineStr">
        <is>
          <t>NORRBOTTENS LÄN</t>
        </is>
      </c>
      <c r="E484" t="inlineStr">
        <is>
          <t>ARVIDSJAUR</t>
        </is>
      </c>
      <c r="F484" t="inlineStr">
        <is>
          <t>Sveaskog</t>
        </is>
      </c>
      <c r="G484" t="n">
        <v>4.2</v>
      </c>
      <c r="H484" t="n">
        <v>0</v>
      </c>
      <c r="I484" t="n">
        <v>0</v>
      </c>
      <c r="J484" t="n">
        <v>0</v>
      </c>
      <c r="K484" t="n">
        <v>0</v>
      </c>
      <c r="L484" t="n">
        <v>0</v>
      </c>
      <c r="M484" t="n">
        <v>0</v>
      </c>
      <c r="N484" t="n">
        <v>0</v>
      </c>
      <c r="O484" t="n">
        <v>0</v>
      </c>
      <c r="P484" t="n">
        <v>0</v>
      </c>
      <c r="Q484" t="n">
        <v>0</v>
      </c>
      <c r="R484" s="2" t="inlineStr"/>
    </row>
    <row r="485" ht="15" customHeight="1">
      <c r="A485" t="inlineStr">
        <is>
          <t>A 41872-2021</t>
        </is>
      </c>
      <c r="B485" s="1" t="n">
        <v>44426</v>
      </c>
      <c r="C485" s="1" t="n">
        <v>46160</v>
      </c>
      <c r="D485" t="inlineStr">
        <is>
          <t>NORRBOTTENS LÄN</t>
        </is>
      </c>
      <c r="E485" t="inlineStr">
        <is>
          <t>ARVIDSJAUR</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48009-2024</t>
        </is>
      </c>
      <c r="B486" s="1" t="n">
        <v>45589</v>
      </c>
      <c r="C486" s="1" t="n">
        <v>46160</v>
      </c>
      <c r="D486" t="inlineStr">
        <is>
          <t>NORRBOTTENS LÄN</t>
        </is>
      </c>
      <c r="E486" t="inlineStr">
        <is>
          <t>ARVIDSJAUR</t>
        </is>
      </c>
      <c r="G486" t="n">
        <v>6.4</v>
      </c>
      <c r="H486" t="n">
        <v>0</v>
      </c>
      <c r="I486" t="n">
        <v>0</v>
      </c>
      <c r="J486" t="n">
        <v>0</v>
      </c>
      <c r="K486" t="n">
        <v>0</v>
      </c>
      <c r="L486" t="n">
        <v>0</v>
      </c>
      <c r="M486" t="n">
        <v>0</v>
      </c>
      <c r="N486" t="n">
        <v>0</v>
      </c>
      <c r="O486" t="n">
        <v>0</v>
      </c>
      <c r="P486" t="n">
        <v>0</v>
      </c>
      <c r="Q486" t="n">
        <v>0</v>
      </c>
      <c r="R486" s="2" t="inlineStr"/>
    </row>
    <row r="487" ht="15" customHeight="1">
      <c r="A487" t="inlineStr">
        <is>
          <t>A 12794-2023</t>
        </is>
      </c>
      <c r="B487" s="1" t="n">
        <v>45001</v>
      </c>
      <c r="C487" s="1" t="n">
        <v>46160</v>
      </c>
      <c r="D487" t="inlineStr">
        <is>
          <t>NORRBOTTENS LÄN</t>
        </is>
      </c>
      <c r="E487" t="inlineStr">
        <is>
          <t>ARVIDSJAUR</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28803-2024</t>
        </is>
      </c>
      <c r="B488" s="1" t="n">
        <v>45478</v>
      </c>
      <c r="C488" s="1" t="n">
        <v>46160</v>
      </c>
      <c r="D488" t="inlineStr">
        <is>
          <t>NORRBOTTENS LÄN</t>
        </is>
      </c>
      <c r="E488" t="inlineStr">
        <is>
          <t>ARVIDSJAUR</t>
        </is>
      </c>
      <c r="F488" t="inlineStr">
        <is>
          <t>Övriga Aktiebolag</t>
        </is>
      </c>
      <c r="G488" t="n">
        <v>16.5</v>
      </c>
      <c r="H488" t="n">
        <v>0</v>
      </c>
      <c r="I488" t="n">
        <v>0</v>
      </c>
      <c r="J488" t="n">
        <v>0</v>
      </c>
      <c r="K488" t="n">
        <v>0</v>
      </c>
      <c r="L488" t="n">
        <v>0</v>
      </c>
      <c r="M488" t="n">
        <v>0</v>
      </c>
      <c r="N488" t="n">
        <v>0</v>
      </c>
      <c r="O488" t="n">
        <v>0</v>
      </c>
      <c r="P488" t="n">
        <v>0</v>
      </c>
      <c r="Q488" t="n">
        <v>0</v>
      </c>
      <c r="R488" s="2" t="inlineStr"/>
    </row>
    <row r="489" ht="15" customHeight="1">
      <c r="A489" t="inlineStr">
        <is>
          <t>A 48464-2024</t>
        </is>
      </c>
      <c r="B489" s="1" t="n">
        <v>45590</v>
      </c>
      <c r="C489" s="1" t="n">
        <v>46160</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50472-2022</t>
        </is>
      </c>
      <c r="B490" s="1" t="n">
        <v>44861</v>
      </c>
      <c r="C490" s="1" t="n">
        <v>46160</v>
      </c>
      <c r="D490" t="inlineStr">
        <is>
          <t>NORRBOTTENS LÄN</t>
        </is>
      </c>
      <c r="E490" t="inlineStr">
        <is>
          <t>ARVIDSJAUR</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46160</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48616-2024</t>
        </is>
      </c>
      <c r="B492" s="1" t="n">
        <v>45593.45395833333</v>
      </c>
      <c r="C492" s="1" t="n">
        <v>46160</v>
      </c>
      <c r="D492" t="inlineStr">
        <is>
          <t>NORRBOTTENS LÄN</t>
        </is>
      </c>
      <c r="E492" t="inlineStr">
        <is>
          <t>ARVIDSJAUR</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26673-2023</t>
        </is>
      </c>
      <c r="B493" s="1" t="n">
        <v>45093</v>
      </c>
      <c r="C493" s="1" t="n">
        <v>46160</v>
      </c>
      <c r="D493" t="inlineStr">
        <is>
          <t>NORRBOTTENS LÄN</t>
        </is>
      </c>
      <c r="E493" t="inlineStr">
        <is>
          <t>ARVIDSJAUR</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46160</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26687-2024</t>
        </is>
      </c>
      <c r="B495" s="1" t="n">
        <v>45470.35686342593</v>
      </c>
      <c r="C495" s="1" t="n">
        <v>46160</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20811-2024</t>
        </is>
      </c>
      <c r="B496" s="1" t="n">
        <v>45439</v>
      </c>
      <c r="C496" s="1" t="n">
        <v>46160</v>
      </c>
      <c r="D496" t="inlineStr">
        <is>
          <t>NORRBOTTENS LÄN</t>
        </is>
      </c>
      <c r="E496" t="inlineStr">
        <is>
          <t>ARVIDSJAUR</t>
        </is>
      </c>
      <c r="G496" t="n">
        <v>1.6</v>
      </c>
      <c r="H496" t="n">
        <v>0</v>
      </c>
      <c r="I496" t="n">
        <v>0</v>
      </c>
      <c r="J496" t="n">
        <v>0</v>
      </c>
      <c r="K496" t="n">
        <v>0</v>
      </c>
      <c r="L496" t="n">
        <v>0</v>
      </c>
      <c r="M496" t="n">
        <v>0</v>
      </c>
      <c r="N496" t="n">
        <v>0</v>
      </c>
      <c r="O496" t="n">
        <v>0</v>
      </c>
      <c r="P496" t="n">
        <v>0</v>
      </c>
      <c r="Q496" t="n">
        <v>0</v>
      </c>
      <c r="R496" s="2" t="inlineStr"/>
    </row>
    <row r="497" ht="15" customHeight="1">
      <c r="A497" t="inlineStr">
        <is>
          <t>A 26819-2024</t>
        </is>
      </c>
      <c r="B497" s="1" t="n">
        <v>45470.55719907407</v>
      </c>
      <c r="C497" s="1" t="n">
        <v>46160</v>
      </c>
      <c r="D497" t="inlineStr">
        <is>
          <t>NORRBOTTENS LÄN</t>
        </is>
      </c>
      <c r="E497" t="inlineStr">
        <is>
          <t>ARVIDSJAUR</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36443-2023</t>
        </is>
      </c>
      <c r="B498" s="1" t="n">
        <v>45152</v>
      </c>
      <c r="C498" s="1" t="n">
        <v>46160</v>
      </c>
      <c r="D498" t="inlineStr">
        <is>
          <t>NORRBOTTENS LÄN</t>
        </is>
      </c>
      <c r="E498" t="inlineStr">
        <is>
          <t>ARVIDSJAUR</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30749-2023</t>
        </is>
      </c>
      <c r="B499" s="1" t="n">
        <v>45103</v>
      </c>
      <c r="C499" s="1" t="n">
        <v>46160</v>
      </c>
      <c r="D499" t="inlineStr">
        <is>
          <t>NORRBOTTENS LÄN</t>
        </is>
      </c>
      <c r="E499" t="inlineStr">
        <is>
          <t>ARVIDSJAUR</t>
        </is>
      </c>
      <c r="G499" t="n">
        <v>5</v>
      </c>
      <c r="H499" t="n">
        <v>0</v>
      </c>
      <c r="I499" t="n">
        <v>0</v>
      </c>
      <c r="J499" t="n">
        <v>0</v>
      </c>
      <c r="K499" t="n">
        <v>0</v>
      </c>
      <c r="L499" t="n">
        <v>0</v>
      </c>
      <c r="M499" t="n">
        <v>0</v>
      </c>
      <c r="N499" t="n">
        <v>0</v>
      </c>
      <c r="O499" t="n">
        <v>0</v>
      </c>
      <c r="P499" t="n">
        <v>0</v>
      </c>
      <c r="Q499" t="n">
        <v>0</v>
      </c>
      <c r="R499" s="2" t="inlineStr"/>
    </row>
    <row r="500" ht="15" customHeight="1">
      <c r="A500" t="inlineStr">
        <is>
          <t>A 31666-2023</t>
        </is>
      </c>
      <c r="B500" s="1" t="n">
        <v>45105</v>
      </c>
      <c r="C500" s="1" t="n">
        <v>46160</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10664-2023</t>
        </is>
      </c>
      <c r="B501" s="1" t="n">
        <v>44988</v>
      </c>
      <c r="C501" s="1" t="n">
        <v>46160</v>
      </c>
      <c r="D501" t="inlineStr">
        <is>
          <t>NORRBOTTENS LÄN</t>
        </is>
      </c>
      <c r="E501" t="inlineStr">
        <is>
          <t>ARVIDSJAUR</t>
        </is>
      </c>
      <c r="F501" t="inlineStr">
        <is>
          <t>Sveaskog</t>
        </is>
      </c>
      <c r="G501" t="n">
        <v>4.7</v>
      </c>
      <c r="H501" t="n">
        <v>0</v>
      </c>
      <c r="I501" t="n">
        <v>0</v>
      </c>
      <c r="J501" t="n">
        <v>0</v>
      </c>
      <c r="K501" t="n">
        <v>0</v>
      </c>
      <c r="L501" t="n">
        <v>0</v>
      </c>
      <c r="M501" t="n">
        <v>0</v>
      </c>
      <c r="N501" t="n">
        <v>0</v>
      </c>
      <c r="O501" t="n">
        <v>0</v>
      </c>
      <c r="P501" t="n">
        <v>0</v>
      </c>
      <c r="Q501" t="n">
        <v>0</v>
      </c>
      <c r="R501" s="2" t="inlineStr"/>
    </row>
    <row r="502" ht="15" customHeight="1">
      <c r="A502" t="inlineStr">
        <is>
          <t>A 23736-2024</t>
        </is>
      </c>
      <c r="B502" s="1" t="n">
        <v>45454</v>
      </c>
      <c r="C502" s="1" t="n">
        <v>46160</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48608-2024</t>
        </is>
      </c>
      <c r="B503" s="1" t="n">
        <v>45593.45075231481</v>
      </c>
      <c r="C503" s="1" t="n">
        <v>46160</v>
      </c>
      <c r="D503" t="inlineStr">
        <is>
          <t>NORRBOTTENS LÄN</t>
        </is>
      </c>
      <c r="E503" t="inlineStr">
        <is>
          <t>ARVIDSJAUR</t>
        </is>
      </c>
      <c r="F503" t="inlineStr">
        <is>
          <t>Sveaskog</t>
        </is>
      </c>
      <c r="G503" t="n">
        <v>16.6</v>
      </c>
      <c r="H503" t="n">
        <v>0</v>
      </c>
      <c r="I503" t="n">
        <v>0</v>
      </c>
      <c r="J503" t="n">
        <v>0</v>
      </c>
      <c r="K503" t="n">
        <v>0</v>
      </c>
      <c r="L503" t="n">
        <v>0</v>
      </c>
      <c r="M503" t="n">
        <v>0</v>
      </c>
      <c r="N503" t="n">
        <v>0</v>
      </c>
      <c r="O503" t="n">
        <v>0</v>
      </c>
      <c r="P503" t="n">
        <v>0</v>
      </c>
      <c r="Q503" t="n">
        <v>0</v>
      </c>
      <c r="R503" s="2" t="inlineStr"/>
    </row>
    <row r="504" ht="15" customHeight="1">
      <c r="A504" t="inlineStr">
        <is>
          <t>A 48291-2023</t>
        </is>
      </c>
      <c r="B504" s="1" t="n">
        <v>45201</v>
      </c>
      <c r="C504" s="1" t="n">
        <v>46160</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1355-2024</t>
        </is>
      </c>
      <c r="B505" s="1" t="n">
        <v>45303</v>
      </c>
      <c r="C505" s="1" t="n">
        <v>46160</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11998-2025</t>
        </is>
      </c>
      <c r="B506" s="1" t="n">
        <v>45728</v>
      </c>
      <c r="C506" s="1" t="n">
        <v>46160</v>
      </c>
      <c r="D506" t="inlineStr">
        <is>
          <t>NORRBOTTENS LÄN</t>
        </is>
      </c>
      <c r="E506" t="inlineStr">
        <is>
          <t>ARVIDSJAUR</t>
        </is>
      </c>
      <c r="F506" t="inlineStr">
        <is>
          <t>Allmännings- och besparingsskogar</t>
        </is>
      </c>
      <c r="G506" t="n">
        <v>1.6</v>
      </c>
      <c r="H506" t="n">
        <v>0</v>
      </c>
      <c r="I506" t="n">
        <v>0</v>
      </c>
      <c r="J506" t="n">
        <v>0</v>
      </c>
      <c r="K506" t="n">
        <v>0</v>
      </c>
      <c r="L506" t="n">
        <v>0</v>
      </c>
      <c r="M506" t="n">
        <v>0</v>
      </c>
      <c r="N506" t="n">
        <v>0</v>
      </c>
      <c r="O506" t="n">
        <v>0</v>
      </c>
      <c r="P506" t="n">
        <v>0</v>
      </c>
      <c r="Q506" t="n">
        <v>0</v>
      </c>
      <c r="R506" s="2" t="inlineStr"/>
    </row>
    <row r="507" ht="15" customHeight="1">
      <c r="A507" t="inlineStr">
        <is>
          <t>A 50889-2024</t>
        </is>
      </c>
      <c r="B507" s="1" t="n">
        <v>45602.6681712963</v>
      </c>
      <c r="C507" s="1" t="n">
        <v>46160</v>
      </c>
      <c r="D507" t="inlineStr">
        <is>
          <t>NORRBOTTENS LÄN</t>
        </is>
      </c>
      <c r="E507" t="inlineStr">
        <is>
          <t>ARVIDSJAUR</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27778-2023</t>
        </is>
      </c>
      <c r="B508" s="1" t="n">
        <v>45098</v>
      </c>
      <c r="C508" s="1" t="n">
        <v>46160</v>
      </c>
      <c r="D508" t="inlineStr">
        <is>
          <t>NORRBOTTENS LÄN</t>
        </is>
      </c>
      <c r="E508" t="inlineStr">
        <is>
          <t>ARVIDSJAUR</t>
        </is>
      </c>
      <c r="F508" t="inlineStr">
        <is>
          <t>Sveaskog</t>
        </is>
      </c>
      <c r="G508" t="n">
        <v>15.2</v>
      </c>
      <c r="H508" t="n">
        <v>0</v>
      </c>
      <c r="I508" t="n">
        <v>0</v>
      </c>
      <c r="J508" t="n">
        <v>0</v>
      </c>
      <c r="K508" t="n">
        <v>0</v>
      </c>
      <c r="L508" t="n">
        <v>0</v>
      </c>
      <c r="M508" t="n">
        <v>0</v>
      </c>
      <c r="N508" t="n">
        <v>0</v>
      </c>
      <c r="O508" t="n">
        <v>0</v>
      </c>
      <c r="P508" t="n">
        <v>0</v>
      </c>
      <c r="Q508" t="n">
        <v>0</v>
      </c>
      <c r="R508" s="2" t="inlineStr"/>
    </row>
    <row r="509" ht="15" customHeight="1">
      <c r="A509" t="inlineStr">
        <is>
          <t>A 56980-2024</t>
        </is>
      </c>
      <c r="B509" s="1" t="n">
        <v>45628</v>
      </c>
      <c r="C509" s="1" t="n">
        <v>46160</v>
      </c>
      <c r="D509" t="inlineStr">
        <is>
          <t>NORRBOTTENS LÄN</t>
        </is>
      </c>
      <c r="E509" t="inlineStr">
        <is>
          <t>ARVIDSJAUR</t>
        </is>
      </c>
      <c r="F509" t="inlineStr">
        <is>
          <t>Övriga Aktiebolag</t>
        </is>
      </c>
      <c r="G509" t="n">
        <v>5.1</v>
      </c>
      <c r="H509" t="n">
        <v>0</v>
      </c>
      <c r="I509" t="n">
        <v>0</v>
      </c>
      <c r="J509" t="n">
        <v>0</v>
      </c>
      <c r="K509" t="n">
        <v>0</v>
      </c>
      <c r="L509" t="n">
        <v>0</v>
      </c>
      <c r="M509" t="n">
        <v>0</v>
      </c>
      <c r="N509" t="n">
        <v>0</v>
      </c>
      <c r="O509" t="n">
        <v>0</v>
      </c>
      <c r="P509" t="n">
        <v>0</v>
      </c>
      <c r="Q509" t="n">
        <v>0</v>
      </c>
      <c r="R509" s="2" t="inlineStr"/>
    </row>
    <row r="510" ht="15" customHeight="1">
      <c r="A510" t="inlineStr">
        <is>
          <t>A 9621-2024</t>
        </is>
      </c>
      <c r="B510" s="1" t="n">
        <v>45361</v>
      </c>
      <c r="C510" s="1" t="n">
        <v>46160</v>
      </c>
      <c r="D510" t="inlineStr">
        <is>
          <t>NORRBOTTENS LÄN</t>
        </is>
      </c>
      <c r="E510" t="inlineStr">
        <is>
          <t>ARVIDSJAUR</t>
        </is>
      </c>
      <c r="G510" t="n">
        <v>0.4</v>
      </c>
      <c r="H510" t="n">
        <v>0</v>
      </c>
      <c r="I510" t="n">
        <v>0</v>
      </c>
      <c r="J510" t="n">
        <v>0</v>
      </c>
      <c r="K510" t="n">
        <v>0</v>
      </c>
      <c r="L510" t="n">
        <v>0</v>
      </c>
      <c r="M510" t="n">
        <v>0</v>
      </c>
      <c r="N510" t="n">
        <v>0</v>
      </c>
      <c r="O510" t="n">
        <v>0</v>
      </c>
      <c r="P510" t="n">
        <v>0</v>
      </c>
      <c r="Q510" t="n">
        <v>0</v>
      </c>
      <c r="R510" s="2" t="inlineStr"/>
    </row>
    <row r="511" ht="15" customHeight="1">
      <c r="A511" t="inlineStr">
        <is>
          <t>A 41235-2022</t>
        </is>
      </c>
      <c r="B511" s="1" t="n">
        <v>44825</v>
      </c>
      <c r="C511" s="1" t="n">
        <v>46160</v>
      </c>
      <c r="D511" t="inlineStr">
        <is>
          <t>NORRBOTTENS LÄN</t>
        </is>
      </c>
      <c r="E511" t="inlineStr">
        <is>
          <t>ARVIDSJAUR</t>
        </is>
      </c>
      <c r="G511" t="n">
        <v>0.8</v>
      </c>
      <c r="H511" t="n">
        <v>0</v>
      </c>
      <c r="I511" t="n">
        <v>0</v>
      </c>
      <c r="J511" t="n">
        <v>0</v>
      </c>
      <c r="K511" t="n">
        <v>0</v>
      </c>
      <c r="L511" t="n">
        <v>0</v>
      </c>
      <c r="M511" t="n">
        <v>0</v>
      </c>
      <c r="N511" t="n">
        <v>0</v>
      </c>
      <c r="O511" t="n">
        <v>0</v>
      </c>
      <c r="P511" t="n">
        <v>0</v>
      </c>
      <c r="Q511" t="n">
        <v>0</v>
      </c>
      <c r="R511" s="2" t="inlineStr"/>
    </row>
    <row r="512" ht="15" customHeight="1">
      <c r="A512" t="inlineStr">
        <is>
          <t>A 3207-2024</t>
        </is>
      </c>
      <c r="B512" s="1" t="n">
        <v>45316</v>
      </c>
      <c r="C512" s="1" t="n">
        <v>46160</v>
      </c>
      <c r="D512" t="inlineStr">
        <is>
          <t>NORRBOTTENS LÄN</t>
        </is>
      </c>
      <c r="E512" t="inlineStr">
        <is>
          <t>ARVIDSJAUR</t>
        </is>
      </c>
      <c r="F512" t="inlineStr">
        <is>
          <t>Allmännings- och besparingsskogar</t>
        </is>
      </c>
      <c r="G512" t="n">
        <v>6.6</v>
      </c>
      <c r="H512" t="n">
        <v>0</v>
      </c>
      <c r="I512" t="n">
        <v>0</v>
      </c>
      <c r="J512" t="n">
        <v>0</v>
      </c>
      <c r="K512" t="n">
        <v>0</v>
      </c>
      <c r="L512" t="n">
        <v>0</v>
      </c>
      <c r="M512" t="n">
        <v>0</v>
      </c>
      <c r="N512" t="n">
        <v>0</v>
      </c>
      <c r="O512" t="n">
        <v>0</v>
      </c>
      <c r="P512" t="n">
        <v>0</v>
      </c>
      <c r="Q512" t="n">
        <v>0</v>
      </c>
      <c r="R512" s="2" t="inlineStr"/>
    </row>
    <row r="513" ht="15" customHeight="1">
      <c r="A513" t="inlineStr">
        <is>
          <t>A 20393-2025</t>
        </is>
      </c>
      <c r="B513" s="1" t="n">
        <v>45775.44886574074</v>
      </c>
      <c r="C513" s="1" t="n">
        <v>46160</v>
      </c>
      <c r="D513" t="inlineStr">
        <is>
          <t>NORRBOTTENS LÄN</t>
        </is>
      </c>
      <c r="E513" t="inlineStr">
        <is>
          <t>ARVIDSJAUR</t>
        </is>
      </c>
      <c r="G513" t="n">
        <v>7.6</v>
      </c>
      <c r="H513" t="n">
        <v>0</v>
      </c>
      <c r="I513" t="n">
        <v>0</v>
      </c>
      <c r="J513" t="n">
        <v>0</v>
      </c>
      <c r="K513" t="n">
        <v>0</v>
      </c>
      <c r="L513" t="n">
        <v>0</v>
      </c>
      <c r="M513" t="n">
        <v>0</v>
      </c>
      <c r="N513" t="n">
        <v>0</v>
      </c>
      <c r="O513" t="n">
        <v>0</v>
      </c>
      <c r="P513" t="n">
        <v>0</v>
      </c>
      <c r="Q513" t="n">
        <v>0</v>
      </c>
      <c r="R513" s="2" t="inlineStr"/>
    </row>
    <row r="514" ht="15" customHeight="1">
      <c r="A514" t="inlineStr">
        <is>
          <t>A 12023-2025</t>
        </is>
      </c>
      <c r="B514" s="1" t="n">
        <v>45728</v>
      </c>
      <c r="C514" s="1" t="n">
        <v>46160</v>
      </c>
      <c r="D514" t="inlineStr">
        <is>
          <t>NORRBOTTENS LÄN</t>
        </is>
      </c>
      <c r="E514" t="inlineStr">
        <is>
          <t>ARVIDSJAUR</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36764-2024</t>
        </is>
      </c>
      <c r="B515" s="1" t="n">
        <v>45538</v>
      </c>
      <c r="C515" s="1" t="n">
        <v>46160</v>
      </c>
      <c r="D515" t="inlineStr">
        <is>
          <t>NORRBOTTENS LÄN</t>
        </is>
      </c>
      <c r="E515" t="inlineStr">
        <is>
          <t>ARVIDSJAUR</t>
        </is>
      </c>
      <c r="G515" t="n">
        <v>2.9</v>
      </c>
      <c r="H515" t="n">
        <v>0</v>
      </c>
      <c r="I515" t="n">
        <v>0</v>
      </c>
      <c r="J515" t="n">
        <v>0</v>
      </c>
      <c r="K515" t="n">
        <v>0</v>
      </c>
      <c r="L515" t="n">
        <v>0</v>
      </c>
      <c r="M515" t="n">
        <v>0</v>
      </c>
      <c r="N515" t="n">
        <v>0</v>
      </c>
      <c r="O515" t="n">
        <v>0</v>
      </c>
      <c r="P515" t="n">
        <v>0</v>
      </c>
      <c r="Q515" t="n">
        <v>0</v>
      </c>
      <c r="R515" s="2" t="inlineStr"/>
    </row>
    <row r="516" ht="15" customHeight="1">
      <c r="A516" t="inlineStr">
        <is>
          <t>A 42695-2023</t>
        </is>
      </c>
      <c r="B516" s="1" t="n">
        <v>45176</v>
      </c>
      <c r="C516" s="1" t="n">
        <v>46160</v>
      </c>
      <c r="D516" t="inlineStr">
        <is>
          <t>NORRBOTTENS LÄN</t>
        </is>
      </c>
      <c r="E516" t="inlineStr">
        <is>
          <t>ARVIDSJAUR</t>
        </is>
      </c>
      <c r="G516" t="n">
        <v>2.7</v>
      </c>
      <c r="H516" t="n">
        <v>0</v>
      </c>
      <c r="I516" t="n">
        <v>0</v>
      </c>
      <c r="J516" t="n">
        <v>0</v>
      </c>
      <c r="K516" t="n">
        <v>0</v>
      </c>
      <c r="L516" t="n">
        <v>0</v>
      </c>
      <c r="M516" t="n">
        <v>0</v>
      </c>
      <c r="N516" t="n">
        <v>0</v>
      </c>
      <c r="O516" t="n">
        <v>0</v>
      </c>
      <c r="P516" t="n">
        <v>0</v>
      </c>
      <c r="Q516" t="n">
        <v>0</v>
      </c>
      <c r="R516" s="2" t="inlineStr"/>
    </row>
    <row r="517" ht="15" customHeight="1">
      <c r="A517" t="inlineStr">
        <is>
          <t>A 26835-2024</t>
        </is>
      </c>
      <c r="B517" s="1" t="n">
        <v>45470.57364583333</v>
      </c>
      <c r="C517" s="1" t="n">
        <v>46160</v>
      </c>
      <c r="D517" t="inlineStr">
        <is>
          <t>NORRBOTTENS LÄN</t>
        </is>
      </c>
      <c r="E517" t="inlineStr">
        <is>
          <t>ARVIDSJAUR</t>
        </is>
      </c>
      <c r="G517" t="n">
        <v>1.5</v>
      </c>
      <c r="H517" t="n">
        <v>0</v>
      </c>
      <c r="I517" t="n">
        <v>0</v>
      </c>
      <c r="J517" t="n">
        <v>0</v>
      </c>
      <c r="K517" t="n">
        <v>0</v>
      </c>
      <c r="L517" t="n">
        <v>0</v>
      </c>
      <c r="M517" t="n">
        <v>0</v>
      </c>
      <c r="N517" t="n">
        <v>0</v>
      </c>
      <c r="O517" t="n">
        <v>0</v>
      </c>
      <c r="P517" t="n">
        <v>0</v>
      </c>
      <c r="Q517" t="n">
        <v>0</v>
      </c>
      <c r="R517" s="2" t="inlineStr"/>
    </row>
    <row r="518" ht="15" customHeight="1">
      <c r="A518" t="inlineStr">
        <is>
          <t>A 2908-2024</t>
        </is>
      </c>
      <c r="B518" s="1" t="n">
        <v>45315</v>
      </c>
      <c r="C518" s="1" t="n">
        <v>46160</v>
      </c>
      <c r="D518" t="inlineStr">
        <is>
          <t>NORRBOTTENS LÄN</t>
        </is>
      </c>
      <c r="E518" t="inlineStr">
        <is>
          <t>ARVIDSJAUR</t>
        </is>
      </c>
      <c r="F518" t="inlineStr">
        <is>
          <t>Allmännings- och besparingsskogar</t>
        </is>
      </c>
      <c r="G518" t="n">
        <v>6.1</v>
      </c>
      <c r="H518" t="n">
        <v>0</v>
      </c>
      <c r="I518" t="n">
        <v>0</v>
      </c>
      <c r="J518" t="n">
        <v>0</v>
      </c>
      <c r="K518" t="n">
        <v>0</v>
      </c>
      <c r="L518" t="n">
        <v>0</v>
      </c>
      <c r="M518" t="n">
        <v>0</v>
      </c>
      <c r="N518" t="n">
        <v>0</v>
      </c>
      <c r="O518" t="n">
        <v>0</v>
      </c>
      <c r="P518" t="n">
        <v>0</v>
      </c>
      <c r="Q518" t="n">
        <v>0</v>
      </c>
      <c r="R518" s="2" t="inlineStr"/>
    </row>
    <row r="519" ht="15" customHeight="1">
      <c r="A519" t="inlineStr">
        <is>
          <t>A 26841-2024</t>
        </is>
      </c>
      <c r="B519" s="1" t="n">
        <v>45470.57751157408</v>
      </c>
      <c r="C519" s="1" t="n">
        <v>46160</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33134-2023</t>
        </is>
      </c>
      <c r="B520" s="1" t="n">
        <v>45114</v>
      </c>
      <c r="C520" s="1" t="n">
        <v>46160</v>
      </c>
      <c r="D520" t="inlineStr">
        <is>
          <t>NORRBOTTENS LÄN</t>
        </is>
      </c>
      <c r="E520" t="inlineStr">
        <is>
          <t>ARVIDSJAUR</t>
        </is>
      </c>
      <c r="G520" t="n">
        <v>16.3</v>
      </c>
      <c r="H520" t="n">
        <v>0</v>
      </c>
      <c r="I520" t="n">
        <v>0</v>
      </c>
      <c r="J520" t="n">
        <v>0</v>
      </c>
      <c r="K520" t="n">
        <v>0</v>
      </c>
      <c r="L520" t="n">
        <v>0</v>
      </c>
      <c r="M520" t="n">
        <v>0</v>
      </c>
      <c r="N520" t="n">
        <v>0</v>
      </c>
      <c r="O520" t="n">
        <v>0</v>
      </c>
      <c r="P520" t="n">
        <v>0</v>
      </c>
      <c r="Q520" t="n">
        <v>0</v>
      </c>
      <c r="R520" s="2" t="inlineStr"/>
    </row>
    <row r="521" ht="15" customHeight="1">
      <c r="A521" t="inlineStr">
        <is>
          <t>A 39845-2023</t>
        </is>
      </c>
      <c r="B521" s="1" t="n">
        <v>45166</v>
      </c>
      <c r="C521" s="1" t="n">
        <v>46160</v>
      </c>
      <c r="D521" t="inlineStr">
        <is>
          <t>NORRBOTTENS LÄN</t>
        </is>
      </c>
      <c r="E521" t="inlineStr">
        <is>
          <t>ARVIDSJAUR</t>
        </is>
      </c>
      <c r="G521" t="n">
        <v>1.1</v>
      </c>
      <c r="H521" t="n">
        <v>0</v>
      </c>
      <c r="I521" t="n">
        <v>0</v>
      </c>
      <c r="J521" t="n">
        <v>0</v>
      </c>
      <c r="K521" t="n">
        <v>0</v>
      </c>
      <c r="L521" t="n">
        <v>0</v>
      </c>
      <c r="M521" t="n">
        <v>0</v>
      </c>
      <c r="N521" t="n">
        <v>0</v>
      </c>
      <c r="O521" t="n">
        <v>0</v>
      </c>
      <c r="P521" t="n">
        <v>0</v>
      </c>
      <c r="Q521" t="n">
        <v>0</v>
      </c>
      <c r="R521" s="2" t="inlineStr"/>
    </row>
    <row r="522" ht="15" customHeight="1">
      <c r="A522" t="inlineStr">
        <is>
          <t>A 11535-2025</t>
        </is>
      </c>
      <c r="B522" s="1" t="n">
        <v>45726</v>
      </c>
      <c r="C522" s="1" t="n">
        <v>46160</v>
      </c>
      <c r="D522" t="inlineStr">
        <is>
          <t>NORRBOTTENS LÄN</t>
        </is>
      </c>
      <c r="E522" t="inlineStr">
        <is>
          <t>ARVIDSJAUR</t>
        </is>
      </c>
      <c r="F522" t="inlineStr">
        <is>
          <t>Allmännings- och besparingsskogar</t>
        </is>
      </c>
      <c r="G522" t="n">
        <v>10.3</v>
      </c>
      <c r="H522" t="n">
        <v>0</v>
      </c>
      <c r="I522" t="n">
        <v>0</v>
      </c>
      <c r="J522" t="n">
        <v>0</v>
      </c>
      <c r="K522" t="n">
        <v>0</v>
      </c>
      <c r="L522" t="n">
        <v>0</v>
      </c>
      <c r="M522" t="n">
        <v>0</v>
      </c>
      <c r="N522" t="n">
        <v>0</v>
      </c>
      <c r="O522" t="n">
        <v>0</v>
      </c>
      <c r="P522" t="n">
        <v>0</v>
      </c>
      <c r="Q522" t="n">
        <v>0</v>
      </c>
      <c r="R522" s="2" t="inlineStr"/>
    </row>
    <row r="523" ht="15" customHeight="1">
      <c r="A523" t="inlineStr">
        <is>
          <t>A 11539-2025</t>
        </is>
      </c>
      <c r="B523" s="1" t="n">
        <v>45726</v>
      </c>
      <c r="C523" s="1" t="n">
        <v>46160</v>
      </c>
      <c r="D523" t="inlineStr">
        <is>
          <t>NORRBOTTENS LÄN</t>
        </is>
      </c>
      <c r="E523" t="inlineStr">
        <is>
          <t>ARVIDSJAUR</t>
        </is>
      </c>
      <c r="F523" t="inlineStr">
        <is>
          <t>Allmännings- och besparingsskogar</t>
        </is>
      </c>
      <c r="G523" t="n">
        <v>14.3</v>
      </c>
      <c r="H523" t="n">
        <v>0</v>
      </c>
      <c r="I523" t="n">
        <v>0</v>
      </c>
      <c r="J523" t="n">
        <v>0</v>
      </c>
      <c r="K523" t="n">
        <v>0</v>
      </c>
      <c r="L523" t="n">
        <v>0</v>
      </c>
      <c r="M523" t="n">
        <v>0</v>
      </c>
      <c r="N523" t="n">
        <v>0</v>
      </c>
      <c r="O523" t="n">
        <v>0</v>
      </c>
      <c r="P523" t="n">
        <v>0</v>
      </c>
      <c r="Q523" t="n">
        <v>0</v>
      </c>
      <c r="R523" s="2" t="inlineStr"/>
    </row>
    <row r="524" ht="15" customHeight="1">
      <c r="A524" t="inlineStr">
        <is>
          <t>A 40937-2023</t>
        </is>
      </c>
      <c r="B524" s="1" t="n">
        <v>45173</v>
      </c>
      <c r="C524" s="1" t="n">
        <v>46160</v>
      </c>
      <c r="D524" t="inlineStr">
        <is>
          <t>NORRBOTTENS LÄN</t>
        </is>
      </c>
      <c r="E524" t="inlineStr">
        <is>
          <t>ARVIDSJAUR</t>
        </is>
      </c>
      <c r="F524" t="inlineStr">
        <is>
          <t>Övriga Aktiebolag</t>
        </is>
      </c>
      <c r="G524" t="n">
        <v>2.9</v>
      </c>
      <c r="H524" t="n">
        <v>0</v>
      </c>
      <c r="I524" t="n">
        <v>0</v>
      </c>
      <c r="J524" t="n">
        <v>0</v>
      </c>
      <c r="K524" t="n">
        <v>0</v>
      </c>
      <c r="L524" t="n">
        <v>0</v>
      </c>
      <c r="M524" t="n">
        <v>0</v>
      </c>
      <c r="N524" t="n">
        <v>0</v>
      </c>
      <c r="O524" t="n">
        <v>0</v>
      </c>
      <c r="P524" t="n">
        <v>0</v>
      </c>
      <c r="Q524" t="n">
        <v>0</v>
      </c>
      <c r="R524" s="2" t="inlineStr"/>
    </row>
    <row r="525">
      <c r="A525" t="inlineStr">
        <is>
          <t>A 11620-2025</t>
        </is>
      </c>
      <c r="B525" s="1" t="n">
        <v>45726</v>
      </c>
      <c r="C525" s="1" t="n">
        <v>46160</v>
      </c>
      <c r="D525" t="inlineStr">
        <is>
          <t>NORRBOTTENS LÄN</t>
        </is>
      </c>
      <c r="E525" t="inlineStr">
        <is>
          <t>ARVIDSJAUR</t>
        </is>
      </c>
      <c r="F525" t="inlineStr">
        <is>
          <t>Allmännings- och besparingsskogar</t>
        </is>
      </c>
      <c r="G525" t="n">
        <v>14.1</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2026-05-18T10:58:39Z</dcterms:created>
  <dcterms:modified xmlns:dcterms="http://purl.org/dc/terms/" xmlns:xsi="http://www.w3.org/2001/XMLSchema-instance" xsi:type="dcterms:W3CDTF">2026-05-18T10:58:40Z</dcterms:modified>
</cp:coreProperties>
</file>