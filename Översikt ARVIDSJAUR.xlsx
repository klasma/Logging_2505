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34531-2023</t>
        </is>
      </c>
      <c r="B2" t="inlineStr">
        <is>
          <t>avverkningsanmälan</t>
        </is>
      </c>
      <c r="C2" t="inlineStr">
        <is>
          <t>Föryngringsavverkning</t>
        </is>
      </c>
      <c r="D2" s="1" t="n">
        <v>45140</v>
      </c>
      <c r="E2" s="1" t="n">
        <v>46223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X2">
        <f>HYPERLINK("https://klasma.github.io/Logging_2505/kartor_geotiff/A 34531-2023 georefererad karta.tif", "A 34531-2023")</f>
        <v/>
      </c>
      <c r="Z2">
        <f>HYPERLINK("https://klasma.github.io/Logging_2505/klagomål/A 34531-2023 FSC-klagomål.docx", "A 34531-2023")</f>
        <v/>
      </c>
      <c r="AA2">
        <f>HYPERLINK("https://klasma.github.io/Logging_2505/klagomålsmail/A 34531-2023 FSC-klagomål mail.docx", "A 34531-2023")</f>
        <v/>
      </c>
      <c r="AB2">
        <f>HYPERLINK("https://klasma.github.io/Logging_2505/tillsyn/A 34531-2023 tillsynsbegäran.docx", "A 34531-2023")</f>
        <v/>
      </c>
      <c r="AC2">
        <f>HYPERLINK("https://klasma.github.io/Logging_2505/tillsynsmail/A 34531-2023 tillsynsbegäran mail.docx", "A 34531-2023")</f>
        <v/>
      </c>
      <c r="AD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X3">
        <f>HYPERLINK("https://klasma.github.io/Logging_2505/kartor_geotiff/A 36411-2023 georefererad karta.tif", "A 36411-2023")</f>
        <v/>
      </c>
      <c r="Z3">
        <f>HYPERLINK("https://klasma.github.io/Logging_2505/klagomål/A 36411-2023 FSC-klagomål.docx", "A 36411-2023")</f>
        <v/>
      </c>
      <c r="AA3">
        <f>HYPERLINK("https://klasma.github.io/Logging_2505/klagomålsmail/A 36411-2023 FSC-klagomål mail.docx", "A 36411-2023")</f>
        <v/>
      </c>
      <c r="AB3">
        <f>HYPERLINK("https://klasma.github.io/Logging_2505/tillsyn/A 36411-2023 tillsynsbegäran.docx", "A 36411-2023")</f>
        <v/>
      </c>
      <c r="AC3">
        <f>HYPERLINK("https://klasma.github.io/Logging_2505/tillsynsmail/A 36411-2023 tillsynsbegäran mail.docx", "A 36411-2023")</f>
        <v/>
      </c>
      <c r="AD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46223</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HYPERLINK("https://klasma.github.io/Logging_2505/kartor_geotiff/A 31153-2025 georefererad karta.tif", "A 31153-2025")</f>
        <v/>
      </c>
      <c r="Y4">
        <f>HYPERLINK("https://klasma.github.io/Logging_2505/knärot/A 31153-2025 karta knärot.png", "A 31153-2025")</f>
        <v/>
      </c>
      <c r="Z4">
        <f>HYPERLINK("https://klasma.github.io/Logging_2505/klagomål/A 31153-2025 FSC-klagomål.docx", "A 31153-2025")</f>
        <v/>
      </c>
      <c r="AA4">
        <f>HYPERLINK("https://klasma.github.io/Logging_2505/klagomålsmail/A 31153-2025 FSC-klagomål mail.docx", "A 31153-2025")</f>
        <v/>
      </c>
      <c r="AB4">
        <f>HYPERLINK("https://klasma.github.io/Logging_2505/tillsyn/A 31153-2025 tillsynsbegäran.docx", "A 31153-2025")</f>
        <v/>
      </c>
      <c r="AC4">
        <f>HYPERLINK("https://klasma.github.io/Logging_2505/tillsynsmail/A 31153-2025 tillsynsbegäran mail.docx", "A 31153-2025")</f>
        <v/>
      </c>
      <c r="AD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46223</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HYPERLINK("https://klasma.github.io/Logging_2505/kartor_geotiff/A 25045-2024 georefererad karta.tif", "A 25045-2024")</f>
        <v/>
      </c>
      <c r="Y5">
        <f>HYPERLINK("https://klasma.github.io/Logging_2505/knärot/A 25045-2024 karta knärot.png", "A 25045-2024")</f>
        <v/>
      </c>
      <c r="Z5">
        <f>HYPERLINK("https://klasma.github.io/Logging_2505/klagomål/A 25045-2024 FSC-klagomål.docx", "A 25045-2024")</f>
        <v/>
      </c>
      <c r="AA5">
        <f>HYPERLINK("https://klasma.github.io/Logging_2505/klagomålsmail/A 25045-2024 FSC-klagomål mail.docx", "A 25045-2024")</f>
        <v/>
      </c>
      <c r="AB5">
        <f>HYPERLINK("https://klasma.github.io/Logging_2505/tillsyn/A 25045-2024 tillsynsbegäran.docx", "A 25045-2024")</f>
        <v/>
      </c>
      <c r="AC5">
        <f>HYPERLINK("https://klasma.github.io/Logging_2505/tillsynsmail/A 25045-2024 tillsynsbegäran mail.docx", "A 25045-2024")</f>
        <v/>
      </c>
      <c r="AD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46223</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X6">
        <f>HYPERLINK("https://klasma.github.io/Logging_2505/kartor_geotiff/S 2412-2024 georefererad karta.tif", "S 2412-2024")</f>
        <v/>
      </c>
      <c r="Z6">
        <f>HYPERLINK("https://klasma.github.io/Logging_2505/klagomål/S 2412-2024 FSC-klagomål.docx", "S 2412-2024")</f>
        <v/>
      </c>
      <c r="AA6">
        <f>HYPERLINK("https://klasma.github.io/Logging_2505/klagomålsmail/S 2412-2024 FSC-klagomål mail.docx", "S 2412-2024")</f>
        <v/>
      </c>
      <c r="AB6">
        <f>HYPERLINK("https://klasma.github.io/Logging_2505/tillsyn/S 2412-2024 tillsynsbegäran.docx", "S 2412-2024")</f>
        <v/>
      </c>
      <c r="AC6">
        <f>HYPERLINK("https://klasma.github.io/Logging_2505/tillsynsmail/S 2412-2024 tillsynsbegäran mail.docx", "S 2412-2024")</f>
        <v/>
      </c>
      <c r="AD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46223</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X7">
        <f>HYPERLINK("https://klasma.github.io/Logging_2505/kartor_geotiff/A 68385-2021 georefererad karta.tif", "A 68385-2021")</f>
        <v/>
      </c>
      <c r="Z7">
        <f>HYPERLINK("https://klasma.github.io/Logging_2505/klagomål/A 68385-2021 FSC-klagomål.docx", "A 68385-2021")</f>
        <v/>
      </c>
      <c r="AA7">
        <f>HYPERLINK("https://klasma.github.io/Logging_2505/klagomålsmail/A 68385-2021 FSC-klagomål mail.docx", "A 68385-2021")</f>
        <v/>
      </c>
      <c r="AB7">
        <f>HYPERLINK("https://klasma.github.io/Logging_2505/tillsyn/A 68385-2021 tillsynsbegäran.docx", "A 68385-2021")</f>
        <v/>
      </c>
      <c r="AC7">
        <f>HYPERLINK("https://klasma.github.io/Logging_2505/tillsynsmail/A 68385-2021 tillsynsbegäran mail.docx", "A 68385-2021")</f>
        <v/>
      </c>
      <c r="AD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46223</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X8">
        <f>HYPERLINK("https://klasma.github.io/Logging_2505/kartor_geotiff/A 26260-2026 georefererad karta.tif", "A 26260-2026")</f>
        <v/>
      </c>
      <c r="Z8">
        <f>HYPERLINK("https://klasma.github.io/Logging_2505/klagomål/A 26260-2026 FSC-klagomål.docx", "A 26260-2026")</f>
        <v/>
      </c>
      <c r="AA8">
        <f>HYPERLINK("https://klasma.github.io/Logging_2505/klagomålsmail/A 26260-2026 FSC-klagomål mail.docx", "A 26260-2026")</f>
        <v/>
      </c>
      <c r="AB8">
        <f>HYPERLINK("https://klasma.github.io/Logging_2505/tillsyn/A 26260-2026 tillsynsbegäran.docx", "A 26260-2026")</f>
        <v/>
      </c>
      <c r="AC8">
        <f>HYPERLINK("https://klasma.github.io/Logging_2505/tillsynsmail/A 26260-2026 tillsynsbegäran mail.docx", "A 26260-2026")</f>
        <v/>
      </c>
      <c r="AD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46223</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X9">
        <f>HYPERLINK("https://klasma.github.io/Logging_2505/kartor_geotiff/A 50304-2022 georefererad karta.tif", "A 50304-2022")</f>
        <v/>
      </c>
      <c r="Z9">
        <f>HYPERLINK("https://klasma.github.io/Logging_2505/klagomål/A 50304-2022 FSC-klagomål.docx", "A 50304-2022")</f>
        <v/>
      </c>
      <c r="AA9">
        <f>HYPERLINK("https://klasma.github.io/Logging_2505/klagomålsmail/A 50304-2022 FSC-klagomål mail.docx", "A 50304-2022")</f>
        <v/>
      </c>
      <c r="AB9">
        <f>HYPERLINK("https://klasma.github.io/Logging_2505/tillsyn/A 50304-2022 tillsynsbegäran.docx", "A 50304-2022")</f>
        <v/>
      </c>
      <c r="AC9">
        <f>HYPERLINK("https://klasma.github.io/Logging_2505/tillsynsmail/A 50304-2022 tillsynsbegäran mail.docx", "A 50304-2022")</f>
        <v/>
      </c>
      <c r="AD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46223</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s="2" t="inlineStr">
        <is>
          <t>Blanksvart spiklav
Dropptaggsvamp
Dvärgbägarlav
Knottrig blåslav
Mörk kolflarnlav
Talltagel
Tretåig hackspett
Vedskivlav
Norrlandslav
Plattlummer
Spillkråka
Orre</t>
        </is>
      </c>
      <c r="V10">
        <f>HYPERLINK("https://klasma.github.io/Logging_2505/artfynd/A 58862-2024 artfynd.xlsx", "A 58862-2024")</f>
        <v/>
      </c>
      <c r="W10">
        <f>HYPERLINK("https://klasma.github.io/Logging_2505/kartor/A 58862-2024 karta.png", "A 58862-2024")</f>
        <v/>
      </c>
      <c r="X10">
        <f>HYPERLINK("https://klasma.github.io/Logging_2505/kartor_geotiff/A 58862-2024 georefererad karta.tif", "A 58862-2024")</f>
        <v/>
      </c>
      <c r="Z10">
        <f>HYPERLINK("https://klasma.github.io/Logging_2505/klagomål/A 58862-2024 FSC-klagomål.docx", "A 58862-2024")</f>
        <v/>
      </c>
      <c r="AA10">
        <f>HYPERLINK("https://klasma.github.io/Logging_2505/klagomålsmail/A 58862-2024 FSC-klagomål mail.docx", "A 58862-2024")</f>
        <v/>
      </c>
      <c r="AB10">
        <f>HYPERLINK("https://klasma.github.io/Logging_2505/tillsyn/A 58862-2024 tillsynsbegäran.docx", "A 58862-2024")</f>
        <v/>
      </c>
      <c r="AC10">
        <f>HYPERLINK("https://klasma.github.io/Logging_2505/tillsynsmail/A 58862-2024 tillsynsbegäran mail.docx", "A 58862-2024")</f>
        <v/>
      </c>
      <c r="AD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46223</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s="2" t="inlineStr">
        <is>
          <t>Garnlav
Gräddporing
Knärot
Ulltickeporing
Dropptaggsvamp
Tallticka
Talltita
Tretåig hackspett
Ullticka
Vedskivlav
Spillkråka
Tjäder</t>
        </is>
      </c>
      <c r="V11">
        <f>HYPERLINK("https://klasma.github.io/Logging_2505/artfynd/A 10242-2026 artfynd.xlsx", "A 10242-2026")</f>
        <v/>
      </c>
      <c r="W11">
        <f>HYPERLINK("https://klasma.github.io/Logging_2505/kartor/A 10242-2026 karta.png", "A 10242-2026")</f>
        <v/>
      </c>
      <c r="X11">
        <f>HYPERLINK("https://klasma.github.io/Logging_2505/kartor_geotiff/A 10242-2026 georefererad karta.tif", "A 10242-2026")</f>
        <v/>
      </c>
      <c r="Y11">
        <f>HYPERLINK("https://klasma.github.io/Logging_2505/knärot/A 10242-2026 karta knärot.png", "A 10242-2026")</f>
        <v/>
      </c>
      <c r="Z11">
        <f>HYPERLINK("https://klasma.github.io/Logging_2505/klagomål/A 10242-2026 FSC-klagomål.docx", "A 10242-2026")</f>
        <v/>
      </c>
      <c r="AA11">
        <f>HYPERLINK("https://klasma.github.io/Logging_2505/klagomålsmail/A 10242-2026 FSC-klagomål mail.docx", "A 10242-2026")</f>
        <v/>
      </c>
      <c r="AB11">
        <f>HYPERLINK("https://klasma.github.io/Logging_2505/tillsyn/A 10242-2026 tillsynsbegäran.docx", "A 10242-2026")</f>
        <v/>
      </c>
      <c r="AC11">
        <f>HYPERLINK("https://klasma.github.io/Logging_2505/tillsynsmail/A 10242-2026 tillsynsbegäran mail.docx", "A 10242-2026")</f>
        <v/>
      </c>
      <c r="AD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46223</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X12">
        <f>HYPERLINK("https://klasma.github.io/Logging_2505/kartor_geotiff/A 35247-2022 georefererad karta.tif", "A 35247-2022")</f>
        <v/>
      </c>
      <c r="Z12">
        <f>HYPERLINK("https://klasma.github.io/Logging_2505/klagomål/A 35247-2022 FSC-klagomål.docx", "A 35247-2022")</f>
        <v/>
      </c>
      <c r="AA12">
        <f>HYPERLINK("https://klasma.github.io/Logging_2505/klagomålsmail/A 35247-2022 FSC-klagomål mail.docx", "A 35247-2022")</f>
        <v/>
      </c>
      <c r="AB12">
        <f>HYPERLINK("https://klasma.github.io/Logging_2505/tillsyn/A 35247-2022 tillsynsbegäran.docx", "A 35247-2022")</f>
        <v/>
      </c>
      <c r="AC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46223</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X13">
        <f>HYPERLINK("https://klasma.github.io/Logging_2505/kartor_geotiff/A 56413-2025 georefererad karta.tif", "A 56413-2025")</f>
        <v/>
      </c>
      <c r="Z13">
        <f>HYPERLINK("https://klasma.github.io/Logging_2505/klagomål/A 56413-2025 FSC-klagomål.docx", "A 56413-2025")</f>
        <v/>
      </c>
      <c r="AA13">
        <f>HYPERLINK("https://klasma.github.io/Logging_2505/klagomålsmail/A 56413-2025 FSC-klagomål mail.docx", "A 56413-2025")</f>
        <v/>
      </c>
      <c r="AB13">
        <f>HYPERLINK("https://klasma.github.io/Logging_2505/tillsyn/A 56413-2025 tillsynsbegäran.docx", "A 56413-2025")</f>
        <v/>
      </c>
      <c r="AC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46223</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X14">
        <f>HYPERLINK("https://klasma.github.io/Logging_2505/kartor_geotiff/A 54098-2025 georefererad karta.tif", "A 54098-2025")</f>
        <v/>
      </c>
      <c r="Z14">
        <f>HYPERLINK("https://klasma.github.io/Logging_2505/klagomål/A 54098-2025 FSC-klagomål.docx", "A 54098-2025")</f>
        <v/>
      </c>
      <c r="AA14">
        <f>HYPERLINK("https://klasma.github.io/Logging_2505/klagomålsmail/A 54098-2025 FSC-klagomål mail.docx", "A 54098-2025")</f>
        <v/>
      </c>
      <c r="AB14">
        <f>HYPERLINK("https://klasma.github.io/Logging_2505/tillsyn/A 54098-2025 tillsynsbegäran.docx", "A 54098-2025")</f>
        <v/>
      </c>
      <c r="AC14">
        <f>HYPERLINK("https://klasma.github.io/Logging_2505/tillsynsmail/A 54098-2025 tillsynsbegäran mail.docx", "A 54098-2025")</f>
        <v/>
      </c>
      <c r="AD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46223</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X15">
        <f>HYPERLINK("https://klasma.github.io/Logging_2505/kartor_geotiff/A 48650-2021 georefererad karta.tif", "A 48650-2021")</f>
        <v/>
      </c>
      <c r="Z15">
        <f>HYPERLINK("https://klasma.github.io/Logging_2505/klagomål/A 48650-2021 FSC-klagomål.docx", "A 48650-2021")</f>
        <v/>
      </c>
      <c r="AA15">
        <f>HYPERLINK("https://klasma.github.io/Logging_2505/klagomålsmail/A 48650-2021 FSC-klagomål mail.docx", "A 48650-2021")</f>
        <v/>
      </c>
      <c r="AB15">
        <f>HYPERLINK("https://klasma.github.io/Logging_2505/tillsyn/A 48650-2021 tillsynsbegäran.docx", "A 48650-2021")</f>
        <v/>
      </c>
      <c r="AC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46223</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X16">
        <f>HYPERLINK("https://klasma.github.io/Logging_2505/kartor_geotiff/A 39293-2022 georefererad karta.tif", "A 39293-2022")</f>
        <v/>
      </c>
      <c r="Z16">
        <f>HYPERLINK("https://klasma.github.io/Logging_2505/klagomål/A 39293-2022 FSC-klagomål.docx", "A 39293-2022")</f>
        <v/>
      </c>
      <c r="AA16">
        <f>HYPERLINK("https://klasma.github.io/Logging_2505/klagomålsmail/A 39293-2022 FSC-klagomål mail.docx", "A 39293-2022")</f>
        <v/>
      </c>
      <c r="AB16">
        <f>HYPERLINK("https://klasma.github.io/Logging_2505/tillsyn/A 39293-2022 tillsynsbegäran.docx", "A 39293-2022")</f>
        <v/>
      </c>
      <c r="AC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46223</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X17">
        <f>HYPERLINK("https://klasma.github.io/Logging_2505/kartor_geotiff/A 56185-2025 georefererad karta.tif", "A 56185-2025")</f>
        <v/>
      </c>
      <c r="Z17">
        <f>HYPERLINK("https://klasma.github.io/Logging_2505/klagomål/A 56185-2025 FSC-klagomål.docx", "A 56185-2025")</f>
        <v/>
      </c>
      <c r="AA17">
        <f>HYPERLINK("https://klasma.github.io/Logging_2505/klagomålsmail/A 56185-2025 FSC-klagomål mail.docx", "A 56185-2025")</f>
        <v/>
      </c>
      <c r="AB17">
        <f>HYPERLINK("https://klasma.github.io/Logging_2505/tillsyn/A 56185-2025 tillsynsbegäran.docx", "A 56185-2025")</f>
        <v/>
      </c>
      <c r="AC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46223</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X18">
        <f>HYPERLINK("https://klasma.github.io/Logging_2505/kartor_geotiff/A 47094-2025 georefererad karta.tif", "A 47094-2025")</f>
        <v/>
      </c>
      <c r="Z18">
        <f>HYPERLINK("https://klasma.github.io/Logging_2505/klagomål/A 47094-2025 FSC-klagomål.docx", "A 47094-2025")</f>
        <v/>
      </c>
      <c r="AA18">
        <f>HYPERLINK("https://klasma.github.io/Logging_2505/klagomålsmail/A 47094-2025 FSC-klagomål mail.docx", "A 47094-2025")</f>
        <v/>
      </c>
      <c r="AB18">
        <f>HYPERLINK("https://klasma.github.io/Logging_2505/tillsyn/A 47094-2025 tillsynsbegäran.docx", "A 47094-2025")</f>
        <v/>
      </c>
      <c r="AC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46223</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X19">
        <f>HYPERLINK("https://klasma.github.io/Logging_2505/kartor_geotiff/A 21058-2026 georefererad karta.tif", "A 21058-2026")</f>
        <v/>
      </c>
      <c r="Z19">
        <f>HYPERLINK("https://klasma.github.io/Logging_2505/klagomål/A 21058-2026 FSC-klagomål.docx", "A 21058-2026")</f>
        <v/>
      </c>
      <c r="AA19">
        <f>HYPERLINK("https://klasma.github.io/Logging_2505/klagomålsmail/A 21058-2026 FSC-klagomål mail.docx", "A 21058-2026")</f>
        <v/>
      </c>
      <c r="AB19">
        <f>HYPERLINK("https://klasma.github.io/Logging_2505/tillsyn/A 21058-2026 tillsynsbegäran.docx", "A 21058-2026")</f>
        <v/>
      </c>
      <c r="AC19">
        <f>HYPERLINK("https://klasma.github.io/Logging_2505/tillsynsmail/A 21058-2026 tillsynsbegäran mail.docx", "A 21058-2026")</f>
        <v/>
      </c>
      <c r="AD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46223</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X20">
        <f>HYPERLINK("https://klasma.github.io/Logging_2505/kartor_geotiff/A 56314-2025 georefererad karta.tif", "A 56314-2025")</f>
        <v/>
      </c>
      <c r="Z20">
        <f>HYPERLINK("https://klasma.github.io/Logging_2505/klagomål/A 56314-2025 FSC-klagomål.docx", "A 56314-2025")</f>
        <v/>
      </c>
      <c r="AA20">
        <f>HYPERLINK("https://klasma.github.io/Logging_2505/klagomålsmail/A 56314-2025 FSC-klagomål mail.docx", "A 56314-2025")</f>
        <v/>
      </c>
      <c r="AB20">
        <f>HYPERLINK("https://klasma.github.io/Logging_2505/tillsyn/A 56314-2025 tillsynsbegäran.docx", "A 56314-2025")</f>
        <v/>
      </c>
      <c r="AC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46223</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X21">
        <f>HYPERLINK("https://klasma.github.io/Logging_2505/kartor_geotiff/A 56504-2025 georefererad karta.tif", "A 56504-2025")</f>
        <v/>
      </c>
      <c r="Z21">
        <f>HYPERLINK("https://klasma.github.io/Logging_2505/klagomål/A 56504-2025 FSC-klagomål.docx", "A 56504-2025")</f>
        <v/>
      </c>
      <c r="AA21">
        <f>HYPERLINK("https://klasma.github.io/Logging_2505/klagomålsmail/A 56504-2025 FSC-klagomål mail.docx", "A 56504-2025")</f>
        <v/>
      </c>
      <c r="AB21">
        <f>HYPERLINK("https://klasma.github.io/Logging_2505/tillsyn/A 56504-2025 tillsynsbegäran.docx", "A 56504-2025")</f>
        <v/>
      </c>
      <c r="AC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46223</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X22">
        <f>HYPERLINK("https://klasma.github.io/Logging_2505/kartor_geotiff/A 56494-2025 georefererad karta.tif", "A 56494-2025")</f>
        <v/>
      </c>
      <c r="Z22">
        <f>HYPERLINK("https://klasma.github.io/Logging_2505/klagomål/A 56494-2025 FSC-klagomål.docx", "A 56494-2025")</f>
        <v/>
      </c>
      <c r="AA22">
        <f>HYPERLINK("https://klasma.github.io/Logging_2505/klagomålsmail/A 56494-2025 FSC-klagomål mail.docx", "A 56494-2025")</f>
        <v/>
      </c>
      <c r="AB22">
        <f>HYPERLINK("https://klasma.github.io/Logging_2505/tillsyn/A 56494-2025 tillsynsbegäran.docx", "A 56494-2025")</f>
        <v/>
      </c>
      <c r="AC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46223</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X23">
        <f>HYPERLINK("https://klasma.github.io/Logging_2505/kartor_geotiff/A 24438-2026 georefererad karta.tif", "A 24438-2026")</f>
        <v/>
      </c>
      <c r="Z23">
        <f>HYPERLINK("https://klasma.github.io/Logging_2505/klagomål/A 24438-2026 FSC-klagomål.docx", "A 24438-2026")</f>
        <v/>
      </c>
      <c r="AA23">
        <f>HYPERLINK("https://klasma.github.io/Logging_2505/klagomålsmail/A 24438-2026 FSC-klagomål mail.docx", "A 24438-2026")</f>
        <v/>
      </c>
      <c r="AB23">
        <f>HYPERLINK("https://klasma.github.io/Logging_2505/tillsyn/A 24438-2026 tillsynsbegäran.docx", "A 24438-2026")</f>
        <v/>
      </c>
      <c r="AC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46223</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X24">
        <f>HYPERLINK("https://klasma.github.io/Logging_2505/kartor_geotiff/A 24649-2026 georefererad karta.tif", "A 24649-2026")</f>
        <v/>
      </c>
      <c r="Z24">
        <f>HYPERLINK("https://klasma.github.io/Logging_2505/klagomål/A 24649-2026 FSC-klagomål.docx", "A 24649-2026")</f>
        <v/>
      </c>
      <c r="AA24">
        <f>HYPERLINK("https://klasma.github.io/Logging_2505/klagomålsmail/A 24649-2026 FSC-klagomål mail.docx", "A 24649-2026")</f>
        <v/>
      </c>
      <c r="AB24">
        <f>HYPERLINK("https://klasma.github.io/Logging_2505/tillsyn/A 24649-2026 tillsynsbegäran.docx", "A 24649-2026")</f>
        <v/>
      </c>
      <c r="AC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46223</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X25">
        <f>HYPERLINK("https://klasma.github.io/Logging_2505/kartor_geotiff/A 33873-2022 georefererad karta.tif", "A 33873-2022")</f>
        <v/>
      </c>
      <c r="Z25">
        <f>HYPERLINK("https://klasma.github.io/Logging_2505/klagomål/A 33873-2022 FSC-klagomål.docx", "A 33873-2022")</f>
        <v/>
      </c>
      <c r="AA25">
        <f>HYPERLINK("https://klasma.github.io/Logging_2505/klagomålsmail/A 33873-2022 FSC-klagomål mail.docx", "A 33873-2022")</f>
        <v/>
      </c>
      <c r="AB25">
        <f>HYPERLINK("https://klasma.github.io/Logging_2505/tillsyn/A 33873-2022 tillsynsbegäran.docx", "A 33873-2022")</f>
        <v/>
      </c>
      <c r="AC25">
        <f>HYPERLINK("https://klasma.github.io/Logging_2505/tillsynsmail/A 33873-2022 tillsynsbegäran mail.docx", "A 33873-2022")</f>
        <v/>
      </c>
      <c r="AD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46223</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X26">
        <f>HYPERLINK("https://klasma.github.io/Logging_2505/kartor_geotiff/A 11564-2025 georefererad karta.tif", "A 11564-2025")</f>
        <v/>
      </c>
      <c r="Z26">
        <f>HYPERLINK("https://klasma.github.io/Logging_2505/klagomål/A 11564-2025 FSC-klagomål.docx", "A 11564-2025")</f>
        <v/>
      </c>
      <c r="AA26">
        <f>HYPERLINK("https://klasma.github.io/Logging_2505/klagomålsmail/A 11564-2025 FSC-klagomål mail.docx", "A 11564-2025")</f>
        <v/>
      </c>
      <c r="AB26">
        <f>HYPERLINK("https://klasma.github.io/Logging_2505/tillsyn/A 11564-2025 tillsynsbegäran.docx", "A 11564-2025")</f>
        <v/>
      </c>
      <c r="AC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46223</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X27">
        <f>HYPERLINK("https://klasma.github.io/Logging_2505/kartor_geotiff/A 47099-2025 georefererad karta.tif", "A 47099-2025")</f>
        <v/>
      </c>
      <c r="Z27">
        <f>HYPERLINK("https://klasma.github.io/Logging_2505/klagomål/A 47099-2025 FSC-klagomål.docx", "A 47099-2025")</f>
        <v/>
      </c>
      <c r="AA27">
        <f>HYPERLINK("https://klasma.github.io/Logging_2505/klagomålsmail/A 47099-2025 FSC-klagomål mail.docx", "A 47099-2025")</f>
        <v/>
      </c>
      <c r="AB27">
        <f>HYPERLINK("https://klasma.github.io/Logging_2505/tillsyn/A 47099-2025 tillsynsbegäran.docx", "A 47099-2025")</f>
        <v/>
      </c>
      <c r="AC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46223</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s="2" t="inlineStr">
        <is>
          <t>Smalfotad taggsvamp
Blanksvart spiklav
Dropptaggsvamp</t>
        </is>
      </c>
      <c r="V28">
        <f>HYPERLINK("https://klasma.github.io/Logging_2505/artfynd/A 11630-2025 artfynd.xlsx", "A 11630-2025")</f>
        <v/>
      </c>
      <c r="W28">
        <f>HYPERLINK("https://klasma.github.io/Logging_2505/kartor/A 11630-2025 karta.png", "A 11630-2025")</f>
        <v/>
      </c>
      <c r="X28">
        <f>HYPERLINK("https://klasma.github.io/Logging_2505/kartor_geotiff/A 11630-2025 georefererad karta.tif", "A 11630-2025")</f>
        <v/>
      </c>
      <c r="Z28">
        <f>HYPERLINK("https://klasma.github.io/Logging_2505/klagomål/A 11630-2025 FSC-klagomål.docx", "A 11630-2025")</f>
        <v/>
      </c>
      <c r="AA28">
        <f>HYPERLINK("https://klasma.github.io/Logging_2505/klagomålsmail/A 11630-2025 FSC-klagomål mail.docx", "A 11630-2025")</f>
        <v/>
      </c>
      <c r="AB28">
        <f>HYPERLINK("https://klasma.github.io/Logging_2505/tillsyn/A 11630-2025 tillsynsbegäran.docx", "A 11630-2025")</f>
        <v/>
      </c>
      <c r="AC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46223</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s="2" t="inlineStr">
        <is>
          <t>Dropptaggsvamp
Rosenticka
Rynkskinn</t>
        </is>
      </c>
      <c r="V29">
        <f>HYPERLINK("https://klasma.github.io/Logging_2505/artfynd/A 54096-2025 artfynd.xlsx", "A 54096-2025")</f>
        <v/>
      </c>
      <c r="W29">
        <f>HYPERLINK("https://klasma.github.io/Logging_2505/kartor/A 54096-2025 karta.png", "A 54096-2025")</f>
        <v/>
      </c>
      <c r="X29">
        <f>HYPERLINK("https://klasma.github.io/Logging_2505/kartor_geotiff/A 54096-2025 georefererad karta.tif", "A 54096-2025")</f>
        <v/>
      </c>
      <c r="Z29">
        <f>HYPERLINK("https://klasma.github.io/Logging_2505/klagomål/A 54096-2025 FSC-klagomål.docx", "A 54096-2025")</f>
        <v/>
      </c>
      <c r="AA29">
        <f>HYPERLINK("https://klasma.github.io/Logging_2505/klagomålsmail/A 54096-2025 FSC-klagomål mail.docx", "A 54096-2025")</f>
        <v/>
      </c>
      <c r="AB29">
        <f>HYPERLINK("https://klasma.github.io/Logging_2505/tillsyn/A 54096-2025 tillsynsbegäran.docx", "A 54096-2025")</f>
        <v/>
      </c>
      <c r="AC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46223</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s="2" t="inlineStr">
        <is>
          <t>Blå taggsvamp
Vedskivlav
Plattlummer</t>
        </is>
      </c>
      <c r="V30">
        <f>HYPERLINK("https://klasma.github.io/Logging_2505/artfynd/A 25929-2026 artfynd.xlsx", "A 25929-2026")</f>
        <v/>
      </c>
      <c r="W30">
        <f>HYPERLINK("https://klasma.github.io/Logging_2505/kartor/A 25929-2026 karta.png", "A 25929-2026")</f>
        <v/>
      </c>
      <c r="X30">
        <f>HYPERLINK("https://klasma.github.io/Logging_2505/kartor_geotiff/A 25929-2026 georefererad karta.tif", "A 25929-2026")</f>
        <v/>
      </c>
      <c r="Z30">
        <f>HYPERLINK("https://klasma.github.io/Logging_2505/klagomål/A 25929-2026 FSC-klagomål.docx", "A 25929-2026")</f>
        <v/>
      </c>
      <c r="AA30">
        <f>HYPERLINK("https://klasma.github.io/Logging_2505/klagomålsmail/A 25929-2026 FSC-klagomål mail.docx", "A 25929-2026")</f>
        <v/>
      </c>
      <c r="AB30">
        <f>HYPERLINK("https://klasma.github.io/Logging_2505/tillsyn/A 25929-2026 tillsynsbegäran.docx", "A 25929-2026")</f>
        <v/>
      </c>
      <c r="AC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46223</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s="2" t="inlineStr">
        <is>
          <t>Blå taggsvamp
Dropptaggsvamp
Orange taggsvamp</t>
        </is>
      </c>
      <c r="V31">
        <f>HYPERLINK("https://klasma.github.io/Logging_2505/artfynd/A 36451-2024 artfynd.xlsx", "A 36451-2024")</f>
        <v/>
      </c>
      <c r="W31">
        <f>HYPERLINK("https://klasma.github.io/Logging_2505/kartor/A 36451-2024 karta.png", "A 36451-2024")</f>
        <v/>
      </c>
      <c r="X31">
        <f>HYPERLINK("https://klasma.github.io/Logging_2505/kartor_geotiff/A 36451-2024 georefererad karta.tif", "A 36451-2024")</f>
        <v/>
      </c>
      <c r="Z31">
        <f>HYPERLINK("https://klasma.github.io/Logging_2505/klagomål/A 36451-2024 FSC-klagomål.docx", "A 36451-2024")</f>
        <v/>
      </c>
      <c r="AA31">
        <f>HYPERLINK("https://klasma.github.io/Logging_2505/klagomålsmail/A 36451-2024 FSC-klagomål mail.docx", "A 36451-2024")</f>
        <v/>
      </c>
      <c r="AB31">
        <f>HYPERLINK("https://klasma.github.io/Logging_2505/tillsyn/A 36451-2024 tillsynsbegäran.docx", "A 36451-2024")</f>
        <v/>
      </c>
      <c r="AC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46223</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s="2" t="inlineStr">
        <is>
          <t>Sandsyra
Ögonpyrola
Revlummer</t>
        </is>
      </c>
      <c r="V32">
        <f>HYPERLINK("https://klasma.github.io/Logging_2505/artfynd/A 61137-2022 artfynd.xlsx", "A 61137-2022")</f>
        <v/>
      </c>
      <c r="W32">
        <f>HYPERLINK("https://klasma.github.io/Logging_2505/kartor/A 61137-2022 karta.png", "A 61137-2022")</f>
        <v/>
      </c>
      <c r="X32">
        <f>HYPERLINK("https://klasma.github.io/Logging_2505/kartor_geotiff/A 61137-2022 georefererad karta.tif", "A 61137-2022")</f>
        <v/>
      </c>
      <c r="Z32">
        <f>HYPERLINK("https://klasma.github.io/Logging_2505/klagomål/A 61137-2022 FSC-klagomål.docx", "A 61137-2022")</f>
        <v/>
      </c>
      <c r="AA32">
        <f>HYPERLINK("https://klasma.github.io/Logging_2505/klagomålsmail/A 61137-2022 FSC-klagomål mail.docx", "A 61137-2022")</f>
        <v/>
      </c>
      <c r="AB32">
        <f>HYPERLINK("https://klasma.github.io/Logging_2505/tillsyn/A 61137-2022 tillsynsbegäran.docx", "A 61137-2022")</f>
        <v/>
      </c>
      <c r="AC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46223</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X33">
        <f>HYPERLINK("https://klasma.github.io/Logging_2505/kartor_geotiff/A 47954-2022 georefererad karta.tif", "A 47954-2022")</f>
        <v/>
      </c>
      <c r="Z33">
        <f>HYPERLINK("https://klasma.github.io/Logging_2505/klagomål/A 47954-2022 FSC-klagomål.docx", "A 47954-2022")</f>
        <v/>
      </c>
      <c r="AA33">
        <f>HYPERLINK("https://klasma.github.io/Logging_2505/klagomålsmail/A 47954-2022 FSC-klagomål mail.docx", "A 47954-2022")</f>
        <v/>
      </c>
      <c r="AB33">
        <f>HYPERLINK("https://klasma.github.io/Logging_2505/tillsyn/A 47954-2022 tillsynsbegäran.docx", "A 47954-2022")</f>
        <v/>
      </c>
      <c r="AC33">
        <f>HYPERLINK("https://klasma.github.io/Logging_2505/tillsynsmail/A 47954-2022 tillsynsbegäran mail.docx", "A 47954-2022")</f>
        <v/>
      </c>
      <c r="AD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46223</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s="2" t="inlineStr">
        <is>
          <t>Blå taggsvamp
Orange taggsvamp</t>
        </is>
      </c>
      <c r="V34">
        <f>HYPERLINK("https://klasma.github.io/Logging_2505/artfynd/A 26560-2025 artfynd.xlsx", "A 26560-2025")</f>
        <v/>
      </c>
      <c r="W34">
        <f>HYPERLINK("https://klasma.github.io/Logging_2505/kartor/A 26560-2025 karta.png", "A 26560-2025")</f>
        <v/>
      </c>
      <c r="X34">
        <f>HYPERLINK("https://klasma.github.io/Logging_2505/kartor_geotiff/A 26560-2025 georefererad karta.tif", "A 26560-2025")</f>
        <v/>
      </c>
      <c r="Z34">
        <f>HYPERLINK("https://klasma.github.io/Logging_2505/klagomål/A 26560-2025 FSC-klagomål.docx", "A 26560-2025")</f>
        <v/>
      </c>
      <c r="AA34">
        <f>HYPERLINK("https://klasma.github.io/Logging_2505/klagomålsmail/A 26560-2025 FSC-klagomål mail.docx", "A 26560-2025")</f>
        <v/>
      </c>
      <c r="AB34">
        <f>HYPERLINK("https://klasma.github.io/Logging_2505/tillsyn/A 26560-2025 tillsynsbegäran.docx", "A 26560-2025")</f>
        <v/>
      </c>
      <c r="AC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46223</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s="2" t="inlineStr">
        <is>
          <t>Doftticka
Lunglav</t>
        </is>
      </c>
      <c r="V35">
        <f>HYPERLINK("https://klasma.github.io/Logging_2505/artfynd/A 32812-2025 artfynd.xlsx", "A 32812-2025")</f>
        <v/>
      </c>
      <c r="W35">
        <f>HYPERLINK("https://klasma.github.io/Logging_2505/kartor/A 32812-2025 karta.png", "A 32812-2025")</f>
        <v/>
      </c>
      <c r="X35">
        <f>HYPERLINK("https://klasma.github.io/Logging_2505/kartor_geotiff/A 32812-2025 georefererad karta.tif", "A 32812-2025")</f>
        <v/>
      </c>
      <c r="Z35">
        <f>HYPERLINK("https://klasma.github.io/Logging_2505/klagomål/A 32812-2025 FSC-klagomål.docx", "A 32812-2025")</f>
        <v/>
      </c>
      <c r="AA35">
        <f>HYPERLINK("https://klasma.github.io/Logging_2505/klagomålsmail/A 32812-2025 FSC-klagomål mail.docx", "A 32812-2025")</f>
        <v/>
      </c>
      <c r="AB35">
        <f>HYPERLINK("https://klasma.github.io/Logging_2505/tillsyn/A 32812-2025 tillsynsbegäran.docx", "A 32812-2025")</f>
        <v/>
      </c>
      <c r="AC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46223</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s="2" t="inlineStr">
        <is>
          <t>Dropptaggsvamp
Plattlummer</t>
        </is>
      </c>
      <c r="V36">
        <f>HYPERLINK("https://klasma.github.io/Logging_2505/artfynd/A 53163-2024 artfynd.xlsx", "A 53163-2024")</f>
        <v/>
      </c>
      <c r="W36">
        <f>HYPERLINK("https://klasma.github.io/Logging_2505/kartor/A 53163-2024 karta.png", "A 53163-2024")</f>
        <v/>
      </c>
      <c r="X36">
        <f>HYPERLINK("https://klasma.github.io/Logging_2505/kartor_geotiff/A 53163-2024 georefererad karta.tif", "A 53163-2024")</f>
        <v/>
      </c>
      <c r="Z36">
        <f>HYPERLINK("https://klasma.github.io/Logging_2505/klagomål/A 53163-2024 FSC-klagomål.docx", "A 53163-2024")</f>
        <v/>
      </c>
      <c r="AA36">
        <f>HYPERLINK("https://klasma.github.io/Logging_2505/klagomålsmail/A 53163-2024 FSC-klagomål mail.docx", "A 53163-2024")</f>
        <v/>
      </c>
      <c r="AB36">
        <f>HYPERLINK("https://klasma.github.io/Logging_2505/tillsyn/A 53163-2024 tillsynsbegäran.docx", "A 53163-2024")</f>
        <v/>
      </c>
      <c r="AC36">
        <f>HYPERLINK("https://klasma.github.io/Logging_2505/tillsynsmail/A 53163-2024 tillsynsbegäran mail.docx", "A 53163-2024")</f>
        <v/>
      </c>
    </row>
    <row r="37" ht="15" customHeight="1">
      <c r="A37" t="inlineStr">
        <is>
          <t>A 55653-2025</t>
        </is>
      </c>
      <c r="B37" t="inlineStr">
        <is>
          <t>avverkningsanmälan</t>
        </is>
      </c>
      <c r="C37" t="inlineStr">
        <is>
          <t>Föryngringsavverkning</t>
        </is>
      </c>
      <c r="D37" s="1" t="n">
        <v>45972</v>
      </c>
      <c r="E37" s="1" t="n">
        <v>46223</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X37">
        <f>HYPERLINK("https://klasma.github.io/Logging_2505/kartor_geotiff/A 55653-2025 georefererad karta.tif", "A 55653-2025")</f>
        <v/>
      </c>
      <c r="Z37">
        <f>HYPERLINK("https://klasma.github.io/Logging_2505/klagomål/A 55653-2025 FSC-klagomål.docx", "A 55653-2025")</f>
        <v/>
      </c>
      <c r="AA37">
        <f>HYPERLINK("https://klasma.github.io/Logging_2505/klagomålsmail/A 55653-2025 FSC-klagomål mail.docx", "A 55653-2025")</f>
        <v/>
      </c>
      <c r="AB37">
        <f>HYPERLINK("https://klasma.github.io/Logging_2505/tillsyn/A 55653-2025 tillsynsbegäran.docx", "A 55653-2025")</f>
        <v/>
      </c>
      <c r="AC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46223</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X38">
        <f>HYPERLINK("https://klasma.github.io/Logging_2505/kartor_geotiff/A 56489-2025 georefererad karta.tif", "A 56489-2025")</f>
        <v/>
      </c>
      <c r="Z38">
        <f>HYPERLINK("https://klasma.github.io/Logging_2505/klagomål/A 56489-2025 FSC-klagomål.docx", "A 56489-2025")</f>
        <v/>
      </c>
      <c r="AA38">
        <f>HYPERLINK("https://klasma.github.io/Logging_2505/klagomålsmail/A 56489-2025 FSC-klagomål mail.docx", "A 56489-2025")</f>
        <v/>
      </c>
      <c r="AB38">
        <f>HYPERLINK("https://klasma.github.io/Logging_2505/tillsyn/A 56489-2025 tillsynsbegäran.docx", "A 56489-2025")</f>
        <v/>
      </c>
      <c r="AC38">
        <f>HYPERLINK("https://klasma.github.io/Logging_2505/tillsynsmail/A 56489-2025 tillsynsbegäran mail.docx", "A 56489-2025")</f>
        <v/>
      </c>
    </row>
    <row r="39" ht="15" customHeight="1">
      <c r="A39" t="inlineStr">
        <is>
          <t>A 11634-2025</t>
        </is>
      </c>
      <c r="B39" t="inlineStr">
        <is>
          <t>avverkningsanmälan</t>
        </is>
      </c>
      <c r="C39" t="inlineStr">
        <is>
          <t>Föryngringsavverkning</t>
        </is>
      </c>
      <c r="D39" s="1" t="n">
        <v>45726</v>
      </c>
      <c r="E39" s="1" t="n">
        <v>46223</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s="2" t="inlineStr">
        <is>
          <t>Lunglav
Skinnlav</t>
        </is>
      </c>
      <c r="V39">
        <f>HYPERLINK("https://klasma.github.io/Logging_2505/artfynd/A 11634-2025 artfynd.xlsx", "A 11634-2025")</f>
        <v/>
      </c>
      <c r="W39">
        <f>HYPERLINK("https://klasma.github.io/Logging_2505/kartor/A 11634-2025 karta.png", "A 11634-2025")</f>
        <v/>
      </c>
      <c r="X39">
        <f>HYPERLINK("https://klasma.github.io/Logging_2505/kartor_geotiff/A 11634-2025 georefererad karta.tif", "A 11634-2025")</f>
        <v/>
      </c>
      <c r="Z39">
        <f>HYPERLINK("https://klasma.github.io/Logging_2505/klagomål/A 11634-2025 FSC-klagomål.docx", "A 11634-2025")</f>
        <v/>
      </c>
      <c r="AA39">
        <f>HYPERLINK("https://klasma.github.io/Logging_2505/klagomålsmail/A 11634-2025 FSC-klagomål mail.docx", "A 11634-2025")</f>
        <v/>
      </c>
      <c r="AB39">
        <f>HYPERLINK("https://klasma.github.io/Logging_2505/tillsyn/A 11634-2025 tillsynsbegäran.docx", "A 11634-2025")</f>
        <v/>
      </c>
      <c r="AC39">
        <f>HYPERLINK("https://klasma.github.io/Logging_2505/tillsynsmail/A 11634-2025 tillsynsbegäran mail.docx", "A 11634-2025")</f>
        <v/>
      </c>
    </row>
    <row r="40" ht="15" customHeight="1">
      <c r="A40" t="inlineStr">
        <is>
          <t>A 61172-2025</t>
        </is>
      </c>
      <c r="B40" t="inlineStr">
        <is>
          <t>avverkningsanmälan</t>
        </is>
      </c>
      <c r="C40" t="inlineStr">
        <is>
          <t>Föryngringsavverkning</t>
        </is>
      </c>
      <c r="D40" s="1" t="n">
        <v>45999</v>
      </c>
      <c r="E40" s="1" t="n">
        <v>46223</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s="2" t="inlineStr">
        <is>
          <t>Garnlav
Knottrig blåslav</t>
        </is>
      </c>
      <c r="V40">
        <f>HYPERLINK("https://klasma.github.io/Logging_2505/artfynd/A 61172-2025 artfynd.xlsx", "A 61172-2025")</f>
        <v/>
      </c>
      <c r="W40">
        <f>HYPERLINK("https://klasma.github.io/Logging_2505/kartor/A 61172-2025 karta.png", "A 61172-2025")</f>
        <v/>
      </c>
      <c r="X40">
        <f>HYPERLINK("https://klasma.github.io/Logging_2505/kartor_geotiff/A 61172-2025 georefererad karta.tif", "A 61172-2025")</f>
        <v/>
      </c>
      <c r="Z40">
        <f>HYPERLINK("https://klasma.github.io/Logging_2505/klagomål/A 61172-2025 FSC-klagomål.docx", "A 61172-2025")</f>
        <v/>
      </c>
      <c r="AA40">
        <f>HYPERLINK("https://klasma.github.io/Logging_2505/klagomålsmail/A 61172-2025 FSC-klagomål mail.docx", "A 61172-2025")</f>
        <v/>
      </c>
      <c r="AB40">
        <f>HYPERLINK("https://klasma.github.io/Logging_2505/tillsyn/A 61172-2025 tillsynsbegäran.docx", "A 61172-2025")</f>
        <v/>
      </c>
      <c r="AC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46223</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s="2" t="inlineStr">
        <is>
          <t>Plattlummer
Gul groddlummer</t>
        </is>
      </c>
      <c r="V41">
        <f>HYPERLINK("https://klasma.github.io/Logging_2505/artfynd/A 1728-2026 artfynd.xlsx", "A 1728-2026")</f>
        <v/>
      </c>
      <c r="W41">
        <f>HYPERLINK("https://klasma.github.io/Logging_2505/kartor/A 1728-2026 karta.png", "A 1728-2026")</f>
        <v/>
      </c>
      <c r="X41">
        <f>HYPERLINK("https://klasma.github.io/Logging_2505/kartor_geotiff/A 1728-2026 georefererad karta.tif", "A 1728-2026")</f>
        <v/>
      </c>
      <c r="Z41">
        <f>HYPERLINK("https://klasma.github.io/Logging_2505/klagomål/A 1728-2026 FSC-klagomål.docx", "A 1728-2026")</f>
        <v/>
      </c>
      <c r="AA41">
        <f>HYPERLINK("https://klasma.github.io/Logging_2505/klagomålsmail/A 1728-2026 FSC-klagomål mail.docx", "A 1728-2026")</f>
        <v/>
      </c>
      <c r="AB41">
        <f>HYPERLINK("https://klasma.github.io/Logging_2505/tillsyn/A 1728-2026 tillsynsbegäran.docx", "A 1728-2026")</f>
        <v/>
      </c>
      <c r="AC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46223</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X42">
        <f>HYPERLINK("https://klasma.github.io/Logging_2505/kartor_geotiff/A 30048-2026 georefererad karta.tif", "A 30048-2026")</f>
        <v/>
      </c>
      <c r="Z42">
        <f>HYPERLINK("https://klasma.github.io/Logging_2505/klagomål/A 30048-2026 FSC-klagomål.docx", "A 30048-2026")</f>
        <v/>
      </c>
      <c r="AA42">
        <f>HYPERLINK("https://klasma.github.io/Logging_2505/klagomålsmail/A 30048-2026 FSC-klagomål mail.docx", "A 30048-2026")</f>
        <v/>
      </c>
      <c r="AB42">
        <f>HYPERLINK("https://klasma.github.io/Logging_2505/tillsyn/A 30048-2026 tillsynsbegäran.docx", "A 30048-2026")</f>
        <v/>
      </c>
      <c r="AC42">
        <f>HYPERLINK("https://klasma.github.io/Logging_2505/tillsynsmail/A 30048-2026 tillsynsbegäran mail.docx", "A 30048-2026")</f>
        <v/>
      </c>
      <c r="AD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46223</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X43">
        <f>HYPERLINK("https://klasma.github.io/Logging_2505/kartor_geotiff/A 73782-2021 georefererad karta.tif", "A 73782-2021")</f>
        <v/>
      </c>
      <c r="Z43">
        <f>HYPERLINK("https://klasma.github.io/Logging_2505/klagomål/A 73782-2021 FSC-klagomål.docx", "A 73782-2021")</f>
        <v/>
      </c>
      <c r="AA43">
        <f>HYPERLINK("https://klasma.github.io/Logging_2505/klagomålsmail/A 73782-2021 FSC-klagomål mail.docx", "A 73782-2021")</f>
        <v/>
      </c>
      <c r="AB43">
        <f>HYPERLINK("https://klasma.github.io/Logging_2505/tillsyn/A 73782-2021 tillsynsbegäran.docx", "A 73782-2021")</f>
        <v/>
      </c>
      <c r="AC43">
        <f>HYPERLINK("https://klasma.github.io/Logging_2505/tillsynsmail/A 73782-2021 tillsynsbegäran mail.docx", "A 73782-2021")</f>
        <v/>
      </c>
    </row>
    <row r="44" ht="15" customHeight="1">
      <c r="A44" t="inlineStr">
        <is>
          <t>A 45386-2024</t>
        </is>
      </c>
      <c r="B44" t="inlineStr">
        <is>
          <t>avverkningsanmälan</t>
        </is>
      </c>
      <c r="C44" t="inlineStr">
        <is>
          <t>Föryngringsavverkning</t>
        </is>
      </c>
      <c r="D44" s="1" t="n">
        <v>45576</v>
      </c>
      <c r="E44" s="1" t="n">
        <v>46223</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s="2" t="inlineStr">
        <is>
          <t>Dropptaggsvamp</t>
        </is>
      </c>
      <c r="V44">
        <f>HYPERLINK("https://klasma.github.io/Logging_2505/artfynd/A 45386-2024 artfynd.xlsx", "A 45386-2024")</f>
        <v/>
      </c>
      <c r="W44">
        <f>HYPERLINK("https://klasma.github.io/Logging_2505/kartor/A 45386-2024 karta.png", "A 45386-2024")</f>
        <v/>
      </c>
      <c r="X44">
        <f>HYPERLINK("https://klasma.github.io/Logging_2505/kartor_geotiff/A 45386-2024 georefererad karta.tif", "A 45386-2024")</f>
        <v/>
      </c>
      <c r="Z44">
        <f>HYPERLINK("https://klasma.github.io/Logging_2505/klagomål/A 45386-2024 FSC-klagomål.docx", "A 45386-2024")</f>
        <v/>
      </c>
      <c r="AA44">
        <f>HYPERLINK("https://klasma.github.io/Logging_2505/klagomålsmail/A 45386-2024 FSC-klagomål mail.docx", "A 45386-2024")</f>
        <v/>
      </c>
      <c r="AB44">
        <f>HYPERLINK("https://klasma.github.io/Logging_2505/tillsyn/A 45386-2024 tillsynsbegäran.docx", "A 45386-2024")</f>
        <v/>
      </c>
      <c r="AC44">
        <f>HYPERLINK("https://klasma.github.io/Logging_2505/tillsynsmail/A 45386-2024 tillsynsbegäran mail.docx", "A 45386-2024")</f>
        <v/>
      </c>
    </row>
    <row r="45" ht="15" customHeight="1">
      <c r="A45" t="inlineStr">
        <is>
          <t>A 28894-2025</t>
        </is>
      </c>
      <c r="B45" t="inlineStr">
        <is>
          <t>avverkningsanmälan</t>
        </is>
      </c>
      <c r="C45" t="inlineStr">
        <is>
          <t>Föryngringsavverkning</t>
        </is>
      </c>
      <c r="D45" s="1" t="n">
        <v>45820</v>
      </c>
      <c r="E45" s="1" t="n">
        <v>46223</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s="2" t="inlineStr">
        <is>
          <t>Trana</t>
        </is>
      </c>
      <c r="V45">
        <f>HYPERLINK("https://klasma.github.io/Logging_2505/artfynd/A 28894-2025 artfynd.xlsx", "A 28894-2025")</f>
        <v/>
      </c>
      <c r="W45">
        <f>HYPERLINK("https://klasma.github.io/Logging_2505/kartor/A 28894-2025 karta.png", "A 28894-2025")</f>
        <v/>
      </c>
      <c r="X45">
        <f>HYPERLINK("https://klasma.github.io/Logging_2505/kartor_geotiff/A 28894-2025 georefererad karta.tif", "A 28894-2025")</f>
        <v/>
      </c>
      <c r="Z45">
        <f>HYPERLINK("https://klasma.github.io/Logging_2505/klagomål/A 28894-2025 FSC-klagomål.docx", "A 28894-2025")</f>
        <v/>
      </c>
      <c r="AA45">
        <f>HYPERLINK("https://klasma.github.io/Logging_2505/klagomålsmail/A 28894-2025 FSC-klagomål mail.docx", "A 28894-2025")</f>
        <v/>
      </c>
      <c r="AB45">
        <f>HYPERLINK("https://klasma.github.io/Logging_2505/tillsyn/A 28894-2025 tillsynsbegäran.docx", "A 28894-2025")</f>
        <v/>
      </c>
      <c r="AC45">
        <f>HYPERLINK("https://klasma.github.io/Logging_2505/tillsynsmail/A 28894-2025 tillsynsbegäran mail.docx", "A 28894-2025")</f>
        <v/>
      </c>
      <c r="AD45">
        <f>HYPERLINK("https://klasma.github.io/Logging_2505/fåglar/A 28894-2025 prioriterade fågelarter.docx", "A 28894-2025")</f>
        <v/>
      </c>
    </row>
    <row r="46" ht="15" customHeight="1">
      <c r="A46" t="inlineStr">
        <is>
          <t>A 37649-2024</t>
        </is>
      </c>
      <c r="B46" t="inlineStr">
        <is>
          <t>avverkningsanmälan</t>
        </is>
      </c>
      <c r="C46" t="inlineStr">
        <is>
          <t>Avverkning för annat ändamål</t>
        </is>
      </c>
      <c r="D46" s="1" t="n">
        <v>45541</v>
      </c>
      <c r="E46" s="1" t="n">
        <v>46223</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s="2" t="inlineStr">
        <is>
          <t>Knärot</t>
        </is>
      </c>
      <c r="V46">
        <f>HYPERLINK("https://klasma.github.io/Logging_2505/artfynd/A 37649-2024 artfynd.xlsx", "A 37649-2024")</f>
        <v/>
      </c>
      <c r="W46">
        <f>HYPERLINK("https://klasma.github.io/Logging_2505/kartor/A 37649-2024 karta.png", "A 37649-2024")</f>
        <v/>
      </c>
      <c r="X46">
        <f>HYPERLINK("https://klasma.github.io/Logging_2505/kartor_geotiff/A 37649-2024 georefererad karta.tif", "A 37649-2024")</f>
        <v/>
      </c>
      <c r="Y46">
        <f>HYPERLINK("https://klasma.github.io/Logging_2505/knärot/A 37649-2024 karta knärot.png", "A 37649-2024")</f>
        <v/>
      </c>
      <c r="Z46">
        <f>HYPERLINK("https://klasma.github.io/Logging_2505/klagomål/A 37649-2024 FSC-klagomål.docx", "A 37649-2024")</f>
        <v/>
      </c>
      <c r="AA46">
        <f>HYPERLINK("https://klasma.github.io/Logging_2505/klagomålsmail/A 37649-2024 FSC-klagomål mail.docx", "A 37649-2024")</f>
        <v/>
      </c>
      <c r="AB46">
        <f>HYPERLINK("https://klasma.github.io/Logging_2505/tillsyn/A 37649-2024 tillsynsbegäran.docx", "A 37649-2024")</f>
        <v/>
      </c>
      <c r="AC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46223</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s="2" t="inlineStr">
        <is>
          <t>Tjäder</t>
        </is>
      </c>
      <c r="V47">
        <f>HYPERLINK("https://klasma.github.io/Logging_2505/artfynd/A 45769-2021 artfynd.xlsx", "A 45769-2021")</f>
        <v/>
      </c>
      <c r="W47">
        <f>HYPERLINK("https://klasma.github.io/Logging_2505/kartor/A 45769-2021 karta.png", "A 45769-2021")</f>
        <v/>
      </c>
      <c r="X47">
        <f>HYPERLINK("https://klasma.github.io/Logging_2505/kartor_geotiff/A 45769-2021 georefererad karta.tif", "A 45769-2021")</f>
        <v/>
      </c>
      <c r="Z47">
        <f>HYPERLINK("https://klasma.github.io/Logging_2505/klagomål/A 45769-2021 FSC-klagomål.docx", "A 45769-2021")</f>
        <v/>
      </c>
      <c r="AA47">
        <f>HYPERLINK("https://klasma.github.io/Logging_2505/klagomålsmail/A 45769-2021 FSC-klagomål mail.docx", "A 45769-2021")</f>
        <v/>
      </c>
      <c r="AB47">
        <f>HYPERLINK("https://klasma.github.io/Logging_2505/tillsyn/A 45769-2021 tillsynsbegäran.docx", "A 45769-2021")</f>
        <v/>
      </c>
      <c r="AC47">
        <f>HYPERLINK("https://klasma.github.io/Logging_2505/tillsynsmail/A 45769-2021 tillsynsbegäran mail.docx", "A 45769-2021")</f>
        <v/>
      </c>
      <c r="AD47">
        <f>HYPERLINK("https://klasma.github.io/Logging_2505/fåglar/A 45769-2021 prioriterade fågelarter.docx", "A 45769-2021")</f>
        <v/>
      </c>
    </row>
    <row r="48" ht="15" customHeight="1">
      <c r="A48" t="inlineStr">
        <is>
          <t>A 50826-2025</t>
        </is>
      </c>
      <c r="B48" t="inlineStr">
        <is>
          <t>avverkningsanmälan</t>
        </is>
      </c>
      <c r="C48" t="inlineStr">
        <is>
          <t>Föryngringsavverkning</t>
        </is>
      </c>
      <c r="D48" s="1" t="n">
        <v>45946</v>
      </c>
      <c r="E48" s="1" t="n">
        <v>46223</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s="2" t="inlineStr">
        <is>
          <t>Lunglav</t>
        </is>
      </c>
      <c r="V48">
        <f>HYPERLINK("https://klasma.github.io/Logging_2505/artfynd/A 50826-2025 artfynd.xlsx", "A 50826-2025")</f>
        <v/>
      </c>
      <c r="W48">
        <f>HYPERLINK("https://klasma.github.io/Logging_2505/kartor/A 50826-2025 karta.png", "A 50826-2025")</f>
        <v/>
      </c>
      <c r="X48">
        <f>HYPERLINK("https://klasma.github.io/Logging_2505/kartor_geotiff/A 50826-2025 georefererad karta.tif", "A 50826-2025")</f>
        <v/>
      </c>
      <c r="Z48">
        <f>HYPERLINK("https://klasma.github.io/Logging_2505/klagomål/A 50826-2025 FSC-klagomål.docx", "A 50826-2025")</f>
        <v/>
      </c>
      <c r="AA48">
        <f>HYPERLINK("https://klasma.github.io/Logging_2505/klagomålsmail/A 50826-2025 FSC-klagomål mail.docx", "A 50826-2025")</f>
        <v/>
      </c>
      <c r="AB48">
        <f>HYPERLINK("https://klasma.github.io/Logging_2505/tillsyn/A 50826-2025 tillsynsbegäran.docx", "A 50826-2025")</f>
        <v/>
      </c>
      <c r="AC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46223</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s="2" t="inlineStr">
        <is>
          <t>Fläcknycklar</t>
        </is>
      </c>
      <c r="V49">
        <f>HYPERLINK("https://klasma.github.io/Logging_2505/artfynd/A 52444-2025 artfynd.xlsx", "A 52444-2025")</f>
        <v/>
      </c>
      <c r="W49">
        <f>HYPERLINK("https://klasma.github.io/Logging_2505/kartor/A 52444-2025 karta.png", "A 52444-2025")</f>
        <v/>
      </c>
      <c r="X49">
        <f>HYPERLINK("https://klasma.github.io/Logging_2505/kartor_geotiff/A 52444-2025 georefererad karta.tif", "A 52444-2025")</f>
        <v/>
      </c>
      <c r="Z49">
        <f>HYPERLINK("https://klasma.github.io/Logging_2505/klagomål/A 52444-2025 FSC-klagomål.docx", "A 52444-2025")</f>
        <v/>
      </c>
      <c r="AA49">
        <f>HYPERLINK("https://klasma.github.io/Logging_2505/klagomålsmail/A 52444-2025 FSC-klagomål mail.docx", "A 52444-2025")</f>
        <v/>
      </c>
      <c r="AB49">
        <f>HYPERLINK("https://klasma.github.io/Logging_2505/tillsyn/A 52444-2025 tillsynsbegäran.docx", "A 52444-2025")</f>
        <v/>
      </c>
      <c r="AC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46223</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s="2" t="inlineStr">
        <is>
          <t>Tjäder</t>
        </is>
      </c>
      <c r="V50">
        <f>HYPERLINK("https://klasma.github.io/Logging_2505/artfynd/A 53978-2025 artfynd.xlsx", "A 53978-2025")</f>
        <v/>
      </c>
      <c r="W50">
        <f>HYPERLINK("https://klasma.github.io/Logging_2505/kartor/A 53978-2025 karta.png", "A 53978-2025")</f>
        <v/>
      </c>
      <c r="X50">
        <f>HYPERLINK("https://klasma.github.io/Logging_2505/kartor_geotiff/A 53978-2025 georefererad karta.tif", "A 53978-2025")</f>
        <v/>
      </c>
      <c r="Z50">
        <f>HYPERLINK("https://klasma.github.io/Logging_2505/klagomål/A 53978-2025 FSC-klagomål.docx", "A 53978-2025")</f>
        <v/>
      </c>
      <c r="AA50">
        <f>HYPERLINK("https://klasma.github.io/Logging_2505/klagomålsmail/A 53978-2025 FSC-klagomål mail.docx", "A 53978-2025")</f>
        <v/>
      </c>
      <c r="AB50">
        <f>HYPERLINK("https://klasma.github.io/Logging_2505/tillsyn/A 53978-2025 tillsynsbegäran.docx", "A 53978-2025")</f>
        <v/>
      </c>
      <c r="AC50">
        <f>HYPERLINK("https://klasma.github.io/Logging_2505/tillsynsmail/A 53978-2025 tillsynsbegäran mail.docx", "A 53978-2025")</f>
        <v/>
      </c>
      <c r="AD50">
        <f>HYPERLINK("https://klasma.github.io/Logging_2505/fåglar/A 53978-2025 prioriterade fågelarter.docx", "A 53978-2025")</f>
        <v/>
      </c>
    </row>
    <row r="51" ht="15" customHeight="1">
      <c r="A51" t="inlineStr">
        <is>
          <t>A 54539-2024</t>
        </is>
      </c>
      <c r="B51" t="inlineStr">
        <is>
          <t>avverkningsanmälan</t>
        </is>
      </c>
      <c r="C51" t="inlineStr">
        <is>
          <t>Föryngringsavverkning</t>
        </is>
      </c>
      <c r="D51" s="1" t="n">
        <v>45617</v>
      </c>
      <c r="E51" s="1" t="n">
        <v>46223</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s="2" t="inlineStr">
        <is>
          <t>Vaddporing</t>
        </is>
      </c>
      <c r="V51">
        <f>HYPERLINK("https://klasma.github.io/Logging_2505/artfynd/A 54539-2024 artfynd.xlsx", "A 54539-2024")</f>
        <v/>
      </c>
      <c r="W51">
        <f>HYPERLINK("https://klasma.github.io/Logging_2505/kartor/A 54539-2024 karta.png", "A 54539-2024")</f>
        <v/>
      </c>
      <c r="X51">
        <f>HYPERLINK("https://klasma.github.io/Logging_2505/kartor_geotiff/A 54539-2024 georefererad karta.tif", "A 54539-2024")</f>
        <v/>
      </c>
      <c r="Z51">
        <f>HYPERLINK("https://klasma.github.io/Logging_2505/klagomål/A 54539-2024 FSC-klagomål.docx", "A 54539-2024")</f>
        <v/>
      </c>
      <c r="AA51">
        <f>HYPERLINK("https://klasma.github.io/Logging_2505/klagomålsmail/A 54539-2024 FSC-klagomål mail.docx", "A 54539-2024")</f>
        <v/>
      </c>
      <c r="AB51">
        <f>HYPERLINK("https://klasma.github.io/Logging_2505/tillsyn/A 54539-2024 tillsynsbegäran.docx", "A 54539-2024")</f>
        <v/>
      </c>
      <c r="AC51">
        <f>HYPERLINK("https://klasma.github.io/Logging_2505/tillsynsmail/A 54539-2024 tillsynsbegäran mail.docx", "A 54539-2024")</f>
        <v/>
      </c>
    </row>
    <row r="52" ht="15" customHeight="1">
      <c r="A52" t="inlineStr">
        <is>
          <t>A 57795-2025</t>
        </is>
      </c>
      <c r="B52" t="inlineStr">
        <is>
          <t>avverkningsanmälan</t>
        </is>
      </c>
      <c r="C52" t="inlineStr">
        <is>
          <t>Föryngringsavverkning</t>
        </is>
      </c>
      <c r="D52" s="1" t="n">
        <v>45981</v>
      </c>
      <c r="E52" s="1" t="n">
        <v>46223</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s="2" t="inlineStr">
        <is>
          <t>Lavskrika</t>
        </is>
      </c>
      <c r="V52">
        <f>HYPERLINK("https://klasma.github.io/Logging_2505/artfynd/A 57795-2025 artfynd.xlsx", "A 57795-2025")</f>
        <v/>
      </c>
      <c r="W52">
        <f>HYPERLINK("https://klasma.github.io/Logging_2505/kartor/A 57795-2025 karta.png", "A 57795-2025")</f>
        <v/>
      </c>
      <c r="X52">
        <f>HYPERLINK("https://klasma.github.io/Logging_2505/kartor_geotiff/A 57795-2025 georefererad karta.tif", "A 57795-2025")</f>
        <v/>
      </c>
      <c r="Z52">
        <f>HYPERLINK("https://klasma.github.io/Logging_2505/klagomål/A 57795-2025 FSC-klagomål.docx", "A 57795-2025")</f>
        <v/>
      </c>
      <c r="AA52">
        <f>HYPERLINK("https://klasma.github.io/Logging_2505/klagomålsmail/A 57795-2025 FSC-klagomål mail.docx", "A 57795-2025")</f>
        <v/>
      </c>
      <c r="AB52">
        <f>HYPERLINK("https://klasma.github.io/Logging_2505/tillsyn/A 57795-2025 tillsynsbegäran.docx", "A 57795-2025")</f>
        <v/>
      </c>
      <c r="AC52">
        <f>HYPERLINK("https://klasma.github.io/Logging_2505/tillsynsmail/A 57795-2025 tillsynsbegäran mail.docx", "A 57795-2025")</f>
        <v/>
      </c>
      <c r="AD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46223</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s="2" t="inlineStr">
        <is>
          <t>Garnlav</t>
        </is>
      </c>
      <c r="V53">
        <f>HYPERLINK("https://klasma.github.io/Logging_2505/artfynd/A 60560-2025 artfynd.xlsx", "A 60560-2025")</f>
        <v/>
      </c>
      <c r="W53">
        <f>HYPERLINK("https://klasma.github.io/Logging_2505/kartor/A 60560-2025 karta.png", "A 60560-2025")</f>
        <v/>
      </c>
      <c r="X53">
        <f>HYPERLINK("https://klasma.github.io/Logging_2505/kartor_geotiff/A 60560-2025 georefererad karta.tif", "A 60560-2025")</f>
        <v/>
      </c>
      <c r="Z53">
        <f>HYPERLINK("https://klasma.github.io/Logging_2505/klagomål/A 60560-2025 FSC-klagomål.docx", "A 60560-2025")</f>
        <v/>
      </c>
      <c r="AA53">
        <f>HYPERLINK("https://klasma.github.io/Logging_2505/klagomålsmail/A 60560-2025 FSC-klagomål mail.docx", "A 60560-2025")</f>
        <v/>
      </c>
      <c r="AB53">
        <f>HYPERLINK("https://klasma.github.io/Logging_2505/tillsyn/A 60560-2025 tillsynsbegäran.docx", "A 60560-2025")</f>
        <v/>
      </c>
      <c r="AC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46223</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s="2" t="inlineStr">
        <is>
          <t>Ullticka</t>
        </is>
      </c>
      <c r="V54">
        <f>HYPERLINK("https://klasma.github.io/Logging_2505/artfynd/A 60460-2025 artfynd.xlsx", "A 60460-2025")</f>
        <v/>
      </c>
      <c r="W54">
        <f>HYPERLINK("https://klasma.github.io/Logging_2505/kartor/A 60460-2025 karta.png", "A 60460-2025")</f>
        <v/>
      </c>
      <c r="X54">
        <f>HYPERLINK("https://klasma.github.io/Logging_2505/kartor_geotiff/A 60460-2025 georefererad karta.tif", "A 60460-2025")</f>
        <v/>
      </c>
      <c r="Z54">
        <f>HYPERLINK("https://klasma.github.io/Logging_2505/klagomål/A 60460-2025 FSC-klagomål.docx", "A 60460-2025")</f>
        <v/>
      </c>
      <c r="AA54">
        <f>HYPERLINK("https://klasma.github.io/Logging_2505/klagomålsmail/A 60460-2025 FSC-klagomål mail.docx", "A 60460-2025")</f>
        <v/>
      </c>
      <c r="AB54">
        <f>HYPERLINK("https://klasma.github.io/Logging_2505/tillsyn/A 60460-2025 tillsynsbegäran.docx", "A 60460-2025")</f>
        <v/>
      </c>
      <c r="AC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46223</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s="2" t="inlineStr">
        <is>
          <t>Lunglav</t>
        </is>
      </c>
      <c r="V55">
        <f>HYPERLINK("https://klasma.github.io/Logging_2505/artfynd/A 14054-2026 artfynd.xlsx", "A 14054-2026")</f>
        <v/>
      </c>
      <c r="W55">
        <f>HYPERLINK("https://klasma.github.io/Logging_2505/kartor/A 14054-2026 karta.png", "A 14054-2026")</f>
        <v/>
      </c>
      <c r="X55">
        <f>HYPERLINK("https://klasma.github.io/Logging_2505/kartor_geotiff/A 14054-2026 georefererad karta.tif", "A 14054-2026")</f>
        <v/>
      </c>
      <c r="Z55">
        <f>HYPERLINK("https://klasma.github.io/Logging_2505/klagomål/A 14054-2026 FSC-klagomål.docx", "A 14054-2026")</f>
        <v/>
      </c>
      <c r="AA55">
        <f>HYPERLINK("https://klasma.github.io/Logging_2505/klagomålsmail/A 14054-2026 FSC-klagomål mail.docx", "A 14054-2026")</f>
        <v/>
      </c>
      <c r="AB55">
        <f>HYPERLINK("https://klasma.github.io/Logging_2505/tillsyn/A 14054-2026 tillsynsbegäran.docx", "A 14054-2026")</f>
        <v/>
      </c>
      <c r="AC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46223</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s="2" t="inlineStr">
        <is>
          <t>Orange taggsvamp</t>
        </is>
      </c>
      <c r="V56">
        <f>HYPERLINK("https://klasma.github.io/Logging_2505/artfynd/A 48368-2024 artfynd.xlsx", "A 48368-2024")</f>
        <v/>
      </c>
      <c r="W56">
        <f>HYPERLINK("https://klasma.github.io/Logging_2505/kartor/A 48368-2024 karta.png", "A 48368-2024")</f>
        <v/>
      </c>
      <c r="X56">
        <f>HYPERLINK("https://klasma.github.io/Logging_2505/kartor_geotiff/A 48368-2024 georefererad karta.tif", "A 48368-2024")</f>
        <v/>
      </c>
      <c r="Z56">
        <f>HYPERLINK("https://klasma.github.io/Logging_2505/klagomål/A 48368-2024 FSC-klagomål.docx", "A 48368-2024")</f>
        <v/>
      </c>
      <c r="AA56">
        <f>HYPERLINK("https://klasma.github.io/Logging_2505/klagomålsmail/A 48368-2024 FSC-klagomål mail.docx", "A 48368-2024")</f>
        <v/>
      </c>
      <c r="AB56">
        <f>HYPERLINK("https://klasma.github.io/Logging_2505/tillsyn/A 48368-2024 tillsynsbegäran.docx", "A 48368-2024")</f>
        <v/>
      </c>
      <c r="AC56">
        <f>HYPERLINK("https://klasma.github.io/Logging_2505/tillsynsmail/A 48368-2024 tillsynsbegäran mail.docx", "A 48368-2024")</f>
        <v/>
      </c>
    </row>
    <row r="57" ht="15" customHeight="1">
      <c r="A57" t="inlineStr">
        <is>
          <t>A 27539-2026</t>
        </is>
      </c>
      <c r="B57" t="inlineStr">
        <is>
          <t>avverkningsanmälan</t>
        </is>
      </c>
      <c r="C57" t="inlineStr">
        <is>
          <t>Föryngringsavverkning</t>
        </is>
      </c>
      <c r="D57" s="1" t="n">
        <v>46190</v>
      </c>
      <c r="E57" s="1" t="n">
        <v>46223</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s="2" t="inlineStr">
        <is>
          <t>Garnlav</t>
        </is>
      </c>
      <c r="V57">
        <f>HYPERLINK("https://klasma.github.io/Logging_2505/artfynd/A 27539-2026 artfynd.xlsx", "A 27539-2026")</f>
        <v/>
      </c>
      <c r="W57">
        <f>HYPERLINK("https://klasma.github.io/Logging_2505/kartor/A 27539-2026 karta.png", "A 27539-2026")</f>
        <v/>
      </c>
      <c r="X57">
        <f>HYPERLINK("https://klasma.github.io/Logging_2505/kartor_geotiff/A 27539-2026 georefererad karta.tif", "A 27539-2026")</f>
        <v/>
      </c>
      <c r="Z57">
        <f>HYPERLINK("https://klasma.github.io/Logging_2505/klagomål/A 27539-2026 FSC-klagomål.docx", "A 27539-2026")</f>
        <v/>
      </c>
      <c r="AA57">
        <f>HYPERLINK("https://klasma.github.io/Logging_2505/klagomålsmail/A 27539-2026 FSC-klagomål mail.docx", "A 27539-2026")</f>
        <v/>
      </c>
      <c r="AB57">
        <f>HYPERLINK("https://klasma.github.io/Logging_2505/tillsyn/A 27539-2026 tillsynsbegäran.docx", "A 27539-2026")</f>
        <v/>
      </c>
      <c r="AC57">
        <f>HYPERLINK("https://klasma.github.io/Logging_2505/tillsynsmail/A 27539-2026 tillsynsbegäran mail.docx", "A 27539-2026")</f>
        <v/>
      </c>
    </row>
    <row r="58" ht="15" customHeight="1">
      <c r="A58" t="inlineStr">
        <is>
          <t>A 31666-2023</t>
        </is>
      </c>
      <c r="B58" t="inlineStr">
        <is>
          <t>avverkningsanmälan</t>
        </is>
      </c>
      <c r="C58" t="inlineStr">
        <is>
          <t>Föryngringsavverkning</t>
        </is>
      </c>
      <c r="D58" s="1" t="n">
        <v>45105</v>
      </c>
      <c r="E58" s="1" t="n">
        <v>46223</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s="2" t="inlineStr">
        <is>
          <t>Mattlummer</t>
        </is>
      </c>
      <c r="V58">
        <f>HYPERLINK("https://klasma.github.io/Logging_2505/artfynd/A 31666-2023 artfynd.xlsx", "A 31666-2023")</f>
        <v/>
      </c>
      <c r="W58">
        <f>HYPERLINK("https://klasma.github.io/Logging_2505/kartor/A 31666-2023 karta.png", "A 31666-2023")</f>
        <v/>
      </c>
      <c r="X58">
        <f>HYPERLINK("https://klasma.github.io/Logging_2505/kartor_geotiff/A 31666-2023 georefererad karta.tif", "A 31666-2023")</f>
        <v/>
      </c>
      <c r="Z58">
        <f>HYPERLINK("https://klasma.github.io/Logging_2505/klagomål/A 31666-2023 FSC-klagomål.docx", "A 31666-2023")</f>
        <v/>
      </c>
      <c r="AA58">
        <f>HYPERLINK("https://klasma.github.io/Logging_2505/klagomålsmail/A 31666-2023 FSC-klagomål mail.docx", "A 31666-2023")</f>
        <v/>
      </c>
      <c r="AB58">
        <f>HYPERLINK("https://klasma.github.io/Logging_2505/tillsyn/A 31666-2023 tillsynsbegäran.docx", "A 31666-2023")</f>
        <v/>
      </c>
      <c r="AC58">
        <f>HYPERLINK("https://klasma.github.io/Logging_2505/tillsynsmail/A 31666-2023 tillsynsbegäran mail.docx", "A 31666-2023")</f>
        <v/>
      </c>
    </row>
    <row r="59" ht="15" customHeight="1">
      <c r="A59" t="inlineStr">
        <is>
          <t>A 30825-2026</t>
        </is>
      </c>
      <c r="B59" t="inlineStr">
        <is>
          <t>avverkningsanmälan</t>
        </is>
      </c>
      <c r="C59" t="inlineStr">
        <is>
          <t>Föryngringsavverkning</t>
        </is>
      </c>
      <c r="D59" s="1" t="n">
        <v>46212</v>
      </c>
      <c r="E59" s="1" t="n">
        <v>46223</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s="2" t="inlineStr">
        <is>
          <t>Talltita</t>
        </is>
      </c>
      <c r="V59">
        <f>HYPERLINK("https://klasma.github.io/Logging_2505/artfynd/A 30825-2026 artfynd.xlsx", "A 30825-2026")</f>
        <v/>
      </c>
      <c r="W59">
        <f>HYPERLINK("https://klasma.github.io/Logging_2505/kartor/A 30825-2026 karta.png", "A 30825-2026")</f>
        <v/>
      </c>
      <c r="X59">
        <f>HYPERLINK("https://klasma.github.io/Logging_2505/kartor_geotiff/A 30825-2026 georefererad karta.tif", "A 30825-2026")</f>
        <v/>
      </c>
      <c r="Z59">
        <f>HYPERLINK("https://klasma.github.io/Logging_2505/klagomål/A 30825-2026 FSC-klagomål.docx", "A 30825-2026")</f>
        <v/>
      </c>
      <c r="AA59">
        <f>HYPERLINK("https://klasma.github.io/Logging_2505/klagomålsmail/A 30825-2026 FSC-klagomål mail.docx", "A 30825-2026")</f>
        <v/>
      </c>
      <c r="AB59">
        <f>HYPERLINK("https://klasma.github.io/Logging_2505/tillsyn/A 30825-2026 tillsynsbegäran.docx", "A 30825-2026")</f>
        <v/>
      </c>
      <c r="AC59">
        <f>HYPERLINK("https://klasma.github.io/Logging_2505/tillsynsmail/A 30825-2026 tillsynsbegäran mail.docx", "A 30825-2026")</f>
        <v/>
      </c>
      <c r="AD59">
        <f>HYPERLINK("https://klasma.github.io/Logging_2505/fåglar/A 30825-2026 prioriterade fågelarter.docx", "A 30825-2026")</f>
        <v/>
      </c>
    </row>
    <row r="60" ht="15" customHeight="1">
      <c r="A60" t="inlineStr">
        <is>
          <t>A 25738-2026</t>
        </is>
      </c>
      <c r="B60" t="inlineStr">
        <is>
          <t>avverkningsanmälan</t>
        </is>
      </c>
      <c r="C60" t="inlineStr">
        <is>
          <t>Föryngringsavverkning</t>
        </is>
      </c>
      <c r="D60" s="1" t="n">
        <v>46178</v>
      </c>
      <c r="E60" s="1" t="n">
        <v>46223</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s="2" t="inlineStr">
        <is>
          <t>Lunglav</t>
        </is>
      </c>
      <c r="V60">
        <f>HYPERLINK("https://klasma.github.io/Logging_2505/artfynd/A 25738-2026 artfynd.xlsx", "A 25738-2026")</f>
        <v/>
      </c>
      <c r="W60">
        <f>HYPERLINK("https://klasma.github.io/Logging_2505/kartor/A 25738-2026 karta.png", "A 25738-2026")</f>
        <v/>
      </c>
      <c r="X60">
        <f>HYPERLINK("https://klasma.github.io/Logging_2505/kartor_geotiff/A 25738-2026 georefererad karta.tif", "A 25738-2026")</f>
        <v/>
      </c>
      <c r="Z60">
        <f>HYPERLINK("https://klasma.github.io/Logging_2505/klagomål/A 25738-2026 FSC-klagomål.docx", "A 25738-2026")</f>
        <v/>
      </c>
      <c r="AA60">
        <f>HYPERLINK("https://klasma.github.io/Logging_2505/klagomålsmail/A 25738-2026 FSC-klagomål mail.docx", "A 25738-2026")</f>
        <v/>
      </c>
      <c r="AB60">
        <f>HYPERLINK("https://klasma.github.io/Logging_2505/tillsyn/A 25738-2026 tillsynsbegäran.docx", "A 25738-2026")</f>
        <v/>
      </c>
      <c r="AC60">
        <f>HYPERLINK("https://klasma.github.io/Logging_2505/tillsynsmail/A 25738-2026 tillsynsbegäran mail.docx", "A 25738-2026")</f>
        <v/>
      </c>
    </row>
    <row r="61" ht="15" customHeight="1">
      <c r="A61" t="inlineStr">
        <is>
          <t>A 29314-2023</t>
        </is>
      </c>
      <c r="B61" t="inlineStr">
        <is>
          <t>avverkningsanmälan</t>
        </is>
      </c>
      <c r="C61" t="inlineStr">
        <is>
          <t>Föryngringsavverkning</t>
        </is>
      </c>
      <c r="D61" s="1" t="n">
        <v>45105</v>
      </c>
      <c r="E61" s="1" t="n">
        <v>46223</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s="2" t="inlineStr">
        <is>
          <t>Lavskrika</t>
        </is>
      </c>
      <c r="V61">
        <f>HYPERLINK("https://klasma.github.io/Logging_2505/artfynd/A 29314-2023 artfynd.xlsx", "A 29314-2023")</f>
        <v/>
      </c>
      <c r="W61">
        <f>HYPERLINK("https://klasma.github.io/Logging_2505/kartor/A 29314-2023 karta.png", "A 29314-2023")</f>
        <v/>
      </c>
      <c r="X61">
        <f>HYPERLINK("https://klasma.github.io/Logging_2505/kartor_geotiff/A 29314-2023 georefererad karta.tif", "A 29314-2023")</f>
        <v/>
      </c>
      <c r="Z61">
        <f>HYPERLINK("https://klasma.github.io/Logging_2505/klagomål/A 29314-2023 FSC-klagomål.docx", "A 29314-2023")</f>
        <v/>
      </c>
      <c r="AA61">
        <f>HYPERLINK("https://klasma.github.io/Logging_2505/klagomålsmail/A 29314-2023 FSC-klagomål mail.docx", "A 29314-2023")</f>
        <v/>
      </c>
      <c r="AB61">
        <f>HYPERLINK("https://klasma.github.io/Logging_2505/tillsyn/A 29314-2023 tillsynsbegäran.docx", "A 29314-2023")</f>
        <v/>
      </c>
      <c r="AC61">
        <f>HYPERLINK("https://klasma.github.io/Logging_2505/tillsynsmail/A 29314-2023 tillsynsbegäran mail.docx", "A 29314-2023")</f>
        <v/>
      </c>
      <c r="AD61">
        <f>HYPERLINK("https://klasma.github.io/Logging_2505/fåglar/A 29314-2023 prioriterade fågelarter.docx", "A 29314-2023")</f>
        <v/>
      </c>
    </row>
    <row r="62" ht="15" customHeight="1">
      <c r="A62" t="inlineStr">
        <is>
          <t>S 1662-2025</t>
        </is>
      </c>
      <c r="B62" t="inlineStr">
        <is>
          <t>samrådsanmälan</t>
        </is>
      </c>
      <c r="C62" t="inlineStr">
        <is>
          <t>Skogsgödsling</t>
        </is>
      </c>
      <c r="D62" s="1" t="n">
        <v>45800</v>
      </c>
      <c r="E62" s="1" t="n">
        <v>46223</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X62">
        <f>HYPERLINK("https://klasma.github.io/Logging_2505/kartor_geotiff/S 1662-2025 georefererad karta.tif", "S 1662-2025")</f>
        <v/>
      </c>
      <c r="Z62">
        <f>HYPERLINK("https://klasma.github.io/Logging_2505/klagomål/S 1662-2025 FSC-klagomål.docx", "S 1662-2025")</f>
        <v/>
      </c>
      <c r="AA62">
        <f>HYPERLINK("https://klasma.github.io/Logging_2505/klagomålsmail/S 1662-2025 FSC-klagomål mail.docx", "S 1662-2025")</f>
        <v/>
      </c>
      <c r="AB62">
        <f>HYPERLINK("https://klasma.github.io/Logging_2505/tillsyn/S 1662-2025 tillsynsbegäran.docx", "S 1662-2025")</f>
        <v/>
      </c>
      <c r="AC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46223</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46223</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46223</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46223</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46223</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46223</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46223</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46223</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46223</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46223</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46223</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46223</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46223</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46223</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46223</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46223</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46223</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54609-2022</t>
        </is>
      </c>
      <c r="B80" t="inlineStr">
        <is>
          <t>avverkningsanmälan</t>
        </is>
      </c>
      <c r="C80" t="inlineStr">
        <is>
          <t>Avverkning för annat ändamål</t>
        </is>
      </c>
      <c r="D80" s="1" t="n">
        <v>44883</v>
      </c>
      <c r="E80" s="1" t="n">
        <v>46223</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s="2" t="inlineStr"/>
    </row>
    <row r="81" ht="15" customHeight="1">
      <c r="A81" t="inlineStr">
        <is>
          <t>A 34477-2022</t>
        </is>
      </c>
      <c r="B81" t="inlineStr">
        <is>
          <t>avverkningsanmälan</t>
        </is>
      </c>
      <c r="C81" t="inlineStr">
        <is>
          <t>Föryngringsavverkning</t>
        </is>
      </c>
      <c r="D81" s="1" t="n">
        <v>44792</v>
      </c>
      <c r="E81" s="1" t="n">
        <v>46223</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s="2" t="inlineStr"/>
    </row>
    <row r="82" ht="15" customHeight="1">
      <c r="A82" t="inlineStr">
        <is>
          <t>A 26223-2022</t>
        </is>
      </c>
      <c r="B82" t="inlineStr">
        <is>
          <t>avverkningsanmälan</t>
        </is>
      </c>
      <c r="C82" t="inlineStr">
        <is>
          <t>Avverkning för annat ändamål</t>
        </is>
      </c>
      <c r="D82" s="1" t="n">
        <v>44735</v>
      </c>
      <c r="E82" s="1" t="n">
        <v>46223</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s="2" t="inlineStr"/>
    </row>
    <row r="83" ht="15" customHeight="1">
      <c r="A83" t="inlineStr">
        <is>
          <t>A 34466-2022</t>
        </is>
      </c>
      <c r="B83" t="inlineStr">
        <is>
          <t>avverkningsanmälan</t>
        </is>
      </c>
      <c r="C83" t="inlineStr">
        <is>
          <t>Föryngringsavverkning</t>
        </is>
      </c>
      <c r="D83" s="1" t="n">
        <v>44792</v>
      </c>
      <c r="E83" s="1" t="n">
        <v>46223</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46223</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57454-2021</t>
        </is>
      </c>
      <c r="B85" t="inlineStr">
        <is>
          <t>avverkningsanmälan</t>
        </is>
      </c>
      <c r="C85" t="inlineStr">
        <is>
          <t>Avverkning för annat ändamål</t>
        </is>
      </c>
      <c r="D85" s="1" t="n">
        <v>44483</v>
      </c>
      <c r="E85" s="1" t="n">
        <v>46223</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s="2" t="inlineStr"/>
    </row>
    <row r="86" ht="15" customHeight="1">
      <c r="A86" t="inlineStr">
        <is>
          <t>A 45391-2021</t>
        </is>
      </c>
      <c r="B86" t="inlineStr">
        <is>
          <t>avverkningsanmälan</t>
        </is>
      </c>
      <c r="C86" t="inlineStr">
        <is>
          <t>Föryngringsavverkning</t>
        </is>
      </c>
      <c r="D86" s="1" t="n">
        <v>44440</v>
      </c>
      <c r="E86" s="1" t="n">
        <v>46223</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s="2" t="inlineStr"/>
    </row>
    <row r="87" ht="15" customHeight="1">
      <c r="A87" t="inlineStr">
        <is>
          <t>A 71695-2021</t>
        </is>
      </c>
      <c r="B87" t="inlineStr">
        <is>
          <t>avverkningsanmälan</t>
        </is>
      </c>
      <c r="C87" t="inlineStr">
        <is>
          <t>Föryngringsavverkning</t>
        </is>
      </c>
      <c r="D87" s="1" t="n">
        <v>44543</v>
      </c>
      <c r="E87" s="1" t="n">
        <v>46223</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58002-2021</t>
        </is>
      </c>
      <c r="B88" t="inlineStr">
        <is>
          <t>avverkningsanmälan</t>
        </is>
      </c>
      <c r="C88" t="inlineStr">
        <is>
          <t>Föryngringsavverkning</t>
        </is>
      </c>
      <c r="D88" s="1" t="n">
        <v>44487</v>
      </c>
      <c r="E88" s="1" t="n">
        <v>46223</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s="2" t="inlineStr"/>
    </row>
    <row r="89" ht="15" customHeight="1">
      <c r="A89" t="inlineStr">
        <is>
          <t>A 69576-2021</t>
        </is>
      </c>
      <c r="B89" t="inlineStr">
        <is>
          <t>avverkningsanmälan</t>
        </is>
      </c>
      <c r="C89" t="inlineStr">
        <is>
          <t>Föryngringsavverkning</t>
        </is>
      </c>
      <c r="D89" s="1" t="n">
        <v>44532</v>
      </c>
      <c r="E89" s="1" t="n">
        <v>46223</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s="2" t="inlineStr"/>
    </row>
    <row r="90" ht="15" customHeight="1">
      <c r="A90" t="inlineStr">
        <is>
          <t>A 23575-2022</t>
        </is>
      </c>
      <c r="B90" t="inlineStr">
        <is>
          <t>avverkningsanmälan</t>
        </is>
      </c>
      <c r="C90" t="inlineStr">
        <is>
          <t>Föryngringsavverkning</t>
        </is>
      </c>
      <c r="D90" s="1" t="n">
        <v>44721</v>
      </c>
      <c r="E90" s="1" t="n">
        <v>46223</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s="2" t="inlineStr"/>
    </row>
    <row r="91" ht="15" customHeight="1">
      <c r="A91" t="inlineStr">
        <is>
          <t>A 27234-2022</t>
        </is>
      </c>
      <c r="B91" t="inlineStr">
        <is>
          <t>avverkningsanmälan</t>
        </is>
      </c>
      <c r="C91" t="inlineStr">
        <is>
          <t>Föryngringsavverkning</t>
        </is>
      </c>
      <c r="D91" s="1" t="n">
        <v>44741</v>
      </c>
      <c r="E91" s="1" t="n">
        <v>46223</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s="2" t="inlineStr"/>
    </row>
    <row r="92" ht="15" customHeight="1">
      <c r="A92" t="inlineStr">
        <is>
          <t>A 27734-2022</t>
        </is>
      </c>
      <c r="B92" t="inlineStr">
        <is>
          <t>avverkningsanmälan</t>
        </is>
      </c>
      <c r="C92" t="inlineStr">
        <is>
          <t>Föryngringsavverkning</t>
        </is>
      </c>
      <c r="D92" s="1" t="n">
        <v>44743</v>
      </c>
      <c r="E92" s="1" t="n">
        <v>46223</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s="2" t="inlineStr"/>
    </row>
    <row r="93" ht="15" customHeight="1">
      <c r="A93" t="inlineStr">
        <is>
          <t>A 40357-2021</t>
        </is>
      </c>
      <c r="B93" t="inlineStr">
        <is>
          <t>avverkningsanmälan</t>
        </is>
      </c>
      <c r="C93" t="inlineStr">
        <is>
          <t>Föryngringsavverkning</t>
        </is>
      </c>
      <c r="D93" s="1" t="n">
        <v>44419</v>
      </c>
      <c r="E93" s="1" t="n">
        <v>46223</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s="2" t="inlineStr"/>
    </row>
    <row r="94" ht="15" customHeight="1">
      <c r="A94" t="inlineStr">
        <is>
          <t>A 64377-2021</t>
        </is>
      </c>
      <c r="B94" t="inlineStr">
        <is>
          <t>avverkningsanmälan</t>
        </is>
      </c>
      <c r="C94" t="inlineStr">
        <is>
          <t>Föryngringsavverkning</t>
        </is>
      </c>
      <c r="D94" s="1" t="n">
        <v>44511</v>
      </c>
      <c r="E94" s="1" t="n">
        <v>46223</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s="2" t="inlineStr"/>
    </row>
    <row r="95" ht="15" customHeight="1">
      <c r="A95" t="inlineStr">
        <is>
          <t>A 40500-2022</t>
        </is>
      </c>
      <c r="B95" t="inlineStr">
        <is>
          <t>avverkningsanmälan</t>
        </is>
      </c>
      <c r="C95" t="inlineStr">
        <is>
          <t>Föryngringsavverkning</t>
        </is>
      </c>
      <c r="D95" s="1" t="n">
        <v>44819</v>
      </c>
      <c r="E95" s="1" t="n">
        <v>46223</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s="2" t="inlineStr"/>
    </row>
    <row r="96" ht="15" customHeight="1">
      <c r="A96" t="inlineStr">
        <is>
          <t>A 40836-2021</t>
        </is>
      </c>
      <c r="B96" t="inlineStr">
        <is>
          <t>avverkningsanmälan</t>
        </is>
      </c>
      <c r="C96" t="inlineStr">
        <is>
          <t>Föryngringsavverkning</t>
        </is>
      </c>
      <c r="D96" s="1" t="n">
        <v>44421</v>
      </c>
      <c r="E96" s="1" t="n">
        <v>46223</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s="2" t="inlineStr"/>
    </row>
    <row r="97" ht="15" customHeight="1">
      <c r="A97" t="inlineStr">
        <is>
          <t>A 22997-2024</t>
        </is>
      </c>
      <c r="B97" t="inlineStr">
        <is>
          <t>avverkningsanmälan</t>
        </is>
      </c>
      <c r="C97" t="inlineStr">
        <is>
          <t>Föryngringsavverkning</t>
        </is>
      </c>
      <c r="D97" s="1" t="n">
        <v>45450</v>
      </c>
      <c r="E97" s="1" t="n">
        <v>46223</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s="2" t="inlineStr"/>
    </row>
    <row r="98" ht="15" customHeight="1">
      <c r="A98" t="inlineStr">
        <is>
          <t>A 24836-2024</t>
        </is>
      </c>
      <c r="B98" t="inlineStr">
        <is>
          <t>avverkningsanmälan</t>
        </is>
      </c>
      <c r="C98" t="inlineStr">
        <is>
          <t>Föryngringsavverkning</t>
        </is>
      </c>
      <c r="D98" s="1" t="n">
        <v>45461</v>
      </c>
      <c r="E98" s="1" t="n">
        <v>46223</v>
      </c>
      <c r="F98" t="inlineStr">
        <is>
          <t>NORRBOTTENS LÄN</t>
        </is>
      </c>
      <c r="G98" t="inlineStr">
        <is>
          <t>ARVIDSJAUR</t>
        </is>
      </c>
      <c r="H98" t="inlineStr">
        <is>
          <t>Allmännings- och besparingsskogar</t>
        </is>
      </c>
      <c r="I98" t="n">
        <v>2</v>
      </c>
      <c r="J98" t="n">
        <v>0</v>
      </c>
      <c r="K98" t="n">
        <v>0</v>
      </c>
      <c r="L98" t="n">
        <v>0</v>
      </c>
      <c r="M98" t="n">
        <v>0</v>
      </c>
      <c r="N98" t="n">
        <v>0</v>
      </c>
      <c r="O98" t="n">
        <v>0</v>
      </c>
      <c r="P98" t="n">
        <v>0</v>
      </c>
      <c r="Q98" t="n">
        <v>0</v>
      </c>
      <c r="R98" t="n">
        <v>0</v>
      </c>
      <c r="S98" t="n">
        <v>0</v>
      </c>
      <c r="T98" t="n">
        <v>0</v>
      </c>
      <c r="U98" s="2" t="inlineStr"/>
    </row>
    <row r="99" ht="15" customHeight="1">
      <c r="A99" t="inlineStr">
        <is>
          <t>A 38271-2024</t>
        </is>
      </c>
      <c r="B99" t="inlineStr">
        <is>
          <t>avverkningsanmälan</t>
        </is>
      </c>
      <c r="C99" t="inlineStr">
        <is>
          <t>Föryngringsavverkning</t>
        </is>
      </c>
      <c r="D99" s="1" t="n">
        <v>45545</v>
      </c>
      <c r="E99" s="1" t="n">
        <v>46223</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s="2" t="inlineStr"/>
    </row>
    <row r="100" ht="15" customHeight="1">
      <c r="A100" t="inlineStr">
        <is>
          <t>A 45127-2021</t>
        </is>
      </c>
      <c r="B100" t="inlineStr">
        <is>
          <t>avverkningsanmälan</t>
        </is>
      </c>
      <c r="C100" t="inlineStr">
        <is>
          <t>Föryngringsavverkning</t>
        </is>
      </c>
      <c r="D100" s="1" t="n">
        <v>44439</v>
      </c>
      <c r="E100" s="1" t="n">
        <v>46223</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s="2" t="inlineStr"/>
    </row>
    <row r="101" ht="15" customHeight="1">
      <c r="A101" t="inlineStr">
        <is>
          <t>A 54529-2023</t>
        </is>
      </c>
      <c r="B101" t="inlineStr">
        <is>
          <t>avverkningsanmälan</t>
        </is>
      </c>
      <c r="C101" t="inlineStr">
        <is>
          <t>Föryngringsavverkning</t>
        </is>
      </c>
      <c r="D101" s="1" t="n">
        <v>45226</v>
      </c>
      <c r="E101" s="1" t="n">
        <v>46223</v>
      </c>
      <c r="F101" t="inlineStr">
        <is>
          <t>NORRBOTTENS LÄN</t>
        </is>
      </c>
      <c r="G101" t="inlineStr">
        <is>
          <t>ARVIDSJAUR</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2286-2024</t>
        </is>
      </c>
      <c r="B102" t="inlineStr">
        <is>
          <t>avverkningsanmälan</t>
        </is>
      </c>
      <c r="C102" t="inlineStr">
        <is>
          <t>Föryngringsavverkning</t>
        </is>
      </c>
      <c r="D102" s="1" t="n">
        <v>45310</v>
      </c>
      <c r="E102" s="1" t="n">
        <v>46223</v>
      </c>
      <c r="F102" t="inlineStr">
        <is>
          <t>NORRBOTTENS LÄN</t>
        </is>
      </c>
      <c r="G102" t="inlineStr">
        <is>
          <t>ARVIDSJAUR</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51631-2023</t>
        </is>
      </c>
      <c r="B103" t="inlineStr">
        <is>
          <t>avverkningsanmälan</t>
        </is>
      </c>
      <c r="C103" t="inlineStr">
        <is>
          <t>Föryngringsavverkning</t>
        </is>
      </c>
      <c r="D103" s="1" t="n">
        <v>45222</v>
      </c>
      <c r="E103" s="1" t="n">
        <v>46223</v>
      </c>
      <c r="F103" t="inlineStr">
        <is>
          <t>NORRBOTTENS LÄN</t>
        </is>
      </c>
      <c r="G103" t="inlineStr">
        <is>
          <t>ARVIDSJAUR</t>
        </is>
      </c>
      <c r="H103" t="inlineStr">
        <is>
          <t>Sveaskog</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2309-2023</t>
        </is>
      </c>
      <c r="B104" t="inlineStr">
        <is>
          <t>avverkningsanmälan</t>
        </is>
      </c>
      <c r="C104" t="inlineStr">
        <is>
          <t>Föryngringsavverkning</t>
        </is>
      </c>
      <c r="D104" s="1" t="n">
        <v>44942</v>
      </c>
      <c r="E104" s="1" t="n">
        <v>46223</v>
      </c>
      <c r="F104" t="inlineStr">
        <is>
          <t>NORRBOTTENS LÄN</t>
        </is>
      </c>
      <c r="G104" t="inlineStr">
        <is>
          <t>ARVIDSJAUR</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45794-2024</t>
        </is>
      </c>
      <c r="B105" t="inlineStr">
        <is>
          <t>avverkningsanmälan</t>
        </is>
      </c>
      <c r="C105" t="inlineStr">
        <is>
          <t>Föryngringsavverkning</t>
        </is>
      </c>
      <c r="D105" s="1" t="n">
        <v>45579</v>
      </c>
      <c r="E105" s="1" t="n">
        <v>46223</v>
      </c>
      <c r="F105" t="inlineStr">
        <is>
          <t>NORRBOTTENS LÄN</t>
        </is>
      </c>
      <c r="G105" t="inlineStr">
        <is>
          <t>ARVIDSJAUR</t>
        </is>
      </c>
      <c r="H105" t="inlineStr">
        <is>
          <t>Sveaskog</t>
        </is>
      </c>
      <c r="I105" t="n">
        <v>37.7</v>
      </c>
      <c r="J105" t="n">
        <v>0</v>
      </c>
      <c r="K105" t="n">
        <v>0</v>
      </c>
      <c r="L105" t="n">
        <v>0</v>
      </c>
      <c r="M105" t="n">
        <v>0</v>
      </c>
      <c r="N105" t="n">
        <v>0</v>
      </c>
      <c r="O105" t="n">
        <v>0</v>
      </c>
      <c r="P105" t="n">
        <v>0</v>
      </c>
      <c r="Q105" t="n">
        <v>0</v>
      </c>
      <c r="R105" t="n">
        <v>0</v>
      </c>
      <c r="S105" t="n">
        <v>0</v>
      </c>
      <c r="T105" t="n">
        <v>0</v>
      </c>
      <c r="U105" s="2" t="inlineStr"/>
    </row>
    <row r="106" ht="15" customHeight="1">
      <c r="A106" t="inlineStr">
        <is>
          <t>A 27944-2024</t>
        </is>
      </c>
      <c r="B106" t="inlineStr">
        <is>
          <t>avverkningsanmälan</t>
        </is>
      </c>
      <c r="C106" t="inlineStr">
        <is>
          <t>Avverkning för annat ändamål</t>
        </is>
      </c>
      <c r="D106" s="1" t="n">
        <v>45476</v>
      </c>
      <c r="E106" s="1" t="n">
        <v>46223</v>
      </c>
      <c r="F106" t="inlineStr">
        <is>
          <t>NORRBOTTENS LÄN</t>
        </is>
      </c>
      <c r="G106" t="inlineStr">
        <is>
          <t>ARVIDSJAUR</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29681-2024</t>
        </is>
      </c>
      <c r="B107" t="inlineStr">
        <is>
          <t>avverkningsanmälan</t>
        </is>
      </c>
      <c r="C107" t="inlineStr">
        <is>
          <t>Avverkning för att bevara och utveckla /försöksver</t>
        </is>
      </c>
      <c r="D107" s="1" t="n">
        <v>45484</v>
      </c>
      <c r="E107" s="1" t="n">
        <v>46223</v>
      </c>
      <c r="F107" t="inlineStr">
        <is>
          <t>NORRBOTTENS LÄN</t>
        </is>
      </c>
      <c r="G107" t="inlineStr">
        <is>
          <t>ARVIDSJAUR</t>
        </is>
      </c>
      <c r="H107" t="inlineStr">
        <is>
          <t>SCA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31050-2024</t>
        </is>
      </c>
      <c r="B108" t="inlineStr">
        <is>
          <t>avverkningsanmälan</t>
        </is>
      </c>
      <c r="C108" t="inlineStr">
        <is>
          <t>Avverkning för annat ändamål</t>
        </is>
      </c>
      <c r="D108" s="1" t="n">
        <v>45502</v>
      </c>
      <c r="E108" s="1" t="n">
        <v>46223</v>
      </c>
      <c r="F108" t="inlineStr">
        <is>
          <t>NORRBOTTENS LÄN</t>
        </is>
      </c>
      <c r="G108" t="inlineStr">
        <is>
          <t>ARVIDSJAUR</t>
        </is>
      </c>
      <c r="I108" t="n">
        <v>0</v>
      </c>
      <c r="J108" t="n">
        <v>0</v>
      </c>
      <c r="K108" t="n">
        <v>0</v>
      </c>
      <c r="L108" t="n">
        <v>0</v>
      </c>
      <c r="M108" t="n">
        <v>0</v>
      </c>
      <c r="N108" t="n">
        <v>0</v>
      </c>
      <c r="O108" t="n">
        <v>0</v>
      </c>
      <c r="P108" t="n">
        <v>0</v>
      </c>
      <c r="Q108" t="n">
        <v>0</v>
      </c>
      <c r="R108" t="n">
        <v>0</v>
      </c>
      <c r="S108" t="n">
        <v>0</v>
      </c>
      <c r="T108" t="n">
        <v>0</v>
      </c>
      <c r="U108" s="2" t="inlineStr"/>
    </row>
    <row r="109" ht="15" customHeight="1">
      <c r="A109" t="inlineStr">
        <is>
          <t>A 60466-2022</t>
        </is>
      </c>
      <c r="B109" t="inlineStr">
        <is>
          <t>avverkningsanmälan</t>
        </is>
      </c>
      <c r="C109" t="inlineStr">
        <is>
          <t>Föryngringsavverkning</t>
        </is>
      </c>
      <c r="D109" s="1" t="n">
        <v>44911</v>
      </c>
      <c r="E109" s="1" t="n">
        <v>46223</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60516-2022</t>
        </is>
      </c>
      <c r="B110" t="inlineStr">
        <is>
          <t>avverkningsanmälan</t>
        </is>
      </c>
      <c r="C110" t="inlineStr">
        <is>
          <t>Föryngringsavverkning</t>
        </is>
      </c>
      <c r="D110" s="1" t="n">
        <v>44911</v>
      </c>
      <c r="E110" s="1" t="n">
        <v>46223</v>
      </c>
      <c r="F110" t="inlineStr">
        <is>
          <t>NORRBOTTENS LÄN</t>
        </is>
      </c>
      <c r="G110" t="inlineStr">
        <is>
          <t>ARVIDSJAUR</t>
        </is>
      </c>
      <c r="H110" t="inlineStr">
        <is>
          <t>Sveaskog</t>
        </is>
      </c>
      <c r="I110" t="n">
        <v>7.2</v>
      </c>
      <c r="J110" t="n">
        <v>0</v>
      </c>
      <c r="K110" t="n">
        <v>0</v>
      </c>
      <c r="L110" t="n">
        <v>0</v>
      </c>
      <c r="M110" t="n">
        <v>0</v>
      </c>
      <c r="N110" t="n">
        <v>0</v>
      </c>
      <c r="O110" t="n">
        <v>0</v>
      </c>
      <c r="P110" t="n">
        <v>0</v>
      </c>
      <c r="Q110" t="n">
        <v>0</v>
      </c>
      <c r="R110" t="n">
        <v>0</v>
      </c>
      <c r="S110" t="n">
        <v>0</v>
      </c>
      <c r="T110" t="n">
        <v>0</v>
      </c>
      <c r="U110" s="2" t="inlineStr"/>
    </row>
    <row r="111" ht="15" customHeight="1">
      <c r="A111" t="inlineStr">
        <is>
          <t>A 41313-2021</t>
        </is>
      </c>
      <c r="B111" t="inlineStr">
        <is>
          <t>avverkningsanmälan</t>
        </is>
      </c>
      <c r="C111" t="inlineStr">
        <is>
          <t>Föryngringsavverkning</t>
        </is>
      </c>
      <c r="D111" s="1" t="n">
        <v>44424</v>
      </c>
      <c r="E111" s="1" t="n">
        <v>46223</v>
      </c>
      <c r="F111" t="inlineStr">
        <is>
          <t>NORRBOTTENS LÄN</t>
        </is>
      </c>
      <c r="G111" t="inlineStr">
        <is>
          <t>ARVIDSJAUR</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61133-2022</t>
        </is>
      </c>
      <c r="B112" t="inlineStr">
        <is>
          <t>avverkningsanmälan</t>
        </is>
      </c>
      <c r="C112" t="inlineStr">
        <is>
          <t>Föryngringsavverkning</t>
        </is>
      </c>
      <c r="D112" s="1" t="n">
        <v>44915</v>
      </c>
      <c r="E112" s="1" t="n">
        <v>46223</v>
      </c>
      <c r="F112" t="inlineStr">
        <is>
          <t>NORRBOTTENS LÄN</t>
        </is>
      </c>
      <c r="G112" t="inlineStr">
        <is>
          <t>ARVIDSJAUR</t>
        </is>
      </c>
      <c r="H112" t="inlineStr">
        <is>
          <t>Sveaskog</t>
        </is>
      </c>
      <c r="I112" t="n">
        <v>7.6</v>
      </c>
      <c r="J112" t="n">
        <v>0</v>
      </c>
      <c r="K112" t="n">
        <v>0</v>
      </c>
      <c r="L112" t="n">
        <v>0</v>
      </c>
      <c r="M112" t="n">
        <v>0</v>
      </c>
      <c r="N112" t="n">
        <v>0</v>
      </c>
      <c r="O112" t="n">
        <v>0</v>
      </c>
      <c r="P112" t="n">
        <v>0</v>
      </c>
      <c r="Q112" t="n">
        <v>0</v>
      </c>
      <c r="R112" t="n">
        <v>0</v>
      </c>
      <c r="S112" t="n">
        <v>0</v>
      </c>
      <c r="T112" t="n">
        <v>0</v>
      </c>
      <c r="U112" s="2" t="inlineStr"/>
    </row>
    <row r="113" ht="15" customHeight="1">
      <c r="A113" t="inlineStr">
        <is>
          <t>A 36815-2024</t>
        </is>
      </c>
      <c r="B113" t="inlineStr">
        <is>
          <t>avverkningsanmälan</t>
        </is>
      </c>
      <c r="C113" t="inlineStr">
        <is>
          <t>Föryngringsavverkning</t>
        </is>
      </c>
      <c r="D113" s="1" t="n">
        <v>45538</v>
      </c>
      <c r="E113" s="1" t="n">
        <v>46223</v>
      </c>
      <c r="F113" t="inlineStr">
        <is>
          <t>NORRBOTTENS LÄN</t>
        </is>
      </c>
      <c r="G113" t="inlineStr">
        <is>
          <t>ARVIDSJAUR</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27742-2024</t>
        </is>
      </c>
      <c r="B114" t="inlineStr">
        <is>
          <t>avverkningsanmälan</t>
        </is>
      </c>
      <c r="C114" t="inlineStr">
        <is>
          <t>Föryngringsavverkning</t>
        </is>
      </c>
      <c r="D114" s="1" t="n">
        <v>45475</v>
      </c>
      <c r="E114" s="1" t="n">
        <v>46223</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s="2" t="inlineStr"/>
    </row>
    <row r="115" ht="15" customHeight="1">
      <c r="A115" t="inlineStr">
        <is>
          <t>A 33084-2024</t>
        </is>
      </c>
      <c r="B115" t="inlineStr">
        <is>
          <t>avverkningsanmälan</t>
        </is>
      </c>
      <c r="C115" t="inlineStr">
        <is>
          <t>Föryngringsavverkning</t>
        </is>
      </c>
      <c r="D115" s="1" t="n">
        <v>45517</v>
      </c>
      <c r="E115" s="1" t="n">
        <v>46223</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2392-2025</t>
        </is>
      </c>
      <c r="B116" t="inlineStr">
        <is>
          <t>avverkningsanmälan</t>
        </is>
      </c>
      <c r="C116" t="inlineStr">
        <is>
          <t>Avverkning för annat ändamål</t>
        </is>
      </c>
      <c r="D116" s="1" t="n">
        <v>45674</v>
      </c>
      <c r="E116" s="1" t="n">
        <v>46223</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26217-2025</t>
        </is>
      </c>
      <c r="B117" t="inlineStr">
        <is>
          <t>avverkningsanmälan</t>
        </is>
      </c>
      <c r="C117" t="inlineStr">
        <is>
          <t>Föryngringsavverkning</t>
        </is>
      </c>
      <c r="D117" s="1" t="n">
        <v>45805</v>
      </c>
      <c r="E117" s="1" t="n">
        <v>46223</v>
      </c>
      <c r="F117" t="inlineStr">
        <is>
          <t>NORRBOTTENS LÄN</t>
        </is>
      </c>
      <c r="G117" t="inlineStr">
        <is>
          <t>ARVIDSJAUR</t>
        </is>
      </c>
      <c r="H117" t="inlineStr">
        <is>
          <t>Sveaskog</t>
        </is>
      </c>
      <c r="I117" t="n">
        <v>9.5</v>
      </c>
      <c r="J117" t="n">
        <v>0</v>
      </c>
      <c r="K117" t="n">
        <v>0</v>
      </c>
      <c r="L117" t="n">
        <v>0</v>
      </c>
      <c r="M117" t="n">
        <v>0</v>
      </c>
      <c r="N117" t="n">
        <v>0</v>
      </c>
      <c r="O117" t="n">
        <v>0</v>
      </c>
      <c r="P117" t="n">
        <v>0</v>
      </c>
      <c r="Q117" t="n">
        <v>0</v>
      </c>
      <c r="R117" t="n">
        <v>0</v>
      </c>
      <c r="S117" t="n">
        <v>0</v>
      </c>
      <c r="T117" t="n">
        <v>0</v>
      </c>
      <c r="U117" s="2" t="inlineStr"/>
    </row>
    <row r="118" ht="15" customHeight="1">
      <c r="A118" t="inlineStr">
        <is>
          <t>A 48363-2024</t>
        </is>
      </c>
      <c r="B118" t="inlineStr">
        <is>
          <t>avverkningsanmälan</t>
        </is>
      </c>
      <c r="C118" t="inlineStr">
        <is>
          <t>Föryngringsavverkning</t>
        </is>
      </c>
      <c r="D118" s="1" t="n">
        <v>45590</v>
      </c>
      <c r="E118" s="1" t="n">
        <v>46223</v>
      </c>
      <c r="F118" t="inlineStr">
        <is>
          <t>NORRBOTTENS LÄN</t>
        </is>
      </c>
      <c r="G118" t="inlineStr">
        <is>
          <t>ARVIDSJAUR</t>
        </is>
      </c>
      <c r="H118" t="inlineStr">
        <is>
          <t>Sveaskog</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37789-2025</t>
        </is>
      </c>
      <c r="B119" t="inlineStr">
        <is>
          <t>avverkningsanmälan</t>
        </is>
      </c>
      <c r="C119" t="inlineStr">
        <is>
          <t>Föryngringsavverkning</t>
        </is>
      </c>
      <c r="D119" s="1" t="n">
        <v>45881</v>
      </c>
      <c r="E119" s="1" t="n">
        <v>46223</v>
      </c>
      <c r="F119" t="inlineStr">
        <is>
          <t>NORRBOTTENS LÄN</t>
        </is>
      </c>
      <c r="G119" t="inlineStr">
        <is>
          <t>ARVIDSJAUR</t>
        </is>
      </c>
      <c r="H119" t="inlineStr">
        <is>
          <t>Sveaskog</t>
        </is>
      </c>
      <c r="I119" t="n">
        <v>6.9</v>
      </c>
      <c r="J119" t="n">
        <v>0</v>
      </c>
      <c r="K119" t="n">
        <v>0</v>
      </c>
      <c r="L119" t="n">
        <v>0</v>
      </c>
      <c r="M119" t="n">
        <v>0</v>
      </c>
      <c r="N119" t="n">
        <v>0</v>
      </c>
      <c r="O119" t="n">
        <v>0</v>
      </c>
      <c r="P119" t="n">
        <v>0</v>
      </c>
      <c r="Q119" t="n">
        <v>0</v>
      </c>
      <c r="R119" t="n">
        <v>0</v>
      </c>
      <c r="S119" t="n">
        <v>0</v>
      </c>
      <c r="T119" t="n">
        <v>0</v>
      </c>
      <c r="U119" s="2" t="inlineStr"/>
    </row>
    <row r="120" ht="15" customHeight="1">
      <c r="A120" t="inlineStr">
        <is>
          <t>A 26211-2025</t>
        </is>
      </c>
      <c r="B120" t="inlineStr">
        <is>
          <t>avverkningsanmälan</t>
        </is>
      </c>
      <c r="C120" t="inlineStr">
        <is>
          <t>Föryngringsavverkning</t>
        </is>
      </c>
      <c r="D120" s="1" t="n">
        <v>45805</v>
      </c>
      <c r="E120" s="1" t="n">
        <v>46223</v>
      </c>
      <c r="F120" t="inlineStr">
        <is>
          <t>NORRBOTTENS LÄN</t>
        </is>
      </c>
      <c r="G120" t="inlineStr">
        <is>
          <t>ARVIDSJAUR</t>
        </is>
      </c>
      <c r="H120" t="inlineStr">
        <is>
          <t>Sveaskog</t>
        </is>
      </c>
      <c r="I120" t="n">
        <v>8.199999999999999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26218-2025</t>
        </is>
      </c>
      <c r="B121" t="inlineStr">
        <is>
          <t>avverkningsanmälan</t>
        </is>
      </c>
      <c r="C121" t="inlineStr">
        <is>
          <t>Föryngringsavverkning</t>
        </is>
      </c>
      <c r="D121" s="1" t="n">
        <v>45805</v>
      </c>
      <c r="E121" s="1" t="n">
        <v>46223</v>
      </c>
      <c r="F121" t="inlineStr">
        <is>
          <t>NORRBOTTENS LÄN</t>
        </is>
      </c>
      <c r="G121" t="inlineStr">
        <is>
          <t>ARVIDSJAUR</t>
        </is>
      </c>
      <c r="H121" t="inlineStr">
        <is>
          <t>Sveaskog</t>
        </is>
      </c>
      <c r="I121" t="n">
        <v>6.6</v>
      </c>
      <c r="J121" t="n">
        <v>0</v>
      </c>
      <c r="K121" t="n">
        <v>0</v>
      </c>
      <c r="L121" t="n">
        <v>0</v>
      </c>
      <c r="M121" t="n">
        <v>0</v>
      </c>
      <c r="N121" t="n">
        <v>0</v>
      </c>
      <c r="O121" t="n">
        <v>0</v>
      </c>
      <c r="P121" t="n">
        <v>0</v>
      </c>
      <c r="Q121" t="n">
        <v>0</v>
      </c>
      <c r="R121" t="n">
        <v>0</v>
      </c>
      <c r="S121" t="n">
        <v>0</v>
      </c>
      <c r="T121" t="n">
        <v>0</v>
      </c>
      <c r="U121" s="2" t="inlineStr"/>
    </row>
    <row r="122" ht="15" customHeight="1">
      <c r="A122" t="inlineStr">
        <is>
          <t>A 20403-2022</t>
        </is>
      </c>
      <c r="B122" t="inlineStr">
        <is>
          <t>avverkningsanmälan</t>
        </is>
      </c>
      <c r="C122" t="inlineStr">
        <is>
          <t>Föryngringsavverkning</t>
        </is>
      </c>
      <c r="D122" s="1" t="n">
        <v>44699</v>
      </c>
      <c r="E122" s="1" t="n">
        <v>46223</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46181-2021</t>
        </is>
      </c>
      <c r="B123" t="inlineStr">
        <is>
          <t>avverkningsanmälan</t>
        </is>
      </c>
      <c r="C123" t="inlineStr">
        <is>
          <t>Föryngringsavverkning</t>
        </is>
      </c>
      <c r="D123" s="1" t="n">
        <v>44441</v>
      </c>
      <c r="E123" s="1" t="n">
        <v>46223</v>
      </c>
      <c r="F123" t="inlineStr">
        <is>
          <t>NORRBOTTENS LÄN</t>
        </is>
      </c>
      <c r="G123" t="inlineStr">
        <is>
          <t>ARVIDSJAUR</t>
        </is>
      </c>
      <c r="I123" t="n">
        <v>6.5</v>
      </c>
      <c r="J123" t="n">
        <v>0</v>
      </c>
      <c r="K123" t="n">
        <v>0</v>
      </c>
      <c r="L123" t="n">
        <v>0</v>
      </c>
      <c r="M123" t="n">
        <v>0</v>
      </c>
      <c r="N123" t="n">
        <v>0</v>
      </c>
      <c r="O123" t="n">
        <v>0</v>
      </c>
      <c r="P123" t="n">
        <v>0</v>
      </c>
      <c r="Q123" t="n">
        <v>0</v>
      </c>
      <c r="R123" t="n">
        <v>0</v>
      </c>
      <c r="S123" t="n">
        <v>0</v>
      </c>
      <c r="T123" t="n">
        <v>0</v>
      </c>
      <c r="U123" s="2" t="inlineStr"/>
    </row>
    <row r="124" ht="15" customHeight="1">
      <c r="A124" t="inlineStr">
        <is>
          <t>A 26213-2025</t>
        </is>
      </c>
      <c r="B124" t="inlineStr">
        <is>
          <t>avverkningsanmälan</t>
        </is>
      </c>
      <c r="C124" t="inlineStr">
        <is>
          <t>Föryngringsavverkning</t>
        </is>
      </c>
      <c r="D124" s="1" t="n">
        <v>45805</v>
      </c>
      <c r="E124" s="1" t="n">
        <v>46223</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s="2" t="inlineStr"/>
    </row>
    <row r="125" ht="15" customHeight="1">
      <c r="A125" t="inlineStr">
        <is>
          <t>A 26214-2025</t>
        </is>
      </c>
      <c r="B125" t="inlineStr">
        <is>
          <t>avverkningsanmälan</t>
        </is>
      </c>
      <c r="C125" t="inlineStr">
        <is>
          <t>Föryngringsavverkning</t>
        </is>
      </c>
      <c r="D125" s="1" t="n">
        <v>45805</v>
      </c>
      <c r="E125" s="1" t="n">
        <v>46223</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36417-2022</t>
        </is>
      </c>
      <c r="B126" t="inlineStr">
        <is>
          <t>avverkningsanmälan</t>
        </is>
      </c>
      <c r="C126" t="inlineStr">
        <is>
          <t>Föryngringsavverkning</t>
        </is>
      </c>
      <c r="D126" s="1" t="n">
        <v>44804</v>
      </c>
      <c r="E126" s="1" t="n">
        <v>46223</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11542-2025</t>
        </is>
      </c>
      <c r="B127" t="inlineStr">
        <is>
          <t>avverkningsanmälan</t>
        </is>
      </c>
      <c r="C127" t="inlineStr">
        <is>
          <t>Föryngringsavverkning</t>
        </is>
      </c>
      <c r="D127" s="1" t="n">
        <v>45726</v>
      </c>
      <c r="E127" s="1" t="n">
        <v>46223</v>
      </c>
      <c r="F127" t="inlineStr">
        <is>
          <t>NORRBOTTENS LÄN</t>
        </is>
      </c>
      <c r="G127" t="inlineStr">
        <is>
          <t>ARVIDSJAUR</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s="2" t="inlineStr"/>
    </row>
    <row r="128" ht="15" customHeight="1">
      <c r="A128" t="inlineStr">
        <is>
          <t>A 60888-2021</t>
        </is>
      </c>
      <c r="B128" t="inlineStr">
        <is>
          <t>avverkningsanmälan</t>
        </is>
      </c>
      <c r="C128" t="inlineStr">
        <is>
          <t>Avverkning för annat ändamål</t>
        </is>
      </c>
      <c r="D128" s="1" t="n">
        <v>44497</v>
      </c>
      <c r="E128" s="1" t="n">
        <v>46223</v>
      </c>
      <c r="F128" t="inlineStr">
        <is>
          <t>NORRBOTTENS LÄN</t>
        </is>
      </c>
      <c r="G128" t="inlineStr">
        <is>
          <t>ARVIDSJAUR</t>
        </is>
      </c>
      <c r="H128" t="inlineStr">
        <is>
          <t>Sveaskog</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60888-2021</t>
        </is>
      </c>
      <c r="B129" t="inlineStr">
        <is>
          <t>avverkningsanmälan</t>
        </is>
      </c>
      <c r="C129" t="inlineStr">
        <is>
          <t>Avverkning för annat ändamål</t>
        </is>
      </c>
      <c r="D129" s="1" t="n">
        <v>44497</v>
      </c>
      <c r="E129" s="1" t="n">
        <v>46223</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s="2" t="inlineStr"/>
    </row>
    <row r="130" ht="15" customHeight="1">
      <c r="A130" t="inlineStr">
        <is>
          <t>A 50303-2022</t>
        </is>
      </c>
      <c r="B130" t="inlineStr">
        <is>
          <t>avverkningsanmälan</t>
        </is>
      </c>
      <c r="C130" t="inlineStr">
        <is>
          <t>Föryngringsavverkning</t>
        </is>
      </c>
      <c r="D130" s="1" t="n">
        <v>44865</v>
      </c>
      <c r="E130" s="1" t="n">
        <v>46223</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4934-2024</t>
        </is>
      </c>
      <c r="B131" t="inlineStr">
        <is>
          <t>avverkningsanmälan</t>
        </is>
      </c>
      <c r="C131" t="inlineStr">
        <is>
          <t>Avverkning för annat ändamål</t>
        </is>
      </c>
      <c r="D131" s="1" t="n">
        <v>45329</v>
      </c>
      <c r="E131" s="1" t="n">
        <v>46223</v>
      </c>
      <c r="F131" t="inlineStr">
        <is>
          <t>NORRBOTTENS LÄN</t>
        </is>
      </c>
      <c r="G131" t="inlineStr">
        <is>
          <t>ARVIDSJAUR</t>
        </is>
      </c>
      <c r="H131" t="inlineStr">
        <is>
          <t>Sveaskog</t>
        </is>
      </c>
      <c r="I131" t="n">
        <v>3.3</v>
      </c>
      <c r="J131" t="n">
        <v>0</v>
      </c>
      <c r="K131" t="n">
        <v>0</v>
      </c>
      <c r="L131" t="n">
        <v>0</v>
      </c>
      <c r="M131" t="n">
        <v>0</v>
      </c>
      <c r="N131" t="n">
        <v>0</v>
      </c>
      <c r="O131" t="n">
        <v>0</v>
      </c>
      <c r="P131" t="n">
        <v>0</v>
      </c>
      <c r="Q131" t="n">
        <v>0</v>
      </c>
      <c r="R131" t="n">
        <v>0</v>
      </c>
      <c r="S131" t="n">
        <v>0</v>
      </c>
      <c r="T131" t="n">
        <v>0</v>
      </c>
      <c r="U131" s="2" t="inlineStr"/>
    </row>
    <row r="132" ht="15" customHeight="1">
      <c r="A132" t="inlineStr">
        <is>
          <t>A 28353-2025</t>
        </is>
      </c>
      <c r="B132" t="inlineStr">
        <is>
          <t>avverkningsanmälan</t>
        </is>
      </c>
      <c r="C132" t="inlineStr">
        <is>
          <t>Föryngringsavverkning</t>
        </is>
      </c>
      <c r="D132" s="1" t="n">
        <v>45818</v>
      </c>
      <c r="E132" s="1" t="n">
        <v>46223</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39006-2025</t>
        </is>
      </c>
      <c r="B133" t="inlineStr">
        <is>
          <t>avverkningsanmälan</t>
        </is>
      </c>
      <c r="C133" t="inlineStr">
        <is>
          <t>Föryngringsavverkning</t>
        </is>
      </c>
      <c r="D133" s="1" t="n">
        <v>45888</v>
      </c>
      <c r="E133" s="1" t="n">
        <v>46223</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10130-2024</t>
        </is>
      </c>
      <c r="B134" t="inlineStr">
        <is>
          <t>avverkningsanmälan</t>
        </is>
      </c>
      <c r="C134" t="inlineStr">
        <is>
          <t>Föryngringsavverkning</t>
        </is>
      </c>
      <c r="D134" s="1" t="n">
        <v>45364</v>
      </c>
      <c r="E134" s="1" t="n">
        <v>46223</v>
      </c>
      <c r="F134" t="inlineStr">
        <is>
          <t>NORRBOTTENS LÄN</t>
        </is>
      </c>
      <c r="G134" t="inlineStr">
        <is>
          <t>ARVIDSJAUR</t>
        </is>
      </c>
      <c r="H134" t="inlineStr">
        <is>
          <t>Sveaskog</t>
        </is>
      </c>
      <c r="I134" t="n">
        <v>22.5</v>
      </c>
      <c r="J134" t="n">
        <v>0</v>
      </c>
      <c r="K134" t="n">
        <v>0</v>
      </c>
      <c r="L134" t="n">
        <v>0</v>
      </c>
      <c r="M134" t="n">
        <v>0</v>
      </c>
      <c r="N134" t="n">
        <v>0</v>
      </c>
      <c r="O134" t="n">
        <v>0</v>
      </c>
      <c r="P134" t="n">
        <v>0</v>
      </c>
      <c r="Q134" t="n">
        <v>0</v>
      </c>
      <c r="R134" t="n">
        <v>0</v>
      </c>
      <c r="S134" t="n">
        <v>0</v>
      </c>
      <c r="T134" t="n">
        <v>0</v>
      </c>
      <c r="U134" s="2" t="inlineStr"/>
    </row>
    <row r="135" ht="15" customHeight="1">
      <c r="A135" t="inlineStr">
        <is>
          <t>A 28892-2025</t>
        </is>
      </c>
      <c r="B135" t="inlineStr">
        <is>
          <t>avverkningsanmälan</t>
        </is>
      </c>
      <c r="C135" t="inlineStr">
        <is>
          <t>Föryngringsavverkning</t>
        </is>
      </c>
      <c r="D135" s="1" t="n">
        <v>45820</v>
      </c>
      <c r="E135" s="1" t="n">
        <v>46223</v>
      </c>
      <c r="F135" t="inlineStr">
        <is>
          <t>NORRBOTTENS LÄN</t>
        </is>
      </c>
      <c r="G135" t="inlineStr">
        <is>
          <t>ARVIDSJAUR</t>
        </is>
      </c>
      <c r="H135" t="inlineStr">
        <is>
          <t>Sveaskog</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39584-2025</t>
        </is>
      </c>
      <c r="B136" t="inlineStr">
        <is>
          <t>avverkningsanmälan</t>
        </is>
      </c>
      <c r="C136" t="inlineStr">
        <is>
          <t>Avverkning för annat ändamål</t>
        </is>
      </c>
      <c r="D136" s="1" t="n">
        <v>45890</v>
      </c>
      <c r="E136" s="1" t="n">
        <v>46223</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49141-2022</t>
        </is>
      </c>
      <c r="B137" t="inlineStr">
        <is>
          <t>avverkningsanmälan</t>
        </is>
      </c>
      <c r="C137" t="inlineStr">
        <is>
          <t>Föryngringsavverkning</t>
        </is>
      </c>
      <c r="D137" s="1" t="n">
        <v>44860</v>
      </c>
      <c r="E137" s="1" t="n">
        <v>46223</v>
      </c>
      <c r="F137" t="inlineStr">
        <is>
          <t>NORRBOTTENS LÄN</t>
        </is>
      </c>
      <c r="G137" t="inlineStr">
        <is>
          <t>ARVIDSJAUR</t>
        </is>
      </c>
      <c r="I137" t="n">
        <v>4</v>
      </c>
      <c r="J137" t="n">
        <v>0</v>
      </c>
      <c r="K137" t="n">
        <v>0</v>
      </c>
      <c r="L137" t="n">
        <v>0</v>
      </c>
      <c r="M137" t="n">
        <v>0</v>
      </c>
      <c r="N137" t="n">
        <v>0</v>
      </c>
      <c r="O137" t="n">
        <v>0</v>
      </c>
      <c r="P137" t="n">
        <v>0</v>
      </c>
      <c r="Q137" t="n">
        <v>0</v>
      </c>
      <c r="R137" t="n">
        <v>0</v>
      </c>
      <c r="S137" t="n">
        <v>0</v>
      </c>
      <c r="T137" t="n">
        <v>0</v>
      </c>
      <c r="U137" s="2" t="inlineStr"/>
    </row>
    <row r="138" ht="15" customHeight="1">
      <c r="A138" t="inlineStr">
        <is>
          <t>A 39402-2025</t>
        </is>
      </c>
      <c r="B138" t="inlineStr">
        <is>
          <t>avverkningsanmälan</t>
        </is>
      </c>
      <c r="C138" t="inlineStr">
        <is>
          <t>Avverkning för annat ändamål</t>
        </is>
      </c>
      <c r="D138" s="1" t="n">
        <v>45889</v>
      </c>
      <c r="E138" s="1" t="n">
        <v>46223</v>
      </c>
      <c r="F138" t="inlineStr">
        <is>
          <t>NORRBOTTENS LÄN</t>
        </is>
      </c>
      <c r="G138" t="inlineStr">
        <is>
          <t>ARVIDSJAUR</t>
        </is>
      </c>
      <c r="H138" t="inlineStr">
        <is>
          <t>Sveaskog</t>
        </is>
      </c>
      <c r="I138" t="n">
        <v>5.1</v>
      </c>
      <c r="J138" t="n">
        <v>0</v>
      </c>
      <c r="K138" t="n">
        <v>0</v>
      </c>
      <c r="L138" t="n">
        <v>0</v>
      </c>
      <c r="M138" t="n">
        <v>0</v>
      </c>
      <c r="N138" t="n">
        <v>0</v>
      </c>
      <c r="O138" t="n">
        <v>0</v>
      </c>
      <c r="P138" t="n">
        <v>0</v>
      </c>
      <c r="Q138" t="n">
        <v>0</v>
      </c>
      <c r="R138" t="n">
        <v>0</v>
      </c>
      <c r="S138" t="n">
        <v>0</v>
      </c>
      <c r="T138" t="n">
        <v>0</v>
      </c>
      <c r="U138" s="2" t="inlineStr"/>
    </row>
    <row r="139" ht="15" customHeight="1">
      <c r="A139" t="inlineStr">
        <is>
          <t>A 39397-2025</t>
        </is>
      </c>
      <c r="B139" t="inlineStr">
        <is>
          <t>avverkningsanmälan</t>
        </is>
      </c>
      <c r="C139" t="inlineStr">
        <is>
          <t>Avverkning för annat ändamål</t>
        </is>
      </c>
      <c r="D139" s="1" t="n">
        <v>45889</v>
      </c>
      <c r="E139" s="1" t="n">
        <v>46223</v>
      </c>
      <c r="F139" t="inlineStr">
        <is>
          <t>NORRBOTTENS LÄN</t>
        </is>
      </c>
      <c r="G139" t="inlineStr">
        <is>
          <t>ARVIDSJAUR</t>
        </is>
      </c>
      <c r="H139" t="inlineStr">
        <is>
          <t>Sveaskog</t>
        </is>
      </c>
      <c r="I139" t="n">
        <v>9.9</v>
      </c>
      <c r="J139" t="n">
        <v>0</v>
      </c>
      <c r="K139" t="n">
        <v>0</v>
      </c>
      <c r="L139" t="n">
        <v>0</v>
      </c>
      <c r="M139" t="n">
        <v>0</v>
      </c>
      <c r="N139" t="n">
        <v>0</v>
      </c>
      <c r="O139" t="n">
        <v>0</v>
      </c>
      <c r="P139" t="n">
        <v>0</v>
      </c>
      <c r="Q139" t="n">
        <v>0</v>
      </c>
      <c r="R139" t="n">
        <v>0</v>
      </c>
      <c r="S139" t="n">
        <v>0</v>
      </c>
      <c r="T139" t="n">
        <v>0</v>
      </c>
      <c r="U139" s="2" t="inlineStr"/>
    </row>
    <row r="140" ht="15" customHeight="1">
      <c r="A140" t="inlineStr">
        <is>
          <t>A 29518-2025</t>
        </is>
      </c>
      <c r="B140" t="inlineStr">
        <is>
          <t>avverkningsanmälan</t>
        </is>
      </c>
      <c r="C140" t="inlineStr">
        <is>
          <t>Föryngringsavverkning</t>
        </is>
      </c>
      <c r="D140" s="1" t="n">
        <v>45825</v>
      </c>
      <c r="E140" s="1" t="n">
        <v>46223</v>
      </c>
      <c r="F140" t="inlineStr">
        <is>
          <t>NORRBOTTENS LÄN</t>
        </is>
      </c>
      <c r="G140" t="inlineStr">
        <is>
          <t>ARVIDSJAUR</t>
        </is>
      </c>
      <c r="H140" t="inlineStr">
        <is>
          <t>Sveaskog</t>
        </is>
      </c>
      <c r="I140" t="n">
        <v>13.3</v>
      </c>
      <c r="J140" t="n">
        <v>0</v>
      </c>
      <c r="K140" t="n">
        <v>0</v>
      </c>
      <c r="L140" t="n">
        <v>0</v>
      </c>
      <c r="M140" t="n">
        <v>0</v>
      </c>
      <c r="N140" t="n">
        <v>0</v>
      </c>
      <c r="O140" t="n">
        <v>0</v>
      </c>
      <c r="P140" t="n">
        <v>0</v>
      </c>
      <c r="Q140" t="n">
        <v>0</v>
      </c>
      <c r="R140" t="n">
        <v>0</v>
      </c>
      <c r="S140" t="n">
        <v>0</v>
      </c>
      <c r="T140" t="n">
        <v>0</v>
      </c>
      <c r="U140" s="2" t="inlineStr"/>
    </row>
    <row r="141" ht="15" customHeight="1">
      <c r="A141" t="inlineStr">
        <is>
          <t>A 4315-2026</t>
        </is>
      </c>
      <c r="B141" t="inlineStr">
        <is>
          <t>avverkningsanmälan</t>
        </is>
      </c>
      <c r="C141" t="inlineStr">
        <is>
          <t>Föryngringsavverkning</t>
        </is>
      </c>
      <c r="D141" s="1" t="n">
        <v>46045</v>
      </c>
      <c r="E141" s="1" t="n">
        <v>46223</v>
      </c>
      <c r="F141" t="inlineStr">
        <is>
          <t>NORRBOTTENS LÄN</t>
        </is>
      </c>
      <c r="G141" t="inlineStr">
        <is>
          <t>ARVIDSJAUR</t>
        </is>
      </c>
      <c r="I141" t="n">
        <v>14.7</v>
      </c>
      <c r="J141" t="n">
        <v>0</v>
      </c>
      <c r="K141" t="n">
        <v>0</v>
      </c>
      <c r="L141" t="n">
        <v>0</v>
      </c>
      <c r="M141" t="n">
        <v>0</v>
      </c>
      <c r="N141" t="n">
        <v>0</v>
      </c>
      <c r="O141" t="n">
        <v>0</v>
      </c>
      <c r="P141" t="n">
        <v>0</v>
      </c>
      <c r="Q141" t="n">
        <v>0</v>
      </c>
      <c r="R141" t="n">
        <v>0</v>
      </c>
      <c r="S141" t="n">
        <v>0</v>
      </c>
      <c r="T141" t="n">
        <v>0</v>
      </c>
      <c r="U141" s="2" t="inlineStr"/>
    </row>
    <row r="142" ht="15" customHeight="1">
      <c r="A142" t="inlineStr">
        <is>
          <t>A 29504-2025</t>
        </is>
      </c>
      <c r="B142" t="inlineStr">
        <is>
          <t>avverkningsanmälan</t>
        </is>
      </c>
      <c r="C142" t="inlineStr">
        <is>
          <t>Avverkning för annat ändamål</t>
        </is>
      </c>
      <c r="D142" s="1" t="n">
        <v>45825</v>
      </c>
      <c r="E142" s="1" t="n">
        <v>46223</v>
      </c>
      <c r="F142" t="inlineStr">
        <is>
          <t>NORRBOTTENS LÄN</t>
        </is>
      </c>
      <c r="G142" t="inlineStr">
        <is>
          <t>ARVIDSJAUR</t>
        </is>
      </c>
      <c r="H142" t="inlineStr">
        <is>
          <t>Sveaskog</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29516-2025</t>
        </is>
      </c>
      <c r="B143" t="inlineStr">
        <is>
          <t>avverkningsanmälan</t>
        </is>
      </c>
      <c r="C143" t="inlineStr">
        <is>
          <t>Föryngringsavverkning</t>
        </is>
      </c>
      <c r="D143" s="1" t="n">
        <v>45825</v>
      </c>
      <c r="E143" s="1" t="n">
        <v>46223</v>
      </c>
      <c r="F143" t="inlineStr">
        <is>
          <t>NORRBOTTENS LÄN</t>
        </is>
      </c>
      <c r="G143" t="inlineStr">
        <is>
          <t>ARVIDSJAUR</t>
        </is>
      </c>
      <c r="H143" t="inlineStr">
        <is>
          <t>Sveaskog</t>
        </is>
      </c>
      <c r="I143" t="n">
        <v>17.1</v>
      </c>
      <c r="J143" t="n">
        <v>0</v>
      </c>
      <c r="K143" t="n">
        <v>0</v>
      </c>
      <c r="L143" t="n">
        <v>0</v>
      </c>
      <c r="M143" t="n">
        <v>0</v>
      </c>
      <c r="N143" t="n">
        <v>0</v>
      </c>
      <c r="O143" t="n">
        <v>0</v>
      </c>
      <c r="P143" t="n">
        <v>0</v>
      </c>
      <c r="Q143" t="n">
        <v>0</v>
      </c>
      <c r="R143" t="n">
        <v>0</v>
      </c>
      <c r="S143" t="n">
        <v>0</v>
      </c>
      <c r="T143" t="n">
        <v>0</v>
      </c>
      <c r="U143" s="2" t="inlineStr"/>
    </row>
    <row r="144" ht="15" customHeight="1">
      <c r="A144" t="inlineStr">
        <is>
          <t>A 30383-2025</t>
        </is>
      </c>
      <c r="B144" t="inlineStr">
        <is>
          <t>avverkningsanmälan</t>
        </is>
      </c>
      <c r="C144" t="inlineStr">
        <is>
          <t>Föryngringsavverkning</t>
        </is>
      </c>
      <c r="D144" s="1" t="n">
        <v>45827</v>
      </c>
      <c r="E144" s="1" t="n">
        <v>46223</v>
      </c>
      <c r="F144" t="inlineStr">
        <is>
          <t>NORRBOTTENS LÄN</t>
        </is>
      </c>
      <c r="G144" t="inlineStr">
        <is>
          <t>ARVIDSJAUR</t>
        </is>
      </c>
      <c r="I144" t="n">
        <v>20</v>
      </c>
      <c r="J144" t="n">
        <v>0</v>
      </c>
      <c r="K144" t="n">
        <v>0</v>
      </c>
      <c r="L144" t="n">
        <v>0</v>
      </c>
      <c r="M144" t="n">
        <v>0</v>
      </c>
      <c r="N144" t="n">
        <v>0</v>
      </c>
      <c r="O144" t="n">
        <v>0</v>
      </c>
      <c r="P144" t="n">
        <v>0</v>
      </c>
      <c r="Q144" t="n">
        <v>0</v>
      </c>
      <c r="R144" t="n">
        <v>0</v>
      </c>
      <c r="S144" t="n">
        <v>0</v>
      </c>
      <c r="T144" t="n">
        <v>0</v>
      </c>
      <c r="U144" s="2" t="inlineStr"/>
    </row>
    <row r="145" ht="15" customHeight="1">
      <c r="A145" t="inlineStr">
        <is>
          <t>A 4303-2026</t>
        </is>
      </c>
      <c r="B145" t="inlineStr">
        <is>
          <t>avverkningsanmälan</t>
        </is>
      </c>
      <c r="C145" t="inlineStr">
        <is>
          <t>Föryngringsavverkning</t>
        </is>
      </c>
      <c r="D145" s="1" t="n">
        <v>46045</v>
      </c>
      <c r="E145" s="1" t="n">
        <v>46223</v>
      </c>
      <c r="F145" t="inlineStr">
        <is>
          <t>NORRBOTTENS LÄN</t>
        </is>
      </c>
      <c r="G145" t="inlineStr">
        <is>
          <t>ARVIDSJAUR</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41659-2024</t>
        </is>
      </c>
      <c r="B146" t="inlineStr">
        <is>
          <t>avverkningsanmälan</t>
        </is>
      </c>
      <c r="C146" t="inlineStr">
        <is>
          <t>Avverkning för annat ändamål</t>
        </is>
      </c>
      <c r="D146" s="1" t="n">
        <v>45560</v>
      </c>
      <c r="E146" s="1" t="n">
        <v>46223</v>
      </c>
      <c r="F146" t="inlineStr">
        <is>
          <t>NORRBOTTENS LÄN</t>
        </is>
      </c>
      <c r="G146" t="inlineStr">
        <is>
          <t>ARVIDSJAUR</t>
        </is>
      </c>
      <c r="H146" t="inlineStr">
        <is>
          <t>Sveaskog</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5314-2026</t>
        </is>
      </c>
      <c r="B147" t="inlineStr">
        <is>
          <t>avverkningsanmälan</t>
        </is>
      </c>
      <c r="C147" t="inlineStr">
        <is>
          <t>Föryngringsavverkning</t>
        </is>
      </c>
      <c r="D147" s="1" t="n">
        <v>46050</v>
      </c>
      <c r="E147" s="1" t="n">
        <v>46223</v>
      </c>
      <c r="F147" t="inlineStr">
        <is>
          <t>NORRBOTTENS LÄN</t>
        </is>
      </c>
      <c r="G147" t="inlineStr">
        <is>
          <t>ARVIDSJAUR</t>
        </is>
      </c>
      <c r="H147" t="inlineStr">
        <is>
          <t>Allmännings- och besparingsskogar</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10851-2025</t>
        </is>
      </c>
      <c r="B148" t="inlineStr">
        <is>
          <t>avverkningsanmälan</t>
        </is>
      </c>
      <c r="C148" t="inlineStr">
        <is>
          <t>Föryngringsavverkning</t>
        </is>
      </c>
      <c r="D148" s="1" t="n">
        <v>45722</v>
      </c>
      <c r="E148" s="1" t="n">
        <v>46223</v>
      </c>
      <c r="F148" t="inlineStr">
        <is>
          <t>NORRBOTTENS LÄN</t>
        </is>
      </c>
      <c r="G148" t="inlineStr">
        <is>
          <t>ARVIDSJAUR</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22996-2024</t>
        </is>
      </c>
      <c r="B149" t="inlineStr">
        <is>
          <t>avverkningsanmälan</t>
        </is>
      </c>
      <c r="C149" t="inlineStr">
        <is>
          <t>Föryngringsavverkning</t>
        </is>
      </c>
      <c r="D149" s="1" t="n">
        <v>45450</v>
      </c>
      <c r="E149" s="1" t="n">
        <v>46223</v>
      </c>
      <c r="F149" t="inlineStr">
        <is>
          <t>NORRBOTTENS LÄN</t>
        </is>
      </c>
      <c r="G149" t="inlineStr">
        <is>
          <t>ARVIDSJAUR</t>
        </is>
      </c>
      <c r="H149" t="inlineStr">
        <is>
          <t>Sveaskog</t>
        </is>
      </c>
      <c r="I149" t="n">
        <v>8.9</v>
      </c>
      <c r="J149" t="n">
        <v>0</v>
      </c>
      <c r="K149" t="n">
        <v>0</v>
      </c>
      <c r="L149" t="n">
        <v>0</v>
      </c>
      <c r="M149" t="n">
        <v>0</v>
      </c>
      <c r="N149" t="n">
        <v>0</v>
      </c>
      <c r="O149" t="n">
        <v>0</v>
      </c>
      <c r="P149" t="n">
        <v>0</v>
      </c>
      <c r="Q149" t="n">
        <v>0</v>
      </c>
      <c r="R149" t="n">
        <v>0</v>
      </c>
      <c r="S149" t="n">
        <v>0</v>
      </c>
      <c r="T149" t="n">
        <v>0</v>
      </c>
      <c r="U149" s="2" t="inlineStr"/>
    </row>
    <row r="150" ht="15" customHeight="1">
      <c r="A150" t="inlineStr">
        <is>
          <t>A 22696-2024</t>
        </is>
      </c>
      <c r="B150" t="inlineStr">
        <is>
          <t>avverkningsanmälan</t>
        </is>
      </c>
      <c r="C150" t="inlineStr">
        <is>
          <t>Föryngringsavverkning</t>
        </is>
      </c>
      <c r="D150" s="1" t="n">
        <v>45448</v>
      </c>
      <c r="E150" s="1" t="n">
        <v>46223</v>
      </c>
      <c r="F150" t="inlineStr">
        <is>
          <t>NORRBOTTENS LÄN</t>
        </is>
      </c>
      <c r="G150" t="inlineStr">
        <is>
          <t>ARVIDSJAUR</t>
        </is>
      </c>
      <c r="H150" t="inlineStr">
        <is>
          <t>Sveaskog</t>
        </is>
      </c>
      <c r="I150" t="n">
        <v>23.1</v>
      </c>
      <c r="J150" t="n">
        <v>0</v>
      </c>
      <c r="K150" t="n">
        <v>0</v>
      </c>
      <c r="L150" t="n">
        <v>0</v>
      </c>
      <c r="M150" t="n">
        <v>0</v>
      </c>
      <c r="N150" t="n">
        <v>0</v>
      </c>
      <c r="O150" t="n">
        <v>0</v>
      </c>
      <c r="P150" t="n">
        <v>0</v>
      </c>
      <c r="Q150" t="n">
        <v>0</v>
      </c>
      <c r="R150" t="n">
        <v>0</v>
      </c>
      <c r="S150" t="n">
        <v>0</v>
      </c>
      <c r="T150" t="n">
        <v>0</v>
      </c>
      <c r="U150" s="2" t="inlineStr"/>
    </row>
    <row r="151" ht="15" customHeight="1">
      <c r="A151" t="inlineStr">
        <is>
          <t>A 43165-2025</t>
        </is>
      </c>
      <c r="B151" t="inlineStr">
        <is>
          <t>avverkningsanmälan</t>
        </is>
      </c>
      <c r="C151" t="inlineStr">
        <is>
          <t>Föryngringsavverkning</t>
        </is>
      </c>
      <c r="D151" s="1" t="n">
        <v>45910</v>
      </c>
      <c r="E151" s="1" t="n">
        <v>46223</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34998-2023</t>
        </is>
      </c>
      <c r="B152" t="inlineStr">
        <is>
          <t>avverkningsanmälan</t>
        </is>
      </c>
      <c r="C152" t="inlineStr">
        <is>
          <t>Föryngringsavverkning</t>
        </is>
      </c>
      <c r="D152" s="1" t="n">
        <v>45142</v>
      </c>
      <c r="E152" s="1" t="n">
        <v>46223</v>
      </c>
      <c r="F152" t="inlineStr">
        <is>
          <t>NORRBOTTENS LÄN</t>
        </is>
      </c>
      <c r="G152" t="inlineStr">
        <is>
          <t>ARVIDSJAUR</t>
        </is>
      </c>
      <c r="I152" t="n">
        <v>10.3</v>
      </c>
      <c r="J152" t="n">
        <v>0</v>
      </c>
      <c r="K152" t="n">
        <v>0</v>
      </c>
      <c r="L152" t="n">
        <v>0</v>
      </c>
      <c r="M152" t="n">
        <v>0</v>
      </c>
      <c r="N152" t="n">
        <v>0</v>
      </c>
      <c r="O152" t="n">
        <v>0</v>
      </c>
      <c r="P152" t="n">
        <v>0</v>
      </c>
      <c r="Q152" t="n">
        <v>0</v>
      </c>
      <c r="R152" t="n">
        <v>0</v>
      </c>
      <c r="S152" t="n">
        <v>0</v>
      </c>
      <c r="T152" t="n">
        <v>0</v>
      </c>
      <c r="U152" s="2" t="inlineStr"/>
    </row>
    <row r="153" ht="15" customHeight="1">
      <c r="A153" t="inlineStr">
        <is>
          <t>A 43184-2025</t>
        </is>
      </c>
      <c r="B153" t="inlineStr">
        <is>
          <t>avverkningsanmälan</t>
        </is>
      </c>
      <c r="C153" t="inlineStr">
        <is>
          <t>Föryngringsavverkning</t>
        </is>
      </c>
      <c r="D153" s="1" t="n">
        <v>45910</v>
      </c>
      <c r="E153" s="1" t="n">
        <v>46223</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s="2" t="inlineStr"/>
    </row>
    <row r="154" ht="15" customHeight="1">
      <c r="A154" t="inlineStr">
        <is>
          <t>A 43198-2025</t>
        </is>
      </c>
      <c r="B154" t="inlineStr">
        <is>
          <t>avverkningsanmälan</t>
        </is>
      </c>
      <c r="C154" t="inlineStr">
        <is>
          <t>Föryngringsavverkning</t>
        </is>
      </c>
      <c r="D154" s="1" t="n">
        <v>45910</v>
      </c>
      <c r="E154" s="1" t="n">
        <v>46223</v>
      </c>
      <c r="F154" t="inlineStr">
        <is>
          <t>NORRBOTTENS LÄN</t>
        </is>
      </c>
      <c r="G154" t="inlineStr">
        <is>
          <t>ARVIDSJAUR</t>
        </is>
      </c>
      <c r="H154" t="inlineStr">
        <is>
          <t>Sveaskog</t>
        </is>
      </c>
      <c r="I154" t="n">
        <v>17.9</v>
      </c>
      <c r="J154" t="n">
        <v>0</v>
      </c>
      <c r="K154" t="n">
        <v>0</v>
      </c>
      <c r="L154" t="n">
        <v>0</v>
      </c>
      <c r="M154" t="n">
        <v>0</v>
      </c>
      <c r="N154" t="n">
        <v>0</v>
      </c>
      <c r="O154" t="n">
        <v>0</v>
      </c>
      <c r="P154" t="n">
        <v>0</v>
      </c>
      <c r="Q154" t="n">
        <v>0</v>
      </c>
      <c r="R154" t="n">
        <v>0</v>
      </c>
      <c r="S154" t="n">
        <v>0</v>
      </c>
      <c r="T154" t="n">
        <v>0</v>
      </c>
      <c r="U154" s="2" t="inlineStr"/>
    </row>
    <row r="155" ht="15" customHeight="1">
      <c r="A155" t="inlineStr">
        <is>
          <t>A 43274-2025</t>
        </is>
      </c>
      <c r="B155" t="inlineStr">
        <is>
          <t>avverkningsanmälan</t>
        </is>
      </c>
      <c r="C155" t="inlineStr">
        <is>
          <t>Föryngringsavverkning</t>
        </is>
      </c>
      <c r="D155" s="1" t="n">
        <v>45910</v>
      </c>
      <c r="E155" s="1" t="n">
        <v>46223</v>
      </c>
      <c r="F155" t="inlineStr">
        <is>
          <t>NORRBOTTENS LÄN</t>
        </is>
      </c>
      <c r="G155" t="inlineStr">
        <is>
          <t>ARVIDSJAUR</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39436-2024</t>
        </is>
      </c>
      <c r="B156" t="inlineStr">
        <is>
          <t>avverkningsanmälan</t>
        </is>
      </c>
      <c r="C156" t="inlineStr">
        <is>
          <t>Avverkning för annat ändamål</t>
        </is>
      </c>
      <c r="D156" s="1" t="n">
        <v>45551</v>
      </c>
      <c r="E156" s="1" t="n">
        <v>46223</v>
      </c>
      <c r="F156" t="inlineStr">
        <is>
          <t>NORRBOTTENS LÄN</t>
        </is>
      </c>
      <c r="G156" t="inlineStr">
        <is>
          <t>ARVIDSJAUR</t>
        </is>
      </c>
      <c r="H156" t="inlineStr">
        <is>
          <t>Sveaskog</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5853-2026</t>
        </is>
      </c>
      <c r="B157" t="inlineStr">
        <is>
          <t>avverkningsanmälan</t>
        </is>
      </c>
      <c r="C157" t="inlineStr">
        <is>
          <t>Föryngringsavverkning</t>
        </is>
      </c>
      <c r="D157" s="1" t="n">
        <v>46052</v>
      </c>
      <c r="E157" s="1" t="n">
        <v>46223</v>
      </c>
      <c r="F157" t="inlineStr">
        <is>
          <t>NORRBOTTENS LÄN</t>
        </is>
      </c>
      <c r="G157" t="inlineStr">
        <is>
          <t>ARVIDSJAUR</t>
        </is>
      </c>
      <c r="H157" t="inlineStr">
        <is>
          <t>Sveaskog</t>
        </is>
      </c>
      <c r="I157" t="n">
        <v>7</v>
      </c>
      <c r="J157" t="n">
        <v>0</v>
      </c>
      <c r="K157" t="n">
        <v>0</v>
      </c>
      <c r="L157" t="n">
        <v>0</v>
      </c>
      <c r="M157" t="n">
        <v>0</v>
      </c>
      <c r="N157" t="n">
        <v>0</v>
      </c>
      <c r="O157" t="n">
        <v>0</v>
      </c>
      <c r="P157" t="n">
        <v>0</v>
      </c>
      <c r="Q157" t="n">
        <v>0</v>
      </c>
      <c r="R157" t="n">
        <v>0</v>
      </c>
      <c r="S157" t="n">
        <v>0</v>
      </c>
      <c r="T157" t="n">
        <v>0</v>
      </c>
      <c r="U157" s="2" t="inlineStr"/>
    </row>
    <row r="158" ht="15" customHeight="1">
      <c r="A158" t="inlineStr">
        <is>
          <t>A 43574-2025</t>
        </is>
      </c>
      <c r="B158" t="inlineStr">
        <is>
          <t>avverkningsanmälan</t>
        </is>
      </c>
      <c r="C158" t="inlineStr">
        <is>
          <t>Föryngringsavverkning</t>
        </is>
      </c>
      <c r="D158" s="1" t="n">
        <v>45911</v>
      </c>
      <c r="E158" s="1" t="n">
        <v>46223</v>
      </c>
      <c r="F158" t="inlineStr">
        <is>
          <t>NORRBOTTENS LÄN</t>
        </is>
      </c>
      <c r="G158" t="inlineStr">
        <is>
          <t>ARVIDSJAUR</t>
        </is>
      </c>
      <c r="I158" t="n">
        <v>23.2</v>
      </c>
      <c r="J158" t="n">
        <v>0</v>
      </c>
      <c r="K158" t="n">
        <v>0</v>
      </c>
      <c r="L158" t="n">
        <v>0</v>
      </c>
      <c r="M158" t="n">
        <v>0</v>
      </c>
      <c r="N158" t="n">
        <v>0</v>
      </c>
      <c r="O158" t="n">
        <v>0</v>
      </c>
      <c r="P158" t="n">
        <v>0</v>
      </c>
      <c r="Q158" t="n">
        <v>0</v>
      </c>
      <c r="R158" t="n">
        <v>0</v>
      </c>
      <c r="S158" t="n">
        <v>0</v>
      </c>
      <c r="T158" t="n">
        <v>0</v>
      </c>
      <c r="U158" s="2" t="inlineStr"/>
    </row>
    <row r="159" ht="15" customHeight="1">
      <c r="A159" t="inlineStr">
        <is>
          <t>A 33222-2025</t>
        </is>
      </c>
      <c r="B159" t="inlineStr">
        <is>
          <t>avverkningsanmälan</t>
        </is>
      </c>
      <c r="C159" t="inlineStr">
        <is>
          <t>Föryngringsavverkning</t>
        </is>
      </c>
      <c r="D159" s="1" t="n">
        <v>45840</v>
      </c>
      <c r="E159" s="1" t="n">
        <v>46223</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44640-2025</t>
        </is>
      </c>
      <c r="B160" t="inlineStr">
        <is>
          <t>avverkningsanmälan</t>
        </is>
      </c>
      <c r="C160" t="inlineStr">
        <is>
          <t>Föryngringsavverkning</t>
        </is>
      </c>
      <c r="D160" s="1" t="n">
        <v>45917</v>
      </c>
      <c r="E160" s="1" t="n">
        <v>46223</v>
      </c>
      <c r="F160" t="inlineStr">
        <is>
          <t>NORRBOTTENS LÄN</t>
        </is>
      </c>
      <c r="G160" t="inlineStr">
        <is>
          <t>ARVIDSJAUR</t>
        </is>
      </c>
      <c r="H160" t="inlineStr">
        <is>
          <t>Övriga Aktiebolag</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30756-2023</t>
        </is>
      </c>
      <c r="B161" t="inlineStr">
        <is>
          <t>avverkningsanmälan</t>
        </is>
      </c>
      <c r="C161" t="inlineStr">
        <is>
          <t>Avverkning för annat ändamål</t>
        </is>
      </c>
      <c r="D161" s="1" t="n">
        <v>45103</v>
      </c>
      <c r="E161" s="1" t="n">
        <v>46223</v>
      </c>
      <c r="F161" t="inlineStr">
        <is>
          <t>NORRBOTTENS LÄN</t>
        </is>
      </c>
      <c r="G161" t="inlineStr">
        <is>
          <t>ARVIDSJAUR</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44613-2025</t>
        </is>
      </c>
      <c r="B162" t="inlineStr">
        <is>
          <t>avverkningsanmälan</t>
        </is>
      </c>
      <c r="C162" t="inlineStr">
        <is>
          <t>Föryngringsavverkning</t>
        </is>
      </c>
      <c r="D162" s="1" t="n">
        <v>45917</v>
      </c>
      <c r="E162" s="1" t="n">
        <v>46223</v>
      </c>
      <c r="F162" t="inlineStr">
        <is>
          <t>NORRBOTTENS LÄN</t>
        </is>
      </c>
      <c r="G162" t="inlineStr">
        <is>
          <t>ARVIDSJAUR</t>
        </is>
      </c>
      <c r="H162" t="inlineStr">
        <is>
          <t>Övriga Aktiebolag</t>
        </is>
      </c>
      <c r="I162" t="n">
        <v>11.6</v>
      </c>
      <c r="J162" t="n">
        <v>0</v>
      </c>
      <c r="K162" t="n">
        <v>0</v>
      </c>
      <c r="L162" t="n">
        <v>0</v>
      </c>
      <c r="M162" t="n">
        <v>0</v>
      </c>
      <c r="N162" t="n">
        <v>0</v>
      </c>
      <c r="O162" t="n">
        <v>0</v>
      </c>
      <c r="P162" t="n">
        <v>0</v>
      </c>
      <c r="Q162" t="n">
        <v>0</v>
      </c>
      <c r="R162" t="n">
        <v>0</v>
      </c>
      <c r="S162" t="n">
        <v>0</v>
      </c>
      <c r="T162" t="n">
        <v>0</v>
      </c>
      <c r="U162" s="2" t="inlineStr"/>
    </row>
    <row r="163" ht="15" customHeight="1">
      <c r="A163" t="inlineStr">
        <is>
          <t>A 33302-2025</t>
        </is>
      </c>
      <c r="B163" t="inlineStr">
        <is>
          <t>avverkningsanmälan</t>
        </is>
      </c>
      <c r="C163" t="inlineStr">
        <is>
          <t>Föryngringsavverkning</t>
        </is>
      </c>
      <c r="D163" s="1" t="n">
        <v>45841</v>
      </c>
      <c r="E163" s="1" t="n">
        <v>46223</v>
      </c>
      <c r="F163" t="inlineStr">
        <is>
          <t>NORRBOTTENS LÄN</t>
        </is>
      </c>
      <c r="G163" t="inlineStr">
        <is>
          <t>ARVIDSJAUR</t>
        </is>
      </c>
      <c r="H163" t="inlineStr">
        <is>
          <t>Sveaskog</t>
        </is>
      </c>
      <c r="I163" t="n">
        <v>11.1</v>
      </c>
      <c r="J163" t="n">
        <v>0</v>
      </c>
      <c r="K163" t="n">
        <v>0</v>
      </c>
      <c r="L163" t="n">
        <v>0</v>
      </c>
      <c r="M163" t="n">
        <v>0</v>
      </c>
      <c r="N163" t="n">
        <v>0</v>
      </c>
      <c r="O163" t="n">
        <v>0</v>
      </c>
      <c r="P163" t="n">
        <v>0</v>
      </c>
      <c r="Q163" t="n">
        <v>0</v>
      </c>
      <c r="R163" t="n">
        <v>0</v>
      </c>
      <c r="S163" t="n">
        <v>0</v>
      </c>
      <c r="T163" t="n">
        <v>0</v>
      </c>
      <c r="U163" s="2" t="inlineStr"/>
    </row>
    <row r="164" ht="15" customHeight="1">
      <c r="A164" t="inlineStr">
        <is>
          <t>A 45576-2025</t>
        </is>
      </c>
      <c r="B164" t="inlineStr">
        <is>
          <t>avverkningsanmälan</t>
        </is>
      </c>
      <c r="C164" t="inlineStr">
        <is>
          <t>Föryngringsavverkning</t>
        </is>
      </c>
      <c r="D164" s="1" t="n">
        <v>45922</v>
      </c>
      <c r="E164" s="1" t="n">
        <v>46223</v>
      </c>
      <c r="F164" t="inlineStr">
        <is>
          <t>NORRBOTTENS LÄN</t>
        </is>
      </c>
      <c r="G164" t="inlineStr">
        <is>
          <t>ARVIDSJAUR</t>
        </is>
      </c>
      <c r="H164" t="inlineStr">
        <is>
          <t>Sveaskog</t>
        </is>
      </c>
      <c r="I164" t="n">
        <v>13.5</v>
      </c>
      <c r="J164" t="n">
        <v>0</v>
      </c>
      <c r="K164" t="n">
        <v>0</v>
      </c>
      <c r="L164" t="n">
        <v>0</v>
      </c>
      <c r="M164" t="n">
        <v>0</v>
      </c>
      <c r="N164" t="n">
        <v>0</v>
      </c>
      <c r="O164" t="n">
        <v>0</v>
      </c>
      <c r="P164" t="n">
        <v>0</v>
      </c>
      <c r="Q164" t="n">
        <v>0</v>
      </c>
      <c r="R164" t="n">
        <v>0</v>
      </c>
      <c r="S164" t="n">
        <v>0</v>
      </c>
      <c r="T164" t="n">
        <v>0</v>
      </c>
      <c r="U164" s="2" t="inlineStr"/>
    </row>
    <row r="165" ht="15" customHeight="1">
      <c r="A165" t="inlineStr">
        <is>
          <t>A 45197-2025</t>
        </is>
      </c>
      <c r="B165" t="inlineStr">
        <is>
          <t>avverkningsanmälan</t>
        </is>
      </c>
      <c r="C165" t="inlineStr">
        <is>
          <t>Avverkning för annat ändamål</t>
        </is>
      </c>
      <c r="D165" s="1" t="n">
        <v>45919</v>
      </c>
      <c r="E165" s="1" t="n">
        <v>46223</v>
      </c>
      <c r="F165" t="inlineStr">
        <is>
          <t>NORRBOTTENS LÄN</t>
        </is>
      </c>
      <c r="G165" t="inlineStr">
        <is>
          <t>ARVIDSJAUR</t>
        </is>
      </c>
      <c r="H165" t="inlineStr">
        <is>
          <t>Sveaskog</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5851-2026</t>
        </is>
      </c>
      <c r="B166" t="inlineStr">
        <is>
          <t>avverkningsanmälan</t>
        </is>
      </c>
      <c r="C166" t="inlineStr">
        <is>
          <t>Föryngringsavverkning</t>
        </is>
      </c>
      <c r="D166" s="1" t="n">
        <v>46052</v>
      </c>
      <c r="E166" s="1" t="n">
        <v>46223</v>
      </c>
      <c r="F166" t="inlineStr">
        <is>
          <t>NORRBOTTENS LÄN</t>
        </is>
      </c>
      <c r="G166" t="inlineStr">
        <is>
          <t>ARVIDSJAUR</t>
        </is>
      </c>
      <c r="H166" t="inlineStr">
        <is>
          <t>Sveaskog</t>
        </is>
      </c>
      <c r="I166" t="n">
        <v>6.3</v>
      </c>
      <c r="J166" t="n">
        <v>0</v>
      </c>
      <c r="K166" t="n">
        <v>0</v>
      </c>
      <c r="L166" t="n">
        <v>0</v>
      </c>
      <c r="M166" t="n">
        <v>0</v>
      </c>
      <c r="N166" t="n">
        <v>0</v>
      </c>
      <c r="O166" t="n">
        <v>0</v>
      </c>
      <c r="P166" t="n">
        <v>0</v>
      </c>
      <c r="Q166" t="n">
        <v>0</v>
      </c>
      <c r="R166" t="n">
        <v>0</v>
      </c>
      <c r="S166" t="n">
        <v>0</v>
      </c>
      <c r="T166" t="n">
        <v>0</v>
      </c>
      <c r="U166" s="2" t="inlineStr"/>
    </row>
    <row r="167" ht="15" customHeight="1">
      <c r="A167" t="inlineStr">
        <is>
          <t>A 45215-2025</t>
        </is>
      </c>
      <c r="B167" t="inlineStr">
        <is>
          <t>avverkningsanmälan</t>
        </is>
      </c>
      <c r="C167" t="inlineStr">
        <is>
          <t>Föryngringsavverkning</t>
        </is>
      </c>
      <c r="D167" s="1" t="n">
        <v>45919</v>
      </c>
      <c r="E167" s="1" t="n">
        <v>46223</v>
      </c>
      <c r="F167" t="inlineStr">
        <is>
          <t>NORRBOTTENS LÄN</t>
        </is>
      </c>
      <c r="G167" t="inlineStr">
        <is>
          <t>ARVIDSJAUR</t>
        </is>
      </c>
      <c r="H167" t="inlineStr">
        <is>
          <t>Sveaskog</t>
        </is>
      </c>
      <c r="I167" t="n">
        <v>12.9</v>
      </c>
      <c r="J167" t="n">
        <v>0</v>
      </c>
      <c r="K167" t="n">
        <v>0</v>
      </c>
      <c r="L167" t="n">
        <v>0</v>
      </c>
      <c r="M167" t="n">
        <v>0</v>
      </c>
      <c r="N167" t="n">
        <v>0</v>
      </c>
      <c r="O167" t="n">
        <v>0</v>
      </c>
      <c r="P167" t="n">
        <v>0</v>
      </c>
      <c r="Q167" t="n">
        <v>0</v>
      </c>
      <c r="R167" t="n">
        <v>0</v>
      </c>
      <c r="S167" t="n">
        <v>0</v>
      </c>
      <c r="T167" t="n">
        <v>0</v>
      </c>
      <c r="U167" s="2" t="inlineStr"/>
    </row>
    <row r="168" ht="15" customHeight="1">
      <c r="A168" t="inlineStr">
        <is>
          <t>A 45217-2025</t>
        </is>
      </c>
      <c r="B168" t="inlineStr">
        <is>
          <t>avverkningsanmälan</t>
        </is>
      </c>
      <c r="C168" t="inlineStr">
        <is>
          <t>Föryngringsavverkning</t>
        </is>
      </c>
      <c r="D168" s="1" t="n">
        <v>45919</v>
      </c>
      <c r="E168" s="1" t="n">
        <v>46223</v>
      </c>
      <c r="F168" t="inlineStr">
        <is>
          <t>NORRBOTTENS LÄN</t>
        </is>
      </c>
      <c r="G168" t="inlineStr">
        <is>
          <t>ARVIDSJAUR</t>
        </is>
      </c>
      <c r="H168" t="inlineStr">
        <is>
          <t>Sveaskog</t>
        </is>
      </c>
      <c r="I168" t="n">
        <v>3.3</v>
      </c>
      <c r="J168" t="n">
        <v>0</v>
      </c>
      <c r="K168" t="n">
        <v>0</v>
      </c>
      <c r="L168" t="n">
        <v>0</v>
      </c>
      <c r="M168" t="n">
        <v>0</v>
      </c>
      <c r="N168" t="n">
        <v>0</v>
      </c>
      <c r="O168" t="n">
        <v>0</v>
      </c>
      <c r="P168" t="n">
        <v>0</v>
      </c>
      <c r="Q168" t="n">
        <v>0</v>
      </c>
      <c r="R168" t="n">
        <v>0</v>
      </c>
      <c r="S168" t="n">
        <v>0</v>
      </c>
      <c r="T168" t="n">
        <v>0</v>
      </c>
      <c r="U168" s="2" t="inlineStr"/>
    </row>
    <row r="169" ht="15" customHeight="1">
      <c r="A169" t="inlineStr">
        <is>
          <t>A 45104-2025</t>
        </is>
      </c>
      <c r="B169" t="inlineStr">
        <is>
          <t>avverkningsanmälan</t>
        </is>
      </c>
      <c r="C169" t="inlineStr">
        <is>
          <t>Föryngringsavverkning</t>
        </is>
      </c>
      <c r="D169" s="1" t="n">
        <v>45919</v>
      </c>
      <c r="E169" s="1" t="n">
        <v>46223</v>
      </c>
      <c r="F169" t="inlineStr">
        <is>
          <t>NORRBOTTENS LÄN</t>
        </is>
      </c>
      <c r="G169" t="inlineStr">
        <is>
          <t>ARVIDSJAUR</t>
        </is>
      </c>
      <c r="I169" t="n">
        <v>6.6</v>
      </c>
      <c r="J169" t="n">
        <v>0</v>
      </c>
      <c r="K169" t="n">
        <v>0</v>
      </c>
      <c r="L169" t="n">
        <v>0</v>
      </c>
      <c r="M169" t="n">
        <v>0</v>
      </c>
      <c r="N169" t="n">
        <v>0</v>
      </c>
      <c r="O169" t="n">
        <v>0</v>
      </c>
      <c r="P169" t="n">
        <v>0</v>
      </c>
      <c r="Q169" t="n">
        <v>0</v>
      </c>
      <c r="R169" t="n">
        <v>0</v>
      </c>
      <c r="S169" t="n">
        <v>0</v>
      </c>
      <c r="T169" t="n">
        <v>0</v>
      </c>
      <c r="U169" s="2" t="inlineStr"/>
    </row>
    <row r="170" ht="15" customHeight="1">
      <c r="A170" t="inlineStr">
        <is>
          <t>A 45206-2025</t>
        </is>
      </c>
      <c r="B170" t="inlineStr">
        <is>
          <t>avverkningsanmälan</t>
        </is>
      </c>
      <c r="C170" t="inlineStr">
        <is>
          <t>Avverkning för att bevara och utveckla /försöksver</t>
        </is>
      </c>
      <c r="D170" s="1" t="n">
        <v>45919</v>
      </c>
      <c r="E170" s="1" t="n">
        <v>46223</v>
      </c>
      <c r="F170" t="inlineStr">
        <is>
          <t>NORRBOTTENS LÄN</t>
        </is>
      </c>
      <c r="G170" t="inlineStr">
        <is>
          <t>ARVIDSJAUR</t>
        </is>
      </c>
      <c r="H170" t="inlineStr">
        <is>
          <t>Sveaskog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45222-2025</t>
        </is>
      </c>
      <c r="B171" t="inlineStr">
        <is>
          <t>avverkningsanmälan</t>
        </is>
      </c>
      <c r="C171" t="inlineStr">
        <is>
          <t>Föryngringsavverkning</t>
        </is>
      </c>
      <c r="D171" s="1" t="n">
        <v>45919</v>
      </c>
      <c r="E171" s="1" t="n">
        <v>46223</v>
      </c>
      <c r="F171" t="inlineStr">
        <is>
          <t>NORRBOTTENS LÄN</t>
        </is>
      </c>
      <c r="G171" t="inlineStr">
        <is>
          <t>ARVIDSJAUR</t>
        </is>
      </c>
      <c r="H171" t="inlineStr">
        <is>
          <t>Sveaskog</t>
        </is>
      </c>
      <c r="I171" t="n">
        <v>8.9</v>
      </c>
      <c r="J171" t="n">
        <v>0</v>
      </c>
      <c r="K171" t="n">
        <v>0</v>
      </c>
      <c r="L171" t="n">
        <v>0</v>
      </c>
      <c r="M171" t="n">
        <v>0</v>
      </c>
      <c r="N171" t="n">
        <v>0</v>
      </c>
      <c r="O171" t="n">
        <v>0</v>
      </c>
      <c r="P171" t="n">
        <v>0</v>
      </c>
      <c r="Q171" t="n">
        <v>0</v>
      </c>
      <c r="R171" t="n">
        <v>0</v>
      </c>
      <c r="S171" t="n">
        <v>0</v>
      </c>
      <c r="T171" t="n">
        <v>0</v>
      </c>
      <c r="U171" s="2" t="inlineStr"/>
    </row>
    <row r="172" ht="15" customHeight="1">
      <c r="A172" t="inlineStr">
        <is>
          <t>A 45200-2025</t>
        </is>
      </c>
      <c r="B172" t="inlineStr">
        <is>
          <t>avverkningsanmälan</t>
        </is>
      </c>
      <c r="C172" t="inlineStr">
        <is>
          <t>Föryngringsavverkning</t>
        </is>
      </c>
      <c r="D172" s="1" t="n">
        <v>45919</v>
      </c>
      <c r="E172" s="1" t="n">
        <v>46223</v>
      </c>
      <c r="F172" t="inlineStr">
        <is>
          <t>NORRBOTTENS LÄN</t>
        </is>
      </c>
      <c r="G172" t="inlineStr">
        <is>
          <t>ARVIDSJAUR</t>
        </is>
      </c>
      <c r="H172" t="inlineStr">
        <is>
          <t>Sveaskog</t>
        </is>
      </c>
      <c r="I172" t="n">
        <v>9</v>
      </c>
      <c r="J172" t="n">
        <v>0</v>
      </c>
      <c r="K172" t="n">
        <v>0</v>
      </c>
      <c r="L172" t="n">
        <v>0</v>
      </c>
      <c r="M172" t="n">
        <v>0</v>
      </c>
      <c r="N172" t="n">
        <v>0</v>
      </c>
      <c r="O172" t="n">
        <v>0</v>
      </c>
      <c r="P172" t="n">
        <v>0</v>
      </c>
      <c r="Q172" t="n">
        <v>0</v>
      </c>
      <c r="R172" t="n">
        <v>0</v>
      </c>
      <c r="S172" t="n">
        <v>0</v>
      </c>
      <c r="T172" t="n">
        <v>0</v>
      </c>
      <c r="U172" s="2" t="inlineStr"/>
    </row>
    <row r="173" ht="15" customHeight="1">
      <c r="A173" t="inlineStr">
        <is>
          <t>A 45227-2025</t>
        </is>
      </c>
      <c r="B173" t="inlineStr">
        <is>
          <t>avverkningsanmälan</t>
        </is>
      </c>
      <c r="C173" t="inlineStr">
        <is>
          <t>Föryngringsavverkning</t>
        </is>
      </c>
      <c r="D173" s="1" t="n">
        <v>45919</v>
      </c>
      <c r="E173" s="1" t="n">
        <v>46223</v>
      </c>
      <c r="F173" t="inlineStr">
        <is>
          <t>NORRBOTTENS LÄN</t>
        </is>
      </c>
      <c r="G173" t="inlineStr">
        <is>
          <t>ARVIDSJAUR</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45493-2025</t>
        </is>
      </c>
      <c r="B174" t="inlineStr">
        <is>
          <t>avverkningsanmälan</t>
        </is>
      </c>
      <c r="C174" t="inlineStr">
        <is>
          <t>Föryngringsavverkning</t>
        </is>
      </c>
      <c r="D174" s="1" t="n">
        <v>45922</v>
      </c>
      <c r="E174" s="1" t="n">
        <v>46223</v>
      </c>
      <c r="F174" t="inlineStr">
        <is>
          <t>NORRBOTTENS LÄN</t>
        </is>
      </c>
      <c r="G174" t="inlineStr">
        <is>
          <t>ARVIDSJAUR</t>
        </is>
      </c>
      <c r="H174" t="inlineStr">
        <is>
          <t>Sveaskog</t>
        </is>
      </c>
      <c r="I174" t="n">
        <v>7.4</v>
      </c>
      <c r="J174" t="n">
        <v>0</v>
      </c>
      <c r="K174" t="n">
        <v>0</v>
      </c>
      <c r="L174" t="n">
        <v>0</v>
      </c>
      <c r="M174" t="n">
        <v>0</v>
      </c>
      <c r="N174" t="n">
        <v>0</v>
      </c>
      <c r="O174" t="n">
        <v>0</v>
      </c>
      <c r="P174" t="n">
        <v>0</v>
      </c>
      <c r="Q174" t="n">
        <v>0</v>
      </c>
      <c r="R174" t="n">
        <v>0</v>
      </c>
      <c r="S174" t="n">
        <v>0</v>
      </c>
      <c r="T174" t="n">
        <v>0</v>
      </c>
      <c r="U174" s="2" t="inlineStr"/>
    </row>
    <row r="175" ht="15" customHeight="1">
      <c r="A175" t="inlineStr">
        <is>
          <t>A 45187-2025</t>
        </is>
      </c>
      <c r="B175" t="inlineStr">
        <is>
          <t>avverkningsanmälan</t>
        </is>
      </c>
      <c r="C175" t="inlineStr">
        <is>
          <t>Föryngringsavverkning</t>
        </is>
      </c>
      <c r="D175" s="1" t="n">
        <v>45919</v>
      </c>
      <c r="E175" s="1" t="n">
        <v>46223</v>
      </c>
      <c r="F175" t="inlineStr">
        <is>
          <t>NORRBOTTENS LÄN</t>
        </is>
      </c>
      <c r="G175" t="inlineStr">
        <is>
          <t>ARVIDSJAUR</t>
        </is>
      </c>
      <c r="H175" t="inlineStr">
        <is>
          <t>Sveaskog</t>
        </is>
      </c>
      <c r="I175" t="n">
        <v>17.4</v>
      </c>
      <c r="J175" t="n">
        <v>0</v>
      </c>
      <c r="K175" t="n">
        <v>0</v>
      </c>
      <c r="L175" t="n">
        <v>0</v>
      </c>
      <c r="M175" t="n">
        <v>0</v>
      </c>
      <c r="N175" t="n">
        <v>0</v>
      </c>
      <c r="O175" t="n">
        <v>0</v>
      </c>
      <c r="P175" t="n">
        <v>0</v>
      </c>
      <c r="Q175" t="n">
        <v>0</v>
      </c>
      <c r="R175" t="n">
        <v>0</v>
      </c>
      <c r="S175" t="n">
        <v>0</v>
      </c>
      <c r="T175" t="n">
        <v>0</v>
      </c>
      <c r="U175" s="2" t="inlineStr"/>
    </row>
    <row r="176" ht="15" customHeight="1">
      <c r="A176" t="inlineStr">
        <is>
          <t>A 46170-2025</t>
        </is>
      </c>
      <c r="B176" t="inlineStr">
        <is>
          <t>avverkningsanmälan</t>
        </is>
      </c>
      <c r="C176" t="inlineStr">
        <is>
          <t>Föryngringsavverkning</t>
        </is>
      </c>
      <c r="D176" s="1" t="n">
        <v>45924</v>
      </c>
      <c r="E176" s="1" t="n">
        <v>46223</v>
      </c>
      <c r="F176" t="inlineStr">
        <is>
          <t>NORRBOTTENS LÄN</t>
        </is>
      </c>
      <c r="G176" t="inlineStr">
        <is>
          <t>ARVIDSJAUR</t>
        </is>
      </c>
      <c r="H176" t="inlineStr">
        <is>
          <t>Övriga Aktiebolag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45984-2025</t>
        </is>
      </c>
      <c r="B177" t="inlineStr">
        <is>
          <t>avverkningsanmälan</t>
        </is>
      </c>
      <c r="C177" t="inlineStr">
        <is>
          <t>Föryngringsavverkning</t>
        </is>
      </c>
      <c r="D177" s="1" t="n">
        <v>45924</v>
      </c>
      <c r="E177" s="1" t="n">
        <v>46223</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s="2" t="inlineStr"/>
    </row>
    <row r="178" ht="15" customHeight="1">
      <c r="A178" t="inlineStr">
        <is>
          <t>A 45643-2025</t>
        </is>
      </c>
      <c r="B178" t="inlineStr">
        <is>
          <t>avverkningsanmälan</t>
        </is>
      </c>
      <c r="C178" t="inlineStr">
        <is>
          <t>Föryngringsavverkning</t>
        </is>
      </c>
      <c r="D178" s="1" t="n">
        <v>45923</v>
      </c>
      <c r="E178" s="1" t="n">
        <v>46223</v>
      </c>
      <c r="F178" t="inlineStr">
        <is>
          <t>NORRBOTTENS LÄN</t>
        </is>
      </c>
      <c r="G178" t="inlineStr">
        <is>
          <t>ARVIDSJAUR</t>
        </is>
      </c>
      <c r="H178" t="inlineStr">
        <is>
          <t>Sveaskog</t>
        </is>
      </c>
      <c r="I178" t="n">
        <v>38.5</v>
      </c>
      <c r="J178" t="n">
        <v>0</v>
      </c>
      <c r="K178" t="n">
        <v>0</v>
      </c>
      <c r="L178" t="n">
        <v>0</v>
      </c>
      <c r="M178" t="n">
        <v>0</v>
      </c>
      <c r="N178" t="n">
        <v>0</v>
      </c>
      <c r="O178" t="n">
        <v>0</v>
      </c>
      <c r="P178" t="n">
        <v>0</v>
      </c>
      <c r="Q178" t="n">
        <v>0</v>
      </c>
      <c r="R178" t="n">
        <v>0</v>
      </c>
      <c r="S178" t="n">
        <v>0</v>
      </c>
      <c r="T178" t="n">
        <v>0</v>
      </c>
      <c r="U178" s="2" t="inlineStr"/>
    </row>
    <row r="179" ht="15" customHeight="1">
      <c r="A179" t="inlineStr">
        <is>
          <t>A 6649-2026</t>
        </is>
      </c>
      <c r="B179" t="inlineStr">
        <is>
          <t>avverkningsanmälan</t>
        </is>
      </c>
      <c r="C179" t="inlineStr">
        <is>
          <t>Avverkning för annat ändamål</t>
        </is>
      </c>
      <c r="D179" s="1" t="n">
        <v>46056</v>
      </c>
      <c r="E179" s="1" t="n">
        <v>46223</v>
      </c>
      <c r="F179" t="inlineStr">
        <is>
          <t>NORRBOTTENS LÄN</t>
        </is>
      </c>
      <c r="G179" t="inlineStr">
        <is>
          <t>ARVIDSJAUR</t>
        </is>
      </c>
      <c r="H179" t="inlineStr">
        <is>
          <t>Sveaskog</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47039-2025</t>
        </is>
      </c>
      <c r="B180" t="inlineStr">
        <is>
          <t>avverkningsanmälan</t>
        </is>
      </c>
      <c r="C180" t="inlineStr">
        <is>
          <t>Avverkning för annat ändamål</t>
        </is>
      </c>
      <c r="D180" s="1" t="n">
        <v>45929</v>
      </c>
      <c r="E180" s="1" t="n">
        <v>46223</v>
      </c>
      <c r="F180" t="inlineStr">
        <is>
          <t>NORRBOTTENS LÄN</t>
        </is>
      </c>
      <c r="G180" t="inlineStr">
        <is>
          <t>ARVIDSJAUR</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47106-2025</t>
        </is>
      </c>
      <c r="B181" t="inlineStr">
        <is>
          <t>avverkningsanmälan</t>
        </is>
      </c>
      <c r="C181" t="inlineStr">
        <is>
          <t>Föryngringsavverkning</t>
        </is>
      </c>
      <c r="D181" s="1" t="n">
        <v>45929</v>
      </c>
      <c r="E181" s="1" t="n">
        <v>46223</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46903-2025</t>
        </is>
      </c>
      <c r="B182" t="inlineStr">
        <is>
          <t>avverkningsanmälan</t>
        </is>
      </c>
      <c r="C182" t="inlineStr">
        <is>
          <t>Föryngringsavverkning</t>
        </is>
      </c>
      <c r="D182" s="1" t="n">
        <v>45929</v>
      </c>
      <c r="E182" s="1" t="n">
        <v>46223</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35670-2025</t>
        </is>
      </c>
      <c r="B183" t="inlineStr">
        <is>
          <t>avverkningsanmälan</t>
        </is>
      </c>
      <c r="C183" t="inlineStr">
        <is>
          <t>Föryngringsavverkning</t>
        </is>
      </c>
      <c r="D183" s="1" t="n">
        <v>45859</v>
      </c>
      <c r="E183" s="1" t="n">
        <v>46223</v>
      </c>
      <c r="F183" t="inlineStr">
        <is>
          <t>NORRBOTTENS LÄN</t>
        </is>
      </c>
      <c r="G183" t="inlineStr">
        <is>
          <t>ARVIDSJAUR</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48048-2022</t>
        </is>
      </c>
      <c r="B184" t="inlineStr">
        <is>
          <t>avverkningsanmälan</t>
        </is>
      </c>
      <c r="C184" t="inlineStr">
        <is>
          <t>Avverkning för annat ändamål</t>
        </is>
      </c>
      <c r="D184" s="1" t="n">
        <v>44855</v>
      </c>
      <c r="E184" s="1" t="n">
        <v>46223</v>
      </c>
      <c r="F184" t="inlineStr">
        <is>
          <t>NORRBOTTENS LÄN</t>
        </is>
      </c>
      <c r="G184" t="inlineStr">
        <is>
          <t>ARVIDSJAUR</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48008-2025</t>
        </is>
      </c>
      <c r="B185" t="inlineStr">
        <is>
          <t>avverkningsanmälan</t>
        </is>
      </c>
      <c r="C185" t="inlineStr">
        <is>
          <t>Föryngringsavverkning</t>
        </is>
      </c>
      <c r="D185" s="1" t="n">
        <v>45932</v>
      </c>
      <c r="E185" s="1" t="n">
        <v>46223</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48005-2025</t>
        </is>
      </c>
      <c r="B186" t="inlineStr">
        <is>
          <t>avverkningsanmälan</t>
        </is>
      </c>
      <c r="C186" t="inlineStr">
        <is>
          <t>Föryngringsavverkning</t>
        </is>
      </c>
      <c r="D186" s="1" t="n">
        <v>45932</v>
      </c>
      <c r="E186" s="1" t="n">
        <v>46223</v>
      </c>
      <c r="F186" t="inlineStr">
        <is>
          <t>NORRBOTTENS LÄN</t>
        </is>
      </c>
      <c r="G186" t="inlineStr">
        <is>
          <t>ARVIDSJAUR</t>
        </is>
      </c>
      <c r="H186" t="inlineStr">
        <is>
          <t>Sveaskog</t>
        </is>
      </c>
      <c r="I186" t="n">
        <v>24.3</v>
      </c>
      <c r="J186" t="n">
        <v>0</v>
      </c>
      <c r="K186" t="n">
        <v>0</v>
      </c>
      <c r="L186" t="n">
        <v>0</v>
      </c>
      <c r="M186" t="n">
        <v>0</v>
      </c>
      <c r="N186" t="n">
        <v>0</v>
      </c>
      <c r="O186" t="n">
        <v>0</v>
      </c>
      <c r="P186" t="n">
        <v>0</v>
      </c>
      <c r="Q186" t="n">
        <v>0</v>
      </c>
      <c r="R186" t="n">
        <v>0</v>
      </c>
      <c r="S186" t="n">
        <v>0</v>
      </c>
      <c r="T186" t="n">
        <v>0</v>
      </c>
      <c r="U186" s="2" t="inlineStr"/>
    </row>
    <row r="187" ht="15" customHeight="1">
      <c r="A187" t="inlineStr">
        <is>
          <t>A 6653-2026</t>
        </is>
      </c>
      <c r="B187" t="inlineStr">
        <is>
          <t>avverkningsanmälan</t>
        </is>
      </c>
      <c r="C187" t="inlineStr">
        <is>
          <t>Avverkning för annat ändamål</t>
        </is>
      </c>
      <c r="D187" s="1" t="n">
        <v>46056</v>
      </c>
      <c r="E187" s="1" t="n">
        <v>46223</v>
      </c>
      <c r="F187" t="inlineStr">
        <is>
          <t>NORRBOTTENS LÄN</t>
        </is>
      </c>
      <c r="G187" t="inlineStr">
        <is>
          <t>ARVIDSJAUR</t>
        </is>
      </c>
      <c r="H187" t="inlineStr">
        <is>
          <t>Sveaskog</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48326-2025</t>
        </is>
      </c>
      <c r="B188" t="inlineStr">
        <is>
          <t>avverkningsanmälan</t>
        </is>
      </c>
      <c r="C188" t="inlineStr">
        <is>
          <t>Föryngringsavverkning</t>
        </is>
      </c>
      <c r="D188" s="1" t="n">
        <v>45933</v>
      </c>
      <c r="E188" s="1" t="n">
        <v>46223</v>
      </c>
      <c r="F188" t="inlineStr">
        <is>
          <t>NORRBOTTENS LÄN</t>
        </is>
      </c>
      <c r="G188" t="inlineStr">
        <is>
          <t>ARVIDSJAUR</t>
        </is>
      </c>
      <c r="I188" t="n">
        <v>3.8</v>
      </c>
      <c r="J188" t="n">
        <v>0</v>
      </c>
      <c r="K188" t="n">
        <v>0</v>
      </c>
      <c r="L188" t="n">
        <v>0</v>
      </c>
      <c r="M188" t="n">
        <v>0</v>
      </c>
      <c r="N188" t="n">
        <v>0</v>
      </c>
      <c r="O188" t="n">
        <v>0</v>
      </c>
      <c r="P188" t="n">
        <v>0</v>
      </c>
      <c r="Q188" t="n">
        <v>0</v>
      </c>
      <c r="R188" t="n">
        <v>0</v>
      </c>
      <c r="S188" t="n">
        <v>0</v>
      </c>
      <c r="T188" t="n">
        <v>0</v>
      </c>
      <c r="U188" s="2" t="inlineStr"/>
    </row>
    <row r="189" ht="15" customHeight="1">
      <c r="A189" t="inlineStr">
        <is>
          <t>A 15475-2023</t>
        </is>
      </c>
      <c r="B189" t="inlineStr">
        <is>
          <t>avverkningsanmälan</t>
        </is>
      </c>
      <c r="C189" t="inlineStr">
        <is>
          <t>Avverkning för annat ändamål</t>
        </is>
      </c>
      <c r="D189" s="1" t="n">
        <v>45020</v>
      </c>
      <c r="E189" s="1" t="n">
        <v>46223</v>
      </c>
      <c r="F189" t="inlineStr">
        <is>
          <t>NORRBOTTENS LÄN</t>
        </is>
      </c>
      <c r="G189" t="inlineStr">
        <is>
          <t>ARVIDSJAUR</t>
        </is>
      </c>
      <c r="H189" t="inlineStr">
        <is>
          <t>Sveaskog</t>
        </is>
      </c>
      <c r="I189" t="n">
        <v>5.5</v>
      </c>
      <c r="J189" t="n">
        <v>0</v>
      </c>
      <c r="K189" t="n">
        <v>0</v>
      </c>
      <c r="L189" t="n">
        <v>0</v>
      </c>
      <c r="M189" t="n">
        <v>0</v>
      </c>
      <c r="N189" t="n">
        <v>0</v>
      </c>
      <c r="O189" t="n">
        <v>0</v>
      </c>
      <c r="P189" t="n">
        <v>0</v>
      </c>
      <c r="Q189" t="n">
        <v>0</v>
      </c>
      <c r="R189" t="n">
        <v>0</v>
      </c>
      <c r="S189" t="n">
        <v>0</v>
      </c>
      <c r="T189" t="n">
        <v>0</v>
      </c>
      <c r="U189" s="2" t="inlineStr"/>
    </row>
    <row r="190" ht="15" customHeight="1">
      <c r="A190" t="inlineStr">
        <is>
          <t>A 48312-2025</t>
        </is>
      </c>
      <c r="B190" t="inlineStr">
        <is>
          <t>avverkningsanmälan</t>
        </is>
      </c>
      <c r="C190" t="inlineStr">
        <is>
          <t>Föryngringsavverkning</t>
        </is>
      </c>
      <c r="D190" s="1" t="n">
        <v>45933</v>
      </c>
      <c r="E190" s="1" t="n">
        <v>46223</v>
      </c>
      <c r="F190" t="inlineStr">
        <is>
          <t>NORRBOTTENS LÄN</t>
        </is>
      </c>
      <c r="G190" t="inlineStr">
        <is>
          <t>ARVIDSJAUR</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48856-2025</t>
        </is>
      </c>
      <c r="B191" t="inlineStr">
        <is>
          <t>avverkningsanmälan</t>
        </is>
      </c>
      <c r="C191" t="inlineStr">
        <is>
          <t>Föryngringsavverkning</t>
        </is>
      </c>
      <c r="D191" s="1" t="n">
        <v>45937</v>
      </c>
      <c r="E191" s="1" t="n">
        <v>46223</v>
      </c>
      <c r="F191" t="inlineStr">
        <is>
          <t>NORRBOTTENS LÄN</t>
        </is>
      </c>
      <c r="G191" t="inlineStr">
        <is>
          <t>ARVIDSJAUR</t>
        </is>
      </c>
      <c r="I191" t="n">
        <v>8.6</v>
      </c>
      <c r="J191" t="n">
        <v>0</v>
      </c>
      <c r="K191" t="n">
        <v>0</v>
      </c>
      <c r="L191" t="n">
        <v>0</v>
      </c>
      <c r="M191" t="n">
        <v>0</v>
      </c>
      <c r="N191" t="n">
        <v>0</v>
      </c>
      <c r="O191" t="n">
        <v>0</v>
      </c>
      <c r="P191" t="n">
        <v>0</v>
      </c>
      <c r="Q191" t="n">
        <v>0</v>
      </c>
      <c r="R191" t="n">
        <v>0</v>
      </c>
      <c r="S191" t="n">
        <v>0</v>
      </c>
      <c r="T191" t="n">
        <v>0</v>
      </c>
      <c r="U191" s="2" t="inlineStr"/>
    </row>
    <row r="192" ht="15" customHeight="1">
      <c r="A192" t="inlineStr">
        <is>
          <t>A 36489-2025</t>
        </is>
      </c>
      <c r="B192" t="inlineStr">
        <is>
          <t>avverkningsanmälan</t>
        </is>
      </c>
      <c r="C192" t="inlineStr">
        <is>
          <t>Avverkning för annat ändamål</t>
        </is>
      </c>
      <c r="D192" s="1" t="n">
        <v>45869</v>
      </c>
      <c r="E192" s="1" t="n">
        <v>46223</v>
      </c>
      <c r="F192" t="inlineStr">
        <is>
          <t>NORRBOTTENS LÄN</t>
        </is>
      </c>
      <c r="G192" t="inlineStr">
        <is>
          <t>ARVIDSJAUR</t>
        </is>
      </c>
      <c r="H192" t="inlineStr">
        <is>
          <t>Sveaskog</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48858-2025</t>
        </is>
      </c>
      <c r="B193" t="inlineStr">
        <is>
          <t>avverkningsanmälan</t>
        </is>
      </c>
      <c r="C193" t="inlineStr">
        <is>
          <t>Föryngringsavverkning</t>
        </is>
      </c>
      <c r="D193" s="1" t="n">
        <v>45937</v>
      </c>
      <c r="E193" s="1" t="n">
        <v>46223</v>
      </c>
      <c r="F193" t="inlineStr">
        <is>
          <t>NORRBOTTENS LÄN</t>
        </is>
      </c>
      <c r="G193" t="inlineStr">
        <is>
          <t>ARVIDSJAUR</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49927-2025</t>
        </is>
      </c>
      <c r="B194" t="inlineStr">
        <is>
          <t>avverkningsanmälan</t>
        </is>
      </c>
      <c r="C194" t="inlineStr">
        <is>
          <t>Föryngringsavverkning</t>
        </is>
      </c>
      <c r="D194" s="1" t="n">
        <v>45939</v>
      </c>
      <c r="E194" s="1" t="n">
        <v>46223</v>
      </c>
      <c r="F194" t="inlineStr">
        <is>
          <t>NORRBOTTENS LÄN</t>
        </is>
      </c>
      <c r="G194" t="inlineStr">
        <is>
          <t>ARVIDSJAUR</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53683-2024</t>
        </is>
      </c>
      <c r="B195" t="inlineStr">
        <is>
          <t>avverkningsanmälan</t>
        </is>
      </c>
      <c r="C195" t="inlineStr">
        <is>
          <t>Föryngringsavverkning</t>
        </is>
      </c>
      <c r="D195" s="1" t="n">
        <v>45612</v>
      </c>
      <c r="E195" s="1" t="n">
        <v>46223</v>
      </c>
      <c r="F195" t="inlineStr">
        <is>
          <t>NORRBOTTENS LÄN</t>
        </is>
      </c>
      <c r="G195" t="inlineStr">
        <is>
          <t>ARVIDSJAUR</t>
        </is>
      </c>
      <c r="I195" t="n">
        <v>3.7</v>
      </c>
      <c r="J195" t="n">
        <v>0</v>
      </c>
      <c r="K195" t="n">
        <v>0</v>
      </c>
      <c r="L195" t="n">
        <v>0</v>
      </c>
      <c r="M195" t="n">
        <v>0</v>
      </c>
      <c r="N195" t="n">
        <v>0</v>
      </c>
      <c r="O195" t="n">
        <v>0</v>
      </c>
      <c r="P195" t="n">
        <v>0</v>
      </c>
      <c r="Q195" t="n">
        <v>0</v>
      </c>
      <c r="R195" t="n">
        <v>0</v>
      </c>
      <c r="S195" t="n">
        <v>0</v>
      </c>
      <c r="T195" t="n">
        <v>0</v>
      </c>
      <c r="U195" s="2" t="inlineStr"/>
    </row>
    <row r="196" ht="15" customHeight="1">
      <c r="A196" t="inlineStr">
        <is>
          <t>A 7043-2026</t>
        </is>
      </c>
      <c r="B196" t="inlineStr">
        <is>
          <t>avverkningsanmälan</t>
        </is>
      </c>
      <c r="C196" t="inlineStr">
        <is>
          <t>Föryngringsavverkning</t>
        </is>
      </c>
      <c r="D196" s="1" t="n">
        <v>46057</v>
      </c>
      <c r="E196" s="1" t="n">
        <v>46223</v>
      </c>
      <c r="F196" t="inlineStr">
        <is>
          <t>NORRBOTTENS LÄN</t>
        </is>
      </c>
      <c r="G196" t="inlineStr">
        <is>
          <t>ARVIDSJAUR</t>
        </is>
      </c>
      <c r="I196" t="n">
        <v>7.1</v>
      </c>
      <c r="J196" t="n">
        <v>0</v>
      </c>
      <c r="K196" t="n">
        <v>0</v>
      </c>
      <c r="L196" t="n">
        <v>0</v>
      </c>
      <c r="M196" t="n">
        <v>0</v>
      </c>
      <c r="N196" t="n">
        <v>0</v>
      </c>
      <c r="O196" t="n">
        <v>0</v>
      </c>
      <c r="P196" t="n">
        <v>0</v>
      </c>
      <c r="Q196" t="n">
        <v>0</v>
      </c>
      <c r="R196" t="n">
        <v>0</v>
      </c>
      <c r="S196" t="n">
        <v>0</v>
      </c>
      <c r="T196" t="n">
        <v>0</v>
      </c>
      <c r="U196" s="2" t="inlineStr"/>
    </row>
    <row r="197" ht="15" customHeight="1">
      <c r="A197" t="inlineStr">
        <is>
          <t>A 37180-2025</t>
        </is>
      </c>
      <c r="B197" t="inlineStr">
        <is>
          <t>avverkningsanmälan</t>
        </is>
      </c>
      <c r="C197" t="inlineStr">
        <is>
          <t>Föryngringsavverkning</t>
        </is>
      </c>
      <c r="D197" s="1" t="n">
        <v>45875</v>
      </c>
      <c r="E197" s="1" t="n">
        <v>46223</v>
      </c>
      <c r="F197" t="inlineStr">
        <is>
          <t>NORRBOTTENS LÄN</t>
        </is>
      </c>
      <c r="G197" t="inlineStr">
        <is>
          <t>ARVIDSJAUR</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29514-2025</t>
        </is>
      </c>
      <c r="B198" t="inlineStr">
        <is>
          <t>avverkningsanmälan</t>
        </is>
      </c>
      <c r="C198" t="inlineStr">
        <is>
          <t>Föryngringsavverkning</t>
        </is>
      </c>
      <c r="D198" s="1" t="n">
        <v>45825</v>
      </c>
      <c r="E198" s="1" t="n">
        <v>46223</v>
      </c>
      <c r="F198" t="inlineStr">
        <is>
          <t>NORRBOTTENS LÄN</t>
        </is>
      </c>
      <c r="G198" t="inlineStr">
        <is>
          <t>ARVIDSJAUR</t>
        </is>
      </c>
      <c r="H198" t="inlineStr">
        <is>
          <t>Sveaskog</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48358-2024</t>
        </is>
      </c>
      <c r="B199" t="inlineStr">
        <is>
          <t>avverkningsanmälan</t>
        </is>
      </c>
      <c r="C199" t="inlineStr">
        <is>
          <t>Föryngringsavverkning</t>
        </is>
      </c>
      <c r="D199" s="1" t="n">
        <v>45590</v>
      </c>
      <c r="E199" s="1" t="n">
        <v>46223</v>
      </c>
      <c r="F199" t="inlineStr">
        <is>
          <t>NORRBOTTENS LÄN</t>
        </is>
      </c>
      <c r="G199" t="inlineStr">
        <is>
          <t>ARVIDSJAUR</t>
        </is>
      </c>
      <c r="H199" t="inlineStr">
        <is>
          <t>Sveaskog</t>
        </is>
      </c>
      <c r="I199" t="n">
        <v>20.3</v>
      </c>
      <c r="J199" t="n">
        <v>0</v>
      </c>
      <c r="K199" t="n">
        <v>0</v>
      </c>
      <c r="L199" t="n">
        <v>0</v>
      </c>
      <c r="M199" t="n">
        <v>0</v>
      </c>
      <c r="N199" t="n">
        <v>0</v>
      </c>
      <c r="O199" t="n">
        <v>0</v>
      </c>
      <c r="P199" t="n">
        <v>0</v>
      </c>
      <c r="Q199" t="n">
        <v>0</v>
      </c>
      <c r="R199" t="n">
        <v>0</v>
      </c>
      <c r="S199" t="n">
        <v>0</v>
      </c>
      <c r="T199" t="n">
        <v>0</v>
      </c>
      <c r="U199" s="2" t="inlineStr"/>
    </row>
    <row r="200" ht="15" customHeight="1">
      <c r="A200" t="inlineStr">
        <is>
          <t>A 37191-2025</t>
        </is>
      </c>
      <c r="B200" t="inlineStr">
        <is>
          <t>avverkningsanmälan</t>
        </is>
      </c>
      <c r="C200" t="inlineStr">
        <is>
          <t>Avverkning för annat ändamål</t>
        </is>
      </c>
      <c r="D200" s="1" t="n">
        <v>45875</v>
      </c>
      <c r="E200" s="1" t="n">
        <v>46223</v>
      </c>
      <c r="F200" t="inlineStr">
        <is>
          <t>NORRBOTTENS LÄN</t>
        </is>
      </c>
      <c r="G200" t="inlineStr">
        <is>
          <t>ARVIDSJAUR</t>
        </is>
      </c>
      <c r="H200" t="inlineStr">
        <is>
          <t>Sveaskog</t>
        </is>
      </c>
      <c r="I200" t="n">
        <v>5.9</v>
      </c>
      <c r="J200" t="n">
        <v>0</v>
      </c>
      <c r="K200" t="n">
        <v>0</v>
      </c>
      <c r="L200" t="n">
        <v>0</v>
      </c>
      <c r="M200" t="n">
        <v>0</v>
      </c>
      <c r="N200" t="n">
        <v>0</v>
      </c>
      <c r="O200" t="n">
        <v>0</v>
      </c>
      <c r="P200" t="n">
        <v>0</v>
      </c>
      <c r="Q200" t="n">
        <v>0</v>
      </c>
      <c r="R200" t="n">
        <v>0</v>
      </c>
      <c r="S200" t="n">
        <v>0</v>
      </c>
      <c r="T200" t="n">
        <v>0</v>
      </c>
      <c r="U200" s="2" t="inlineStr"/>
    </row>
    <row r="201" ht="15" customHeight="1">
      <c r="A201" t="inlineStr">
        <is>
          <t>A 49172-2024</t>
        </is>
      </c>
      <c r="B201" t="inlineStr">
        <is>
          <t>avverkningsanmälan</t>
        </is>
      </c>
      <c r="C201" t="inlineStr">
        <is>
          <t>Föryngringsavverkning</t>
        </is>
      </c>
      <c r="D201" s="1" t="n">
        <v>45595</v>
      </c>
      <c r="E201" s="1" t="n">
        <v>46223</v>
      </c>
      <c r="F201" t="inlineStr">
        <is>
          <t>NORRBOTTENS LÄN</t>
        </is>
      </c>
      <c r="G201" t="inlineStr">
        <is>
          <t>ARVIDSJAUR</t>
        </is>
      </c>
      <c r="H201" t="inlineStr">
        <is>
          <t>Sveaskog</t>
        </is>
      </c>
      <c r="I201" t="n">
        <v>10.8</v>
      </c>
      <c r="J201" t="n">
        <v>0</v>
      </c>
      <c r="K201" t="n">
        <v>0</v>
      </c>
      <c r="L201" t="n">
        <v>0</v>
      </c>
      <c r="M201" t="n">
        <v>0</v>
      </c>
      <c r="N201" t="n">
        <v>0</v>
      </c>
      <c r="O201" t="n">
        <v>0</v>
      </c>
      <c r="P201" t="n">
        <v>0</v>
      </c>
      <c r="Q201" t="n">
        <v>0</v>
      </c>
      <c r="R201" t="n">
        <v>0</v>
      </c>
      <c r="S201" t="n">
        <v>0</v>
      </c>
      <c r="T201" t="n">
        <v>0</v>
      </c>
      <c r="U201" s="2" t="inlineStr"/>
    </row>
    <row r="202" ht="15" customHeight="1">
      <c r="A202" t="inlineStr">
        <is>
          <t>A 50341-2025</t>
        </is>
      </c>
      <c r="B202" t="inlineStr">
        <is>
          <t>avverkningsanmälan</t>
        </is>
      </c>
      <c r="C202" t="inlineStr">
        <is>
          <t>Föryngringsavverkning</t>
        </is>
      </c>
      <c r="D202" s="1" t="n">
        <v>45944</v>
      </c>
      <c r="E202" s="1" t="n">
        <v>46223</v>
      </c>
      <c r="F202" t="inlineStr">
        <is>
          <t>NORRBOTTENS LÄN</t>
        </is>
      </c>
      <c r="G202" t="inlineStr">
        <is>
          <t>ARVIDSJAUR</t>
        </is>
      </c>
      <c r="H202" t="inlineStr">
        <is>
          <t>Sveaskog</t>
        </is>
      </c>
      <c r="I202" t="n">
        <v>5.4</v>
      </c>
      <c r="J202" t="n">
        <v>0</v>
      </c>
      <c r="K202" t="n">
        <v>0</v>
      </c>
      <c r="L202" t="n">
        <v>0</v>
      </c>
      <c r="M202" t="n">
        <v>0</v>
      </c>
      <c r="N202" t="n">
        <v>0</v>
      </c>
      <c r="O202" t="n">
        <v>0</v>
      </c>
      <c r="P202" t="n">
        <v>0</v>
      </c>
      <c r="Q202" t="n">
        <v>0</v>
      </c>
      <c r="R202" t="n">
        <v>0</v>
      </c>
      <c r="S202" t="n">
        <v>0</v>
      </c>
      <c r="T202" t="n">
        <v>0</v>
      </c>
      <c r="U202" s="2" t="inlineStr"/>
    </row>
    <row r="203" ht="15" customHeight="1">
      <c r="A203" t="inlineStr">
        <is>
          <t>A 50348-2025</t>
        </is>
      </c>
      <c r="B203" t="inlineStr">
        <is>
          <t>avverkningsanmälan</t>
        </is>
      </c>
      <c r="C203" t="inlineStr">
        <is>
          <t>Föryngringsavverkning</t>
        </is>
      </c>
      <c r="D203" s="1" t="n">
        <v>45944</v>
      </c>
      <c r="E203" s="1" t="n">
        <v>46223</v>
      </c>
      <c r="F203" t="inlineStr">
        <is>
          <t>NORRBOTTENS LÄN</t>
        </is>
      </c>
      <c r="G203" t="inlineStr">
        <is>
          <t>ARVIDSJAUR</t>
        </is>
      </c>
      <c r="H203" t="inlineStr">
        <is>
          <t>Sveaskog</t>
        </is>
      </c>
      <c r="I203" t="n">
        <v>10.8</v>
      </c>
      <c r="J203" t="n">
        <v>0</v>
      </c>
      <c r="K203" t="n">
        <v>0</v>
      </c>
      <c r="L203" t="n">
        <v>0</v>
      </c>
      <c r="M203" t="n">
        <v>0</v>
      </c>
      <c r="N203" t="n">
        <v>0</v>
      </c>
      <c r="O203" t="n">
        <v>0</v>
      </c>
      <c r="P203" t="n">
        <v>0</v>
      </c>
      <c r="Q203" t="n">
        <v>0</v>
      </c>
      <c r="R203" t="n">
        <v>0</v>
      </c>
      <c r="S203" t="n">
        <v>0</v>
      </c>
      <c r="T203" t="n">
        <v>0</v>
      </c>
      <c r="U203" s="2" t="inlineStr"/>
    </row>
    <row r="204" ht="15" customHeight="1">
      <c r="A204" t="inlineStr">
        <is>
          <t>A 37448-2025</t>
        </is>
      </c>
      <c r="B204" t="inlineStr">
        <is>
          <t>avverkningsanmälan</t>
        </is>
      </c>
      <c r="C204" t="inlineStr">
        <is>
          <t>Föryngringsavverkning</t>
        </is>
      </c>
      <c r="D204" s="1" t="n">
        <v>45877</v>
      </c>
      <c r="E204" s="1" t="n">
        <v>46223</v>
      </c>
      <c r="F204" t="inlineStr">
        <is>
          <t>NORRBOTTENS LÄN</t>
        </is>
      </c>
      <c r="G204" t="inlineStr">
        <is>
          <t>ARVIDSJAUR</t>
        </is>
      </c>
      <c r="H204" t="inlineStr">
        <is>
          <t>Sveaskog</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37454-2025</t>
        </is>
      </c>
      <c r="B205" t="inlineStr">
        <is>
          <t>avverkningsanmälan</t>
        </is>
      </c>
      <c r="C205" t="inlineStr">
        <is>
          <t>Föryngringsavverkning</t>
        </is>
      </c>
      <c r="D205" s="1" t="n">
        <v>45877</v>
      </c>
      <c r="E205" s="1" t="n">
        <v>46223</v>
      </c>
      <c r="F205" t="inlineStr">
        <is>
          <t>NORRBOTTENS LÄN</t>
        </is>
      </c>
      <c r="G205" t="inlineStr">
        <is>
          <t>ARVIDSJAUR</t>
        </is>
      </c>
      <c r="H205" t="inlineStr">
        <is>
          <t>Sveaskog</t>
        </is>
      </c>
      <c r="I205" t="n">
        <v>23.4</v>
      </c>
      <c r="J205" t="n">
        <v>0</v>
      </c>
      <c r="K205" t="n">
        <v>0</v>
      </c>
      <c r="L205" t="n">
        <v>0</v>
      </c>
      <c r="M205" t="n">
        <v>0</v>
      </c>
      <c r="N205" t="n">
        <v>0</v>
      </c>
      <c r="O205" t="n">
        <v>0</v>
      </c>
      <c r="P205" t="n">
        <v>0</v>
      </c>
      <c r="Q205" t="n">
        <v>0</v>
      </c>
      <c r="R205" t="n">
        <v>0</v>
      </c>
      <c r="S205" t="n">
        <v>0</v>
      </c>
      <c r="T205" t="n">
        <v>0</v>
      </c>
      <c r="U205" s="2" t="inlineStr"/>
    </row>
    <row r="206" ht="15" customHeight="1">
      <c r="A206" t="inlineStr">
        <is>
          <t>A 50350-2025</t>
        </is>
      </c>
      <c r="B206" t="inlineStr">
        <is>
          <t>avverkningsanmälan</t>
        </is>
      </c>
      <c r="C206" t="inlineStr">
        <is>
          <t>Föryngringsavverkning</t>
        </is>
      </c>
      <c r="D206" s="1" t="n">
        <v>45944</v>
      </c>
      <c r="E206" s="1" t="n">
        <v>46223</v>
      </c>
      <c r="F206" t="inlineStr">
        <is>
          <t>NORRBOTTENS LÄN</t>
        </is>
      </c>
      <c r="G206" t="inlineStr">
        <is>
          <t>ARVIDSJAUR</t>
        </is>
      </c>
      <c r="H206" t="inlineStr">
        <is>
          <t>Sveaskog</t>
        </is>
      </c>
      <c r="I206" t="n">
        <v>13.1</v>
      </c>
      <c r="J206" t="n">
        <v>0</v>
      </c>
      <c r="K206" t="n">
        <v>0</v>
      </c>
      <c r="L206" t="n">
        <v>0</v>
      </c>
      <c r="M206" t="n">
        <v>0</v>
      </c>
      <c r="N206" t="n">
        <v>0</v>
      </c>
      <c r="O206" t="n">
        <v>0</v>
      </c>
      <c r="P206" t="n">
        <v>0</v>
      </c>
      <c r="Q206" t="n">
        <v>0</v>
      </c>
      <c r="R206" t="n">
        <v>0</v>
      </c>
      <c r="S206" t="n">
        <v>0</v>
      </c>
      <c r="T206" t="n">
        <v>0</v>
      </c>
      <c r="U206" s="2" t="inlineStr"/>
    </row>
    <row r="207" ht="15" customHeight="1">
      <c r="A207" t="inlineStr">
        <is>
          <t>A 50813-2025</t>
        </is>
      </c>
      <c r="B207" t="inlineStr">
        <is>
          <t>avverkningsanmälan</t>
        </is>
      </c>
      <c r="C207" t="inlineStr">
        <is>
          <t>Föryngringsavverkning</t>
        </is>
      </c>
      <c r="D207" s="1" t="n">
        <v>45946</v>
      </c>
      <c r="E207" s="1" t="n">
        <v>46223</v>
      </c>
      <c r="F207" t="inlineStr">
        <is>
          <t>NORRBOTTENS LÄN</t>
        </is>
      </c>
      <c r="G207" t="inlineStr">
        <is>
          <t>ARVIDSJAUR</t>
        </is>
      </c>
      <c r="H207" t="inlineStr">
        <is>
          <t>Sveaskog</t>
        </is>
      </c>
      <c r="I207" t="n">
        <v>6.2</v>
      </c>
      <c r="J207" t="n">
        <v>0</v>
      </c>
      <c r="K207" t="n">
        <v>0</v>
      </c>
      <c r="L207" t="n">
        <v>0</v>
      </c>
      <c r="M207" t="n">
        <v>0</v>
      </c>
      <c r="N207" t="n">
        <v>0</v>
      </c>
      <c r="O207" t="n">
        <v>0</v>
      </c>
      <c r="P207" t="n">
        <v>0</v>
      </c>
      <c r="Q207" t="n">
        <v>0</v>
      </c>
      <c r="R207" t="n">
        <v>0</v>
      </c>
      <c r="S207" t="n">
        <v>0</v>
      </c>
      <c r="T207" t="n">
        <v>0</v>
      </c>
      <c r="U207" s="2" t="inlineStr"/>
    </row>
    <row r="208" ht="15" customHeight="1">
      <c r="A208" t="inlineStr">
        <is>
          <t>A 50835-2025</t>
        </is>
      </c>
      <c r="B208" t="inlineStr">
        <is>
          <t>avverkningsanmälan</t>
        </is>
      </c>
      <c r="C208" t="inlineStr">
        <is>
          <t>Föryngringsavverkning</t>
        </is>
      </c>
      <c r="D208" s="1" t="n">
        <v>45946</v>
      </c>
      <c r="E208" s="1" t="n">
        <v>46223</v>
      </c>
      <c r="F208" t="inlineStr">
        <is>
          <t>NORRBOTTENS LÄN</t>
        </is>
      </c>
      <c r="G208" t="inlineStr">
        <is>
          <t>ARVIDSJAUR</t>
        </is>
      </c>
      <c r="H208" t="inlineStr">
        <is>
          <t>Sveaskog</t>
        </is>
      </c>
      <c r="I208" t="n">
        <v>13.4</v>
      </c>
      <c r="J208" t="n">
        <v>0</v>
      </c>
      <c r="K208" t="n">
        <v>0</v>
      </c>
      <c r="L208" t="n">
        <v>0</v>
      </c>
      <c r="M208" t="n">
        <v>0</v>
      </c>
      <c r="N208" t="n">
        <v>0</v>
      </c>
      <c r="O208" t="n">
        <v>0</v>
      </c>
      <c r="P208" t="n">
        <v>0</v>
      </c>
      <c r="Q208" t="n">
        <v>0</v>
      </c>
      <c r="R208" t="n">
        <v>0</v>
      </c>
      <c r="S208" t="n">
        <v>0</v>
      </c>
      <c r="T208" t="n">
        <v>0</v>
      </c>
      <c r="U208" s="2" t="inlineStr"/>
    </row>
    <row r="209" ht="15" customHeight="1">
      <c r="A209" t="inlineStr">
        <is>
          <t>A 50838-2025</t>
        </is>
      </c>
      <c r="B209" t="inlineStr">
        <is>
          <t>avverkningsanmälan</t>
        </is>
      </c>
      <c r="C209" t="inlineStr">
        <is>
          <t>Föryngringsavverkning</t>
        </is>
      </c>
      <c r="D209" s="1" t="n">
        <v>45946</v>
      </c>
      <c r="E209" s="1" t="n">
        <v>46223</v>
      </c>
      <c r="F209" t="inlineStr">
        <is>
          <t>NORRBOTTENS LÄN</t>
        </is>
      </c>
      <c r="G209" t="inlineStr">
        <is>
          <t>ARVIDSJAUR</t>
        </is>
      </c>
      <c r="H209" t="inlineStr">
        <is>
          <t>Sveaskog</t>
        </is>
      </c>
      <c r="I209" t="n">
        <v>2.2</v>
      </c>
      <c r="J209" t="n">
        <v>0</v>
      </c>
      <c r="K209" t="n">
        <v>0</v>
      </c>
      <c r="L209" t="n">
        <v>0</v>
      </c>
      <c r="M209" t="n">
        <v>0</v>
      </c>
      <c r="N209" t="n">
        <v>0</v>
      </c>
      <c r="O209" t="n">
        <v>0</v>
      </c>
      <c r="P209" t="n">
        <v>0</v>
      </c>
      <c r="Q209" t="n">
        <v>0</v>
      </c>
      <c r="R209" t="n">
        <v>0</v>
      </c>
      <c r="S209" t="n">
        <v>0</v>
      </c>
      <c r="T209" t="n">
        <v>0</v>
      </c>
      <c r="U209" s="2" t="inlineStr"/>
    </row>
    <row r="210" ht="15" customHeight="1">
      <c r="A210" t="inlineStr">
        <is>
          <t>A 37788-2025</t>
        </is>
      </c>
      <c r="B210" t="inlineStr">
        <is>
          <t>avverkningsanmälan</t>
        </is>
      </c>
      <c r="C210" t="inlineStr">
        <is>
          <t>Föryngringsavverkning</t>
        </is>
      </c>
      <c r="D210" s="1" t="n">
        <v>45881</v>
      </c>
      <c r="E210" s="1" t="n">
        <v>46223</v>
      </c>
      <c r="F210" t="inlineStr">
        <is>
          <t>NORRBOTTENS LÄN</t>
        </is>
      </c>
      <c r="G210" t="inlineStr">
        <is>
          <t>ARVIDSJAUR</t>
        </is>
      </c>
      <c r="H210" t="inlineStr">
        <is>
          <t>Sveaskog</t>
        </is>
      </c>
      <c r="I210" t="n">
        <v>13.8</v>
      </c>
      <c r="J210" t="n">
        <v>0</v>
      </c>
      <c r="K210" t="n">
        <v>0</v>
      </c>
      <c r="L210" t="n">
        <v>0</v>
      </c>
      <c r="M210" t="n">
        <v>0</v>
      </c>
      <c r="N210" t="n">
        <v>0</v>
      </c>
      <c r="O210" t="n">
        <v>0</v>
      </c>
      <c r="P210" t="n">
        <v>0</v>
      </c>
      <c r="Q210" t="n">
        <v>0</v>
      </c>
      <c r="R210" t="n">
        <v>0</v>
      </c>
      <c r="S210" t="n">
        <v>0</v>
      </c>
      <c r="T210" t="n">
        <v>0</v>
      </c>
      <c r="U210" s="2" t="inlineStr"/>
    </row>
    <row r="211" ht="15" customHeight="1">
      <c r="A211" t="inlineStr">
        <is>
          <t>A 37790-2025</t>
        </is>
      </c>
      <c r="B211" t="inlineStr">
        <is>
          <t>avverkningsanmälan</t>
        </is>
      </c>
      <c r="C211" t="inlineStr">
        <is>
          <t>Föryngringsavverkning</t>
        </is>
      </c>
      <c r="D211" s="1" t="n">
        <v>45881</v>
      </c>
      <c r="E211" s="1" t="n">
        <v>46223</v>
      </c>
      <c r="F211" t="inlineStr">
        <is>
          <t>NORRBOTTENS LÄN</t>
        </is>
      </c>
      <c r="G211" t="inlineStr">
        <is>
          <t>ARVIDSJAUR</t>
        </is>
      </c>
      <c r="H211" t="inlineStr">
        <is>
          <t>Sveaskog</t>
        </is>
      </c>
      <c r="I211" t="n">
        <v>6</v>
      </c>
      <c r="J211" t="n">
        <v>0</v>
      </c>
      <c r="K211" t="n">
        <v>0</v>
      </c>
      <c r="L211" t="n">
        <v>0</v>
      </c>
      <c r="M211" t="n">
        <v>0</v>
      </c>
      <c r="N211" t="n">
        <v>0</v>
      </c>
      <c r="O211" t="n">
        <v>0</v>
      </c>
      <c r="P211" t="n">
        <v>0</v>
      </c>
      <c r="Q211" t="n">
        <v>0</v>
      </c>
      <c r="R211" t="n">
        <v>0</v>
      </c>
      <c r="S211" t="n">
        <v>0</v>
      </c>
      <c r="T211" t="n">
        <v>0</v>
      </c>
      <c r="U211" s="2" t="inlineStr"/>
    </row>
    <row r="212" ht="15" customHeight="1">
      <c r="A212" t="inlineStr">
        <is>
          <t>A 51406-2025</t>
        </is>
      </c>
      <c r="B212" t="inlineStr">
        <is>
          <t>avverkningsanmälan</t>
        </is>
      </c>
      <c r="C212" t="inlineStr">
        <is>
          <t>Föryngringsavverkning</t>
        </is>
      </c>
      <c r="D212" s="1" t="n">
        <v>45950</v>
      </c>
      <c r="E212" s="1" t="n">
        <v>46223</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26686-2024</t>
        </is>
      </c>
      <c r="B213" t="inlineStr">
        <is>
          <t>avverkningsanmälan</t>
        </is>
      </c>
      <c r="C213" t="inlineStr">
        <is>
          <t>Föryngringsavverkning</t>
        </is>
      </c>
      <c r="D213" s="1" t="n">
        <v>45470</v>
      </c>
      <c r="E213" s="1" t="n">
        <v>46223</v>
      </c>
      <c r="F213" t="inlineStr">
        <is>
          <t>NORRBOTTENS LÄN</t>
        </is>
      </c>
      <c r="G213" t="inlineStr">
        <is>
          <t>ARVIDSJAUR</t>
        </is>
      </c>
      <c r="H213" t="inlineStr">
        <is>
          <t>Sveaskog</t>
        </is>
      </c>
      <c r="I213" t="n">
        <v>9.300000000000001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10838-2025</t>
        </is>
      </c>
      <c r="B214" t="inlineStr">
        <is>
          <t>avverkningsanmälan</t>
        </is>
      </c>
      <c r="C214" t="inlineStr">
        <is>
          <t>Föryngringsavverkning</t>
        </is>
      </c>
      <c r="D214" s="1" t="n">
        <v>45722</v>
      </c>
      <c r="E214" s="1" t="n">
        <v>46223</v>
      </c>
      <c r="F214" t="inlineStr">
        <is>
          <t>NORRBOTTENS LÄN</t>
        </is>
      </c>
      <c r="G214" t="inlineStr">
        <is>
          <t>ARVIDSJAUR</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11574-2025</t>
        </is>
      </c>
      <c r="B215" t="inlineStr">
        <is>
          <t>avverkningsanmälan</t>
        </is>
      </c>
      <c r="C215" t="inlineStr">
        <is>
          <t>Föryngringsavverkning</t>
        </is>
      </c>
      <c r="D215" s="1" t="n">
        <v>45726</v>
      </c>
      <c r="E215" s="1" t="n">
        <v>46223</v>
      </c>
      <c r="F215" t="inlineStr">
        <is>
          <t>NORRBOTTENS LÄN</t>
        </is>
      </c>
      <c r="G215" t="inlineStr">
        <is>
          <t>ARVIDSJAUR</t>
        </is>
      </c>
      <c r="H215" t="inlineStr">
        <is>
          <t>Allmännings- och besparingsskogar</t>
        </is>
      </c>
      <c r="I215" t="n">
        <v>3.6</v>
      </c>
      <c r="J215" t="n">
        <v>0</v>
      </c>
      <c r="K215" t="n">
        <v>0</v>
      </c>
      <c r="L215" t="n">
        <v>0</v>
      </c>
      <c r="M215" t="n">
        <v>0</v>
      </c>
      <c r="N215" t="n">
        <v>0</v>
      </c>
      <c r="O215" t="n">
        <v>0</v>
      </c>
      <c r="P215" t="n">
        <v>0</v>
      </c>
      <c r="Q215" t="n">
        <v>0</v>
      </c>
      <c r="R215" t="n">
        <v>0</v>
      </c>
      <c r="S215" t="n">
        <v>0</v>
      </c>
      <c r="T215" t="n">
        <v>0</v>
      </c>
      <c r="U215" s="2" t="inlineStr"/>
    </row>
    <row r="216" ht="15" customHeight="1">
      <c r="A216" t="inlineStr">
        <is>
          <t>A 52127-2025</t>
        </is>
      </c>
      <c r="B216" t="inlineStr">
        <is>
          <t>avverkningsanmälan</t>
        </is>
      </c>
      <c r="C216" t="inlineStr">
        <is>
          <t>Föryngringsavverkning</t>
        </is>
      </c>
      <c r="D216" s="1" t="n">
        <v>45952</v>
      </c>
      <c r="E216" s="1" t="n">
        <v>46223</v>
      </c>
      <c r="F216" t="inlineStr">
        <is>
          <t>NORRBOTTENS LÄN</t>
        </is>
      </c>
      <c r="G216" t="inlineStr">
        <is>
          <t>ARVIDSJAUR</t>
        </is>
      </c>
      <c r="H216" t="inlineStr">
        <is>
          <t>Sveaskog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52438-2025</t>
        </is>
      </c>
      <c r="B217" t="inlineStr">
        <is>
          <t>avverkningsanmälan</t>
        </is>
      </c>
      <c r="C217" t="inlineStr">
        <is>
          <t>Föryngringsavverkning</t>
        </is>
      </c>
      <c r="D217" s="1" t="n">
        <v>45954</v>
      </c>
      <c r="E217" s="1" t="n">
        <v>46223</v>
      </c>
      <c r="F217" t="inlineStr">
        <is>
          <t>NORRBOTTENS LÄN</t>
        </is>
      </c>
      <c r="G217" t="inlineStr">
        <is>
          <t>ARVIDSJAUR</t>
        </is>
      </c>
      <c r="H217" t="inlineStr">
        <is>
          <t>Sveaskog</t>
        </is>
      </c>
      <c r="I217" t="n">
        <v>17.8</v>
      </c>
      <c r="J217" t="n">
        <v>0</v>
      </c>
      <c r="K217" t="n">
        <v>0</v>
      </c>
      <c r="L217" t="n">
        <v>0</v>
      </c>
      <c r="M217" t="n">
        <v>0</v>
      </c>
      <c r="N217" t="n">
        <v>0</v>
      </c>
      <c r="O217" t="n">
        <v>0</v>
      </c>
      <c r="P217" t="n">
        <v>0</v>
      </c>
      <c r="Q217" t="n">
        <v>0</v>
      </c>
      <c r="R217" t="n">
        <v>0</v>
      </c>
      <c r="S217" t="n">
        <v>0</v>
      </c>
      <c r="T217" t="n">
        <v>0</v>
      </c>
      <c r="U217" s="2" t="inlineStr"/>
    </row>
    <row r="218" ht="15" customHeight="1">
      <c r="A218" t="inlineStr">
        <is>
          <t>A 61625-2024</t>
        </is>
      </c>
      <c r="B218" t="inlineStr">
        <is>
          <t>avverkningsanmälan</t>
        </is>
      </c>
      <c r="C218" t="inlineStr">
        <is>
          <t>Föryngringsavverkning</t>
        </is>
      </c>
      <c r="D218" s="1" t="n">
        <v>45646</v>
      </c>
      <c r="E218" s="1" t="n">
        <v>46223</v>
      </c>
      <c r="F218" t="inlineStr">
        <is>
          <t>NORRBOTTENS LÄN</t>
        </is>
      </c>
      <c r="G218" t="inlineStr">
        <is>
          <t>ARVIDSJAUR</t>
        </is>
      </c>
      <c r="H218" t="inlineStr">
        <is>
          <t>Sveaskog</t>
        </is>
      </c>
      <c r="I218" t="n">
        <v>7.7</v>
      </c>
      <c r="J218" t="n">
        <v>0</v>
      </c>
      <c r="K218" t="n">
        <v>0</v>
      </c>
      <c r="L218" t="n">
        <v>0</v>
      </c>
      <c r="M218" t="n">
        <v>0</v>
      </c>
      <c r="N218" t="n">
        <v>0</v>
      </c>
      <c r="O218" t="n">
        <v>0</v>
      </c>
      <c r="P218" t="n">
        <v>0</v>
      </c>
      <c r="Q218" t="n">
        <v>0</v>
      </c>
      <c r="R218" t="n">
        <v>0</v>
      </c>
      <c r="S218" t="n">
        <v>0</v>
      </c>
      <c r="T218" t="n">
        <v>0</v>
      </c>
      <c r="U218" s="2" t="inlineStr"/>
    </row>
    <row r="219" ht="15" customHeight="1">
      <c r="A219" t="inlineStr">
        <is>
          <t>A 52448-2025</t>
        </is>
      </c>
      <c r="B219" t="inlineStr">
        <is>
          <t>avverkningsanmälan</t>
        </is>
      </c>
      <c r="C219" t="inlineStr">
        <is>
          <t>Föryngringsavverkning</t>
        </is>
      </c>
      <c r="D219" s="1" t="n">
        <v>45954</v>
      </c>
      <c r="E219" s="1" t="n">
        <v>46223</v>
      </c>
      <c r="F219" t="inlineStr">
        <is>
          <t>NORRBOTTENS LÄN</t>
        </is>
      </c>
      <c r="G219" t="inlineStr">
        <is>
          <t>ARVIDSJAUR</t>
        </is>
      </c>
      <c r="H219" t="inlineStr">
        <is>
          <t>Sveaskog</t>
        </is>
      </c>
      <c r="I219" t="n">
        <v>18.6</v>
      </c>
      <c r="J219" t="n">
        <v>0</v>
      </c>
      <c r="K219" t="n">
        <v>0</v>
      </c>
      <c r="L219" t="n">
        <v>0</v>
      </c>
      <c r="M219" t="n">
        <v>0</v>
      </c>
      <c r="N219" t="n">
        <v>0</v>
      </c>
      <c r="O219" t="n">
        <v>0</v>
      </c>
      <c r="P219" t="n">
        <v>0</v>
      </c>
      <c r="Q219" t="n">
        <v>0</v>
      </c>
      <c r="R219" t="n">
        <v>0</v>
      </c>
      <c r="S219" t="n">
        <v>0</v>
      </c>
      <c r="T219" t="n">
        <v>0</v>
      </c>
      <c r="U219" s="2" t="inlineStr"/>
    </row>
    <row r="220" ht="15" customHeight="1">
      <c r="A220" t="inlineStr">
        <is>
          <t>A 52948-2025</t>
        </is>
      </c>
      <c r="B220" t="inlineStr">
        <is>
          <t>avverkningsanmälan</t>
        </is>
      </c>
      <c r="C220" t="inlineStr">
        <is>
          <t>Föryngringsavverkning</t>
        </is>
      </c>
      <c r="D220" s="1" t="n">
        <v>45957</v>
      </c>
      <c r="E220" s="1" t="n">
        <v>46223</v>
      </c>
      <c r="F220" t="inlineStr">
        <is>
          <t>NORRBOTTENS LÄN</t>
        </is>
      </c>
      <c r="G220" t="inlineStr">
        <is>
          <t>ARVIDSJAUR</t>
        </is>
      </c>
      <c r="H220" t="inlineStr">
        <is>
          <t>Sveaskog</t>
        </is>
      </c>
      <c r="I220" t="n">
        <v>35.3</v>
      </c>
      <c r="J220" t="n">
        <v>0</v>
      </c>
      <c r="K220" t="n">
        <v>0</v>
      </c>
      <c r="L220" t="n">
        <v>0</v>
      </c>
      <c r="M220" t="n">
        <v>0</v>
      </c>
      <c r="N220" t="n">
        <v>0</v>
      </c>
      <c r="O220" t="n">
        <v>0</v>
      </c>
      <c r="P220" t="n">
        <v>0</v>
      </c>
      <c r="Q220" t="n">
        <v>0</v>
      </c>
      <c r="R220" t="n">
        <v>0</v>
      </c>
      <c r="S220" t="n">
        <v>0</v>
      </c>
      <c r="T220" t="n">
        <v>0</v>
      </c>
      <c r="U220" s="2" t="inlineStr"/>
    </row>
    <row r="221" ht="15" customHeight="1">
      <c r="A221" t="inlineStr">
        <is>
          <t>A 2301-2026</t>
        </is>
      </c>
      <c r="B221" t="inlineStr">
        <is>
          <t>avverkningsanmälan</t>
        </is>
      </c>
      <c r="C221" t="inlineStr">
        <is>
          <t>Föryngringsavverkning</t>
        </is>
      </c>
      <c r="D221" s="1" t="n">
        <v>46034</v>
      </c>
      <c r="E221" s="1" t="n">
        <v>46223</v>
      </c>
      <c r="F221" t="inlineStr">
        <is>
          <t>NORRBOTTENS LÄN</t>
        </is>
      </c>
      <c r="G221" t="inlineStr">
        <is>
          <t>ARVIDSJAUR</t>
        </is>
      </c>
      <c r="H221" t="inlineStr">
        <is>
          <t>Allmännings- och besparingsskogar</t>
        </is>
      </c>
      <c r="I221" t="n">
        <v>6.9</v>
      </c>
      <c r="J221" t="n">
        <v>0</v>
      </c>
      <c r="K221" t="n">
        <v>0</v>
      </c>
      <c r="L221" t="n">
        <v>0</v>
      </c>
      <c r="M221" t="n">
        <v>0</v>
      </c>
      <c r="N221" t="n">
        <v>0</v>
      </c>
      <c r="O221" t="n">
        <v>0</v>
      </c>
      <c r="P221" t="n">
        <v>0</v>
      </c>
      <c r="Q221" t="n">
        <v>0</v>
      </c>
      <c r="R221" t="n">
        <v>0</v>
      </c>
      <c r="S221" t="n">
        <v>0</v>
      </c>
      <c r="T221" t="n">
        <v>0</v>
      </c>
      <c r="U221" s="2" t="inlineStr"/>
    </row>
    <row r="222" ht="15" customHeight="1">
      <c r="A222" t="inlineStr">
        <is>
          <t>A 11582-2025</t>
        </is>
      </c>
      <c r="B222" t="inlineStr">
        <is>
          <t>avverkningsanmälan</t>
        </is>
      </c>
      <c r="C222" t="inlineStr">
        <is>
          <t>Föryngringsavverkning</t>
        </is>
      </c>
      <c r="D222" s="1" t="n">
        <v>45726</v>
      </c>
      <c r="E222" s="1" t="n">
        <v>46223</v>
      </c>
      <c r="F222" t="inlineStr">
        <is>
          <t>NORRBOTTENS LÄN</t>
        </is>
      </c>
      <c r="G222" t="inlineStr">
        <is>
          <t>ARVIDSJAUR</t>
        </is>
      </c>
      <c r="H222" t="inlineStr">
        <is>
          <t>Allmännings- och besparingsskogar</t>
        </is>
      </c>
      <c r="I222" t="n">
        <v>7.1</v>
      </c>
      <c r="J222" t="n">
        <v>0</v>
      </c>
      <c r="K222" t="n">
        <v>0</v>
      </c>
      <c r="L222" t="n">
        <v>0</v>
      </c>
      <c r="M222" t="n">
        <v>0</v>
      </c>
      <c r="N222" t="n">
        <v>0</v>
      </c>
      <c r="O222" t="n">
        <v>0</v>
      </c>
      <c r="P222" t="n">
        <v>0</v>
      </c>
      <c r="Q222" t="n">
        <v>0</v>
      </c>
      <c r="R222" t="n">
        <v>0</v>
      </c>
      <c r="S222" t="n">
        <v>0</v>
      </c>
      <c r="T222" t="n">
        <v>0</v>
      </c>
      <c r="U222" s="2" t="inlineStr"/>
    </row>
    <row r="223" ht="15" customHeight="1">
      <c r="A223" t="inlineStr">
        <is>
          <t>A 11538-2025</t>
        </is>
      </c>
      <c r="B223" t="inlineStr">
        <is>
          <t>avverkningsanmälan</t>
        </is>
      </c>
      <c r="C223" t="inlineStr">
        <is>
          <t>Föryngringsavverkning</t>
        </is>
      </c>
      <c r="D223" s="1" t="n">
        <v>45726</v>
      </c>
      <c r="E223" s="1" t="n">
        <v>46223</v>
      </c>
      <c r="F223" t="inlineStr">
        <is>
          <t>NORRBOTTENS LÄN</t>
        </is>
      </c>
      <c r="G223" t="inlineStr">
        <is>
          <t>ARVIDSJAUR</t>
        </is>
      </c>
      <c r="H223" t="inlineStr">
        <is>
          <t>Allmännings- och besparingsskogar</t>
        </is>
      </c>
      <c r="I223" t="n">
        <v>15.3</v>
      </c>
      <c r="J223" t="n">
        <v>0</v>
      </c>
      <c r="K223" t="n">
        <v>0</v>
      </c>
      <c r="L223" t="n">
        <v>0</v>
      </c>
      <c r="M223" t="n">
        <v>0</v>
      </c>
      <c r="N223" t="n">
        <v>0</v>
      </c>
      <c r="O223" t="n">
        <v>0</v>
      </c>
      <c r="P223" t="n">
        <v>0</v>
      </c>
      <c r="Q223" t="n">
        <v>0</v>
      </c>
      <c r="R223" t="n">
        <v>0</v>
      </c>
      <c r="S223" t="n">
        <v>0</v>
      </c>
      <c r="T223" t="n">
        <v>0</v>
      </c>
      <c r="U223" s="2" t="inlineStr"/>
    </row>
    <row r="224" ht="15" customHeight="1">
      <c r="A224" t="inlineStr">
        <is>
          <t>A 52646-2023</t>
        </is>
      </c>
      <c r="B224" t="inlineStr">
        <is>
          <t>avverkningsanmälan</t>
        </is>
      </c>
      <c r="C224" t="inlineStr">
        <is>
          <t>Föryngringsavverkning</t>
        </is>
      </c>
      <c r="D224" s="1" t="n">
        <v>45225</v>
      </c>
      <c r="E224" s="1" t="n">
        <v>46223</v>
      </c>
      <c r="F224" t="inlineStr">
        <is>
          <t>NORRBOTTENS LÄN</t>
        </is>
      </c>
      <c r="G224" t="inlineStr">
        <is>
          <t>ARVIDSJAUR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58942-2024</t>
        </is>
      </c>
      <c r="B225" t="inlineStr">
        <is>
          <t>avverkningsanmälan</t>
        </is>
      </c>
      <c r="C225" t="inlineStr">
        <is>
          <t>Avverkning för annat ändamål</t>
        </is>
      </c>
      <c r="D225" s="1" t="n">
        <v>45636</v>
      </c>
      <c r="E225" s="1" t="n">
        <v>46223</v>
      </c>
      <c r="F225" t="inlineStr">
        <is>
          <t>NORRBOTTENS LÄN</t>
        </is>
      </c>
      <c r="G225" t="inlineStr">
        <is>
          <t>ARVIDSJAUR</t>
        </is>
      </c>
      <c r="H225" t="inlineStr">
        <is>
          <t>Sveaskog</t>
        </is>
      </c>
      <c r="I225" t="n">
        <v>5.9</v>
      </c>
      <c r="J225" t="n">
        <v>0</v>
      </c>
      <c r="K225" t="n">
        <v>0</v>
      </c>
      <c r="L225" t="n">
        <v>0</v>
      </c>
      <c r="M225" t="n">
        <v>0</v>
      </c>
      <c r="N225" t="n">
        <v>0</v>
      </c>
      <c r="O225" t="n">
        <v>0</v>
      </c>
      <c r="P225" t="n">
        <v>0</v>
      </c>
      <c r="Q225" t="n">
        <v>0</v>
      </c>
      <c r="R225" t="n">
        <v>0</v>
      </c>
      <c r="S225" t="n">
        <v>0</v>
      </c>
      <c r="T225" t="n">
        <v>0</v>
      </c>
      <c r="U225" s="2" t="inlineStr"/>
    </row>
    <row r="226" ht="15" customHeight="1">
      <c r="A226" t="inlineStr">
        <is>
          <t>A 54223-2025</t>
        </is>
      </c>
      <c r="B226" t="inlineStr">
        <is>
          <t>avverkningsanmälan</t>
        </is>
      </c>
      <c r="C226" t="inlineStr">
        <is>
          <t>Föryngringsavverkning</t>
        </is>
      </c>
      <c r="D226" s="1" t="n">
        <v>45964</v>
      </c>
      <c r="E226" s="1" t="n">
        <v>46223</v>
      </c>
      <c r="F226" t="inlineStr">
        <is>
          <t>NORRBOTTENS LÄN</t>
        </is>
      </c>
      <c r="G226" t="inlineStr">
        <is>
          <t>ARVIDSJAUR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56495-2024</t>
        </is>
      </c>
      <c r="B227" t="inlineStr">
        <is>
          <t>avverkningsanmälan</t>
        </is>
      </c>
      <c r="C227" t="inlineStr">
        <is>
          <t>Föryngringsavverkning</t>
        </is>
      </c>
      <c r="D227" s="1" t="n">
        <v>45625</v>
      </c>
      <c r="E227" s="1" t="n">
        <v>46223</v>
      </c>
      <c r="F227" t="inlineStr">
        <is>
          <t>NORRBOTTENS LÄN</t>
        </is>
      </c>
      <c r="G227" t="inlineStr">
        <is>
          <t>ARVIDSJAUR</t>
        </is>
      </c>
      <c r="I227" t="n">
        <v>14.1</v>
      </c>
      <c r="J227" t="n">
        <v>0</v>
      </c>
      <c r="K227" t="n">
        <v>0</v>
      </c>
      <c r="L227" t="n">
        <v>0</v>
      </c>
      <c r="M227" t="n">
        <v>0</v>
      </c>
      <c r="N227" t="n">
        <v>0</v>
      </c>
      <c r="O227" t="n">
        <v>0</v>
      </c>
      <c r="P227" t="n">
        <v>0</v>
      </c>
      <c r="Q227" t="n">
        <v>0</v>
      </c>
      <c r="R227" t="n">
        <v>0</v>
      </c>
      <c r="S227" t="n">
        <v>0</v>
      </c>
      <c r="T227" t="n">
        <v>0</v>
      </c>
      <c r="U227" s="2" t="inlineStr"/>
    </row>
    <row r="228" ht="15" customHeight="1">
      <c r="A228" t="inlineStr">
        <is>
          <t>A 54305-2025</t>
        </is>
      </c>
      <c r="B228" t="inlineStr">
        <is>
          <t>avverkningsanmälan</t>
        </is>
      </c>
      <c r="C228" t="inlineStr">
        <is>
          <t>Föryngringsavverkning</t>
        </is>
      </c>
      <c r="D228" s="1" t="n">
        <v>45965</v>
      </c>
      <c r="E228" s="1" t="n">
        <v>46223</v>
      </c>
      <c r="F228" t="inlineStr">
        <is>
          <t>NORRBOTTENS LÄN</t>
        </is>
      </c>
      <c r="G228" t="inlineStr">
        <is>
          <t>ARVIDSJAUR</t>
        </is>
      </c>
      <c r="H228" t="inlineStr">
        <is>
          <t>Sveaskog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54304-2025</t>
        </is>
      </c>
      <c r="B229" t="inlineStr">
        <is>
          <t>avverkningsanmälan</t>
        </is>
      </c>
      <c r="C229" t="inlineStr">
        <is>
          <t>Föryngringsavverkning</t>
        </is>
      </c>
      <c r="D229" s="1" t="n">
        <v>45965</v>
      </c>
      <c r="E229" s="1" t="n">
        <v>46223</v>
      </c>
      <c r="F229" t="inlineStr">
        <is>
          <t>NORRBOTTENS LÄN</t>
        </is>
      </c>
      <c r="G229" t="inlineStr">
        <is>
          <t>ARVIDSJAUR</t>
        </is>
      </c>
      <c r="H229" t="inlineStr">
        <is>
          <t>Sveaskog</t>
        </is>
      </c>
      <c r="I229" t="n">
        <v>12.4</v>
      </c>
      <c r="J229" t="n">
        <v>0</v>
      </c>
      <c r="K229" t="n">
        <v>0</v>
      </c>
      <c r="L229" t="n">
        <v>0</v>
      </c>
      <c r="M229" t="n">
        <v>0</v>
      </c>
      <c r="N229" t="n">
        <v>0</v>
      </c>
      <c r="O229" t="n">
        <v>0</v>
      </c>
      <c r="P229" t="n">
        <v>0</v>
      </c>
      <c r="Q229" t="n">
        <v>0</v>
      </c>
      <c r="R229" t="n">
        <v>0</v>
      </c>
      <c r="S229" t="n">
        <v>0</v>
      </c>
      <c r="T229" t="n">
        <v>0</v>
      </c>
      <c r="U229" s="2" t="inlineStr"/>
    </row>
    <row r="230" ht="15" customHeight="1">
      <c r="A230" t="inlineStr">
        <is>
          <t>A 54303-2025</t>
        </is>
      </c>
      <c r="B230" t="inlineStr">
        <is>
          <t>avverkningsanmälan</t>
        </is>
      </c>
      <c r="C230" t="inlineStr">
        <is>
          <t>Föryngringsavverkning</t>
        </is>
      </c>
      <c r="D230" s="1" t="n">
        <v>45965</v>
      </c>
      <c r="E230" s="1" t="n">
        <v>46223</v>
      </c>
      <c r="F230" t="inlineStr">
        <is>
          <t>NORRBOTTENS LÄN</t>
        </is>
      </c>
      <c r="G230" t="inlineStr">
        <is>
          <t>ARVIDSJAUR</t>
        </is>
      </c>
      <c r="H230" t="inlineStr">
        <is>
          <t>Sveaskog</t>
        </is>
      </c>
      <c r="I230" t="n">
        <v>14.5</v>
      </c>
      <c r="J230" t="n">
        <v>0</v>
      </c>
      <c r="K230" t="n">
        <v>0</v>
      </c>
      <c r="L230" t="n">
        <v>0</v>
      </c>
      <c r="M230" t="n">
        <v>0</v>
      </c>
      <c r="N230" t="n">
        <v>0</v>
      </c>
      <c r="O230" t="n">
        <v>0</v>
      </c>
      <c r="P230" t="n">
        <v>0</v>
      </c>
      <c r="Q230" t="n">
        <v>0</v>
      </c>
      <c r="R230" t="n">
        <v>0</v>
      </c>
      <c r="S230" t="n">
        <v>0</v>
      </c>
      <c r="T230" t="n">
        <v>0</v>
      </c>
      <c r="U230" s="2" t="inlineStr"/>
    </row>
    <row r="231" ht="15" customHeight="1">
      <c r="A231" t="inlineStr">
        <is>
          <t>A 10329-2026</t>
        </is>
      </c>
      <c r="B231" t="inlineStr">
        <is>
          <t>avverkningsanmälan</t>
        </is>
      </c>
      <c r="C231" t="inlineStr">
        <is>
          <t>Föryngringsavverkning</t>
        </is>
      </c>
      <c r="D231" s="1" t="n">
        <v>46076</v>
      </c>
      <c r="E231" s="1" t="n">
        <v>46223</v>
      </c>
      <c r="F231" t="inlineStr">
        <is>
          <t>NORRBOTTENS LÄN</t>
        </is>
      </c>
      <c r="G231" t="inlineStr">
        <is>
          <t>ARVIDSJAUR</t>
        </is>
      </c>
      <c r="H231" t="inlineStr">
        <is>
          <t>Sveaskog</t>
        </is>
      </c>
      <c r="I231" t="n">
        <v>9.699999999999999</v>
      </c>
      <c r="J231" t="n">
        <v>0</v>
      </c>
      <c r="K231" t="n">
        <v>0</v>
      </c>
      <c r="L231" t="n">
        <v>0</v>
      </c>
      <c r="M231" t="n">
        <v>0</v>
      </c>
      <c r="N231" t="n">
        <v>0</v>
      </c>
      <c r="O231" t="n">
        <v>0</v>
      </c>
      <c r="P231" t="n">
        <v>0</v>
      </c>
      <c r="Q231" t="n">
        <v>0</v>
      </c>
      <c r="R231" t="n">
        <v>0</v>
      </c>
      <c r="S231" t="n">
        <v>0</v>
      </c>
      <c r="T231" t="n">
        <v>0</v>
      </c>
      <c r="U231" s="2" t="inlineStr"/>
    </row>
    <row r="232" ht="15" customHeight="1">
      <c r="A232" t="inlineStr">
        <is>
          <t>A 9854-2026</t>
        </is>
      </c>
      <c r="B232" t="inlineStr">
        <is>
          <t>avverkningsanmälan</t>
        </is>
      </c>
      <c r="C232" t="inlineStr">
        <is>
          <t>Föryngringsavverkning</t>
        </is>
      </c>
      <c r="D232" s="1" t="n">
        <v>46072</v>
      </c>
      <c r="E232" s="1" t="n">
        <v>46223</v>
      </c>
      <c r="F232" t="inlineStr">
        <is>
          <t>NORRBOTTENS LÄN</t>
        </is>
      </c>
      <c r="G232" t="inlineStr">
        <is>
          <t>ARVIDSJAUR</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10317-2026</t>
        </is>
      </c>
      <c r="B233" t="inlineStr">
        <is>
          <t>avverkningsanmälan</t>
        </is>
      </c>
      <c r="C233" t="inlineStr">
        <is>
          <t>Föryngringsavverkning</t>
        </is>
      </c>
      <c r="D233" s="1" t="n">
        <v>46076</v>
      </c>
      <c r="E233" s="1" t="n">
        <v>46223</v>
      </c>
      <c r="F233" t="inlineStr">
        <is>
          <t>NORRBOTTENS LÄN</t>
        </is>
      </c>
      <c r="G233" t="inlineStr">
        <is>
          <t>ARVIDSJAUR</t>
        </is>
      </c>
      <c r="H233" t="inlineStr">
        <is>
          <t>Sveaskog</t>
        </is>
      </c>
      <c r="I233" t="n">
        <v>9.1</v>
      </c>
      <c r="J233" t="n">
        <v>0</v>
      </c>
      <c r="K233" t="n">
        <v>0</v>
      </c>
      <c r="L233" t="n">
        <v>0</v>
      </c>
      <c r="M233" t="n">
        <v>0</v>
      </c>
      <c r="N233" t="n">
        <v>0</v>
      </c>
      <c r="O233" t="n">
        <v>0</v>
      </c>
      <c r="P233" t="n">
        <v>0</v>
      </c>
      <c r="Q233" t="n">
        <v>0</v>
      </c>
      <c r="R233" t="n">
        <v>0</v>
      </c>
      <c r="S233" t="n">
        <v>0</v>
      </c>
      <c r="T233" t="n">
        <v>0</v>
      </c>
      <c r="U233" s="2" t="inlineStr"/>
    </row>
    <row r="234" ht="15" customHeight="1">
      <c r="A234" t="inlineStr">
        <is>
          <t>A 39619-2022</t>
        </is>
      </c>
      <c r="B234" t="inlineStr">
        <is>
          <t>avverkningsanmälan</t>
        </is>
      </c>
      <c r="C234" t="inlineStr">
        <is>
          <t>Föryngringsavverkning</t>
        </is>
      </c>
      <c r="D234" s="1" t="n">
        <v>44818</v>
      </c>
      <c r="E234" s="1" t="n">
        <v>46223</v>
      </c>
      <c r="F234" t="inlineStr">
        <is>
          <t>NORRBOTTENS LÄN</t>
        </is>
      </c>
      <c r="G234" t="inlineStr">
        <is>
          <t>ARVIDSJAUR</t>
        </is>
      </c>
      <c r="H234" t="inlineStr">
        <is>
          <t>Sveaskog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10555-2026</t>
        </is>
      </c>
      <c r="B235" t="inlineStr">
        <is>
          <t>avverkningsanmälan</t>
        </is>
      </c>
      <c r="C235" t="inlineStr">
        <is>
          <t>Avverkning för annat ändamål</t>
        </is>
      </c>
      <c r="D235" s="1" t="n">
        <v>46077</v>
      </c>
      <c r="E235" s="1" t="n">
        <v>46223</v>
      </c>
      <c r="F235" t="inlineStr">
        <is>
          <t>NORRBOTTENS LÄN</t>
        </is>
      </c>
      <c r="G235" t="inlineStr">
        <is>
          <t>ARVIDSJAUR</t>
        </is>
      </c>
      <c r="H235" t="inlineStr">
        <is>
          <t>Sveaskog</t>
        </is>
      </c>
      <c r="I235" t="n">
        <v>5.4</v>
      </c>
      <c r="J235" t="n">
        <v>0</v>
      </c>
      <c r="K235" t="n">
        <v>0</v>
      </c>
      <c r="L235" t="n">
        <v>0</v>
      </c>
      <c r="M235" t="n">
        <v>0</v>
      </c>
      <c r="N235" t="n">
        <v>0</v>
      </c>
      <c r="O235" t="n">
        <v>0</v>
      </c>
      <c r="P235" t="n">
        <v>0</v>
      </c>
      <c r="Q235" t="n">
        <v>0</v>
      </c>
      <c r="R235" t="n">
        <v>0</v>
      </c>
      <c r="S235" t="n">
        <v>0</v>
      </c>
      <c r="T235" t="n">
        <v>0</v>
      </c>
      <c r="U235" s="2" t="inlineStr"/>
    </row>
    <row r="236" ht="15" customHeight="1">
      <c r="A236" t="inlineStr">
        <is>
          <t>A 55755-2025</t>
        </is>
      </c>
      <c r="B236" t="inlineStr">
        <is>
          <t>avverkningsanmälan</t>
        </is>
      </c>
      <c r="C236" t="inlineStr">
        <is>
          <t>Föryngringsavverkning</t>
        </is>
      </c>
      <c r="D236" s="1" t="n">
        <v>45972</v>
      </c>
      <c r="E236" s="1" t="n">
        <v>46223</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s="2" t="inlineStr"/>
    </row>
    <row r="237" ht="15" customHeight="1">
      <c r="A237" t="inlineStr">
        <is>
          <t>A 19237-2025</t>
        </is>
      </c>
      <c r="B237" t="inlineStr">
        <is>
          <t>avverkningsanmälan</t>
        </is>
      </c>
      <c r="C237" t="inlineStr">
        <is>
          <t>Avverkning för annat ändamål</t>
        </is>
      </c>
      <c r="D237" s="1" t="n">
        <v>45769</v>
      </c>
      <c r="E237" s="1" t="n">
        <v>46223</v>
      </c>
      <c r="F237" t="inlineStr">
        <is>
          <t>NORRBOTTENS LÄN</t>
        </is>
      </c>
      <c r="G237" t="inlineStr">
        <is>
          <t>ARVIDSJAUR</t>
        </is>
      </c>
      <c r="H237" t="inlineStr">
        <is>
          <t>Sveaskog</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56283-2025</t>
        </is>
      </c>
      <c r="B238" t="inlineStr">
        <is>
          <t>avverkningsanmälan</t>
        </is>
      </c>
      <c r="C238" t="inlineStr">
        <is>
          <t>Föryngringsavverkning</t>
        </is>
      </c>
      <c r="D238" s="1" t="n">
        <v>45974</v>
      </c>
      <c r="E238" s="1" t="n">
        <v>46223</v>
      </c>
      <c r="F238" t="inlineStr">
        <is>
          <t>NORRBOTTENS LÄN</t>
        </is>
      </c>
      <c r="G238" t="inlineStr">
        <is>
          <t>ARVIDSJAUR</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56173-2025</t>
        </is>
      </c>
      <c r="B239" t="inlineStr">
        <is>
          <t>avverkningsanmälan</t>
        </is>
      </c>
      <c r="C239" t="inlineStr">
        <is>
          <t>Föryngringsavverkning</t>
        </is>
      </c>
      <c r="D239" s="1" t="n">
        <v>45974</v>
      </c>
      <c r="E239" s="1" t="n">
        <v>46223</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56168-2025</t>
        </is>
      </c>
      <c r="B240" t="inlineStr">
        <is>
          <t>avverkningsanmälan</t>
        </is>
      </c>
      <c r="C240" t="inlineStr">
        <is>
          <t>Föryngringsavverkning</t>
        </is>
      </c>
      <c r="D240" s="1" t="n">
        <v>45974</v>
      </c>
      <c r="E240" s="1" t="n">
        <v>46223</v>
      </c>
      <c r="F240" t="inlineStr">
        <is>
          <t>NORRBOTTENS LÄN</t>
        </is>
      </c>
      <c r="G240" t="inlineStr">
        <is>
          <t>ARVIDSJAUR</t>
        </is>
      </c>
      <c r="H240" t="inlineStr">
        <is>
          <t>Sveaskog</t>
        </is>
      </c>
      <c r="I240" t="n">
        <v>14.4</v>
      </c>
      <c r="J240" t="n">
        <v>0</v>
      </c>
      <c r="K240" t="n">
        <v>0</v>
      </c>
      <c r="L240" t="n">
        <v>0</v>
      </c>
      <c r="M240" t="n">
        <v>0</v>
      </c>
      <c r="N240" t="n">
        <v>0</v>
      </c>
      <c r="O240" t="n">
        <v>0</v>
      </c>
      <c r="P240" t="n">
        <v>0</v>
      </c>
      <c r="Q240" t="n">
        <v>0</v>
      </c>
      <c r="R240" t="n">
        <v>0</v>
      </c>
      <c r="S240" t="n">
        <v>0</v>
      </c>
      <c r="T240" t="n">
        <v>0</v>
      </c>
      <c r="U240" s="2" t="inlineStr"/>
    </row>
    <row r="241" ht="15" customHeight="1">
      <c r="A241" t="inlineStr">
        <is>
          <t>A 55795-2025</t>
        </is>
      </c>
      <c r="B241" t="inlineStr">
        <is>
          <t>avverkningsanmälan</t>
        </is>
      </c>
      <c r="C241" t="inlineStr">
        <is>
          <t>Föryngringsavverkning</t>
        </is>
      </c>
      <c r="D241" s="1" t="n">
        <v>45972</v>
      </c>
      <c r="E241" s="1" t="n">
        <v>46223</v>
      </c>
      <c r="F241" t="inlineStr">
        <is>
          <t>NORRBOTTENS LÄN</t>
        </is>
      </c>
      <c r="G241" t="inlineStr">
        <is>
          <t>ARVIDSJAUR</t>
        </is>
      </c>
      <c r="H241" t="inlineStr">
        <is>
          <t>Sveaskog</t>
        </is>
      </c>
      <c r="I241" t="n">
        <v>13.5</v>
      </c>
      <c r="J241" t="n">
        <v>0</v>
      </c>
      <c r="K241" t="n">
        <v>0</v>
      </c>
      <c r="L241" t="n">
        <v>0</v>
      </c>
      <c r="M241" t="n">
        <v>0</v>
      </c>
      <c r="N241" t="n">
        <v>0</v>
      </c>
      <c r="O241" t="n">
        <v>0</v>
      </c>
      <c r="P241" t="n">
        <v>0</v>
      </c>
      <c r="Q241" t="n">
        <v>0</v>
      </c>
      <c r="R241" t="n">
        <v>0</v>
      </c>
      <c r="S241" t="n">
        <v>0</v>
      </c>
      <c r="T241" t="n">
        <v>0</v>
      </c>
      <c r="U241" s="2" t="inlineStr"/>
    </row>
    <row r="242" ht="15" customHeight="1">
      <c r="A242" t="inlineStr">
        <is>
          <t>A 56265-2025</t>
        </is>
      </c>
      <c r="B242" t="inlineStr">
        <is>
          <t>avverkningsanmälan</t>
        </is>
      </c>
      <c r="C242" t="inlineStr">
        <is>
          <t>Föryngringsavverkning</t>
        </is>
      </c>
      <c r="D242" s="1" t="n">
        <v>45974</v>
      </c>
      <c r="E242" s="1" t="n">
        <v>46223</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56520-2025</t>
        </is>
      </c>
      <c r="B243" t="inlineStr">
        <is>
          <t>avverkningsanmälan</t>
        </is>
      </c>
      <c r="C243" t="inlineStr">
        <is>
          <t>Föryngringsavverkning</t>
        </is>
      </c>
      <c r="D243" s="1" t="n">
        <v>45975</v>
      </c>
      <c r="E243" s="1" t="n">
        <v>46223</v>
      </c>
      <c r="F243" t="inlineStr">
        <is>
          <t>NORRBOTTENS LÄN</t>
        </is>
      </c>
      <c r="G243" t="inlineStr">
        <is>
          <t>ARVIDSJAUR</t>
        </is>
      </c>
      <c r="H243" t="inlineStr">
        <is>
          <t>Sveaskog</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57164-2025</t>
        </is>
      </c>
      <c r="B244" t="inlineStr">
        <is>
          <t>avverkningsanmälan</t>
        </is>
      </c>
      <c r="C244" t="inlineStr">
        <is>
          <t>Föryngringsavverkning</t>
        </is>
      </c>
      <c r="D244" s="1" t="n">
        <v>45978</v>
      </c>
      <c r="E244" s="1" t="n">
        <v>46223</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56529-2025</t>
        </is>
      </c>
      <c r="B245" t="inlineStr">
        <is>
          <t>avverkningsanmälan</t>
        </is>
      </c>
      <c r="C245" t="inlineStr">
        <is>
          <t>Föryngringsavverkning</t>
        </is>
      </c>
      <c r="D245" s="1" t="n">
        <v>45975</v>
      </c>
      <c r="E245" s="1" t="n">
        <v>46223</v>
      </c>
      <c r="F245" t="inlineStr">
        <is>
          <t>NORRBOTTENS LÄN</t>
        </is>
      </c>
      <c r="G245" t="inlineStr">
        <is>
          <t>ARVIDSJAUR</t>
        </is>
      </c>
      <c r="H245" t="inlineStr">
        <is>
          <t>Sveaskog</t>
        </is>
      </c>
      <c r="I245" t="n">
        <v>2.8</v>
      </c>
      <c r="J245" t="n">
        <v>0</v>
      </c>
      <c r="K245" t="n">
        <v>0</v>
      </c>
      <c r="L245" t="n">
        <v>0</v>
      </c>
      <c r="M245" t="n">
        <v>0</v>
      </c>
      <c r="N245" t="n">
        <v>0</v>
      </c>
      <c r="O245" t="n">
        <v>0</v>
      </c>
      <c r="P245" t="n">
        <v>0</v>
      </c>
      <c r="Q245" t="n">
        <v>0</v>
      </c>
      <c r="R245" t="n">
        <v>0</v>
      </c>
      <c r="S245" t="n">
        <v>0</v>
      </c>
      <c r="T245" t="n">
        <v>0</v>
      </c>
      <c r="U245" s="2" t="inlineStr"/>
    </row>
    <row r="246" ht="15" customHeight="1">
      <c r="A246" t="inlineStr">
        <is>
          <t>A 57158-2025</t>
        </is>
      </c>
      <c r="B246" t="inlineStr">
        <is>
          <t>avverkningsanmälan</t>
        </is>
      </c>
      <c r="C246" t="inlineStr">
        <is>
          <t>Föryngringsavverkning</t>
        </is>
      </c>
      <c r="D246" s="1" t="n">
        <v>45978</v>
      </c>
      <c r="E246" s="1" t="n">
        <v>46223</v>
      </c>
      <c r="F246" t="inlineStr">
        <is>
          <t>NORRBOTTENS LÄN</t>
        </is>
      </c>
      <c r="G246" t="inlineStr">
        <is>
          <t>ARVIDSJAUR</t>
        </is>
      </c>
      <c r="I246" t="n">
        <v>9.5</v>
      </c>
      <c r="J246" t="n">
        <v>0</v>
      </c>
      <c r="K246" t="n">
        <v>0</v>
      </c>
      <c r="L246" t="n">
        <v>0</v>
      </c>
      <c r="M246" t="n">
        <v>0</v>
      </c>
      <c r="N246" t="n">
        <v>0</v>
      </c>
      <c r="O246" t="n">
        <v>0</v>
      </c>
      <c r="P246" t="n">
        <v>0</v>
      </c>
      <c r="Q246" t="n">
        <v>0</v>
      </c>
      <c r="R246" t="n">
        <v>0</v>
      </c>
      <c r="S246" t="n">
        <v>0</v>
      </c>
      <c r="T246" t="n">
        <v>0</v>
      </c>
      <c r="U246" s="2" t="inlineStr"/>
    </row>
    <row r="247" ht="15" customHeight="1">
      <c r="A247" t="inlineStr">
        <is>
          <t>A 57166-2025</t>
        </is>
      </c>
      <c r="B247" t="inlineStr">
        <is>
          <t>avverkningsanmälan</t>
        </is>
      </c>
      <c r="C247" t="inlineStr">
        <is>
          <t>Föryngringsavverkning</t>
        </is>
      </c>
      <c r="D247" s="1" t="n">
        <v>45978</v>
      </c>
      <c r="E247" s="1" t="n">
        <v>46223</v>
      </c>
      <c r="F247" t="inlineStr">
        <is>
          <t>NORRBOTTENS LÄN</t>
        </is>
      </c>
      <c r="G247" t="inlineStr">
        <is>
          <t>ARVIDSJAUR</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56588-2025</t>
        </is>
      </c>
      <c r="B248" t="inlineStr">
        <is>
          <t>avverkningsanmälan</t>
        </is>
      </c>
      <c r="C248" t="inlineStr">
        <is>
          <t>Föryngringsavverkning</t>
        </is>
      </c>
      <c r="D248" s="1" t="n">
        <v>45975</v>
      </c>
      <c r="E248" s="1" t="n">
        <v>46223</v>
      </c>
      <c r="F248" t="inlineStr">
        <is>
          <t>NORRBOTTENS LÄN</t>
        </is>
      </c>
      <c r="G248" t="inlineStr">
        <is>
          <t>ARVIDSJAUR</t>
        </is>
      </c>
      <c r="H248" t="inlineStr">
        <is>
          <t>Sveaskog</t>
        </is>
      </c>
      <c r="I248" t="n">
        <v>12.8</v>
      </c>
      <c r="J248" t="n">
        <v>0</v>
      </c>
      <c r="K248" t="n">
        <v>0</v>
      </c>
      <c r="L248" t="n">
        <v>0</v>
      </c>
      <c r="M248" t="n">
        <v>0</v>
      </c>
      <c r="N248" t="n">
        <v>0</v>
      </c>
      <c r="O248" t="n">
        <v>0</v>
      </c>
      <c r="P248" t="n">
        <v>0</v>
      </c>
      <c r="Q248" t="n">
        <v>0</v>
      </c>
      <c r="R248" t="n">
        <v>0</v>
      </c>
      <c r="S248" t="n">
        <v>0</v>
      </c>
      <c r="T248" t="n">
        <v>0</v>
      </c>
      <c r="U248" s="2" t="inlineStr"/>
    </row>
    <row r="249" ht="15" customHeight="1">
      <c r="A249" t="inlineStr">
        <is>
          <t>A 58025-2023</t>
        </is>
      </c>
      <c r="B249" t="inlineStr">
        <is>
          <t>avverkningsanmälan</t>
        </is>
      </c>
      <c r="C249" t="inlineStr">
        <is>
          <t>Föryngringsavverkning</t>
        </is>
      </c>
      <c r="D249" s="1" t="n">
        <v>45244</v>
      </c>
      <c r="E249" s="1" t="n">
        <v>46223</v>
      </c>
      <c r="F249" t="inlineStr">
        <is>
          <t>NORRBOTTENS LÄN</t>
        </is>
      </c>
      <c r="G249" t="inlineStr">
        <is>
          <t>ARVIDSJAUR</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11370-2026</t>
        </is>
      </c>
      <c r="B250" t="inlineStr">
        <is>
          <t>avverkningsanmälan</t>
        </is>
      </c>
      <c r="C250" t="inlineStr">
        <is>
          <t>Avverkning för annat ändamål</t>
        </is>
      </c>
      <c r="D250" s="1" t="n">
        <v>46083</v>
      </c>
      <c r="E250" s="1" t="n">
        <v>46223</v>
      </c>
      <c r="F250" t="inlineStr">
        <is>
          <t>NORRBOTTENS LÄN</t>
        </is>
      </c>
      <c r="G250" t="inlineStr">
        <is>
          <t>ARVIDSJAUR</t>
        </is>
      </c>
      <c r="H250" t="inlineStr">
        <is>
          <t>Sveaskog</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56657-2025</t>
        </is>
      </c>
      <c r="B251" t="inlineStr">
        <is>
          <t>avverkningsanmälan</t>
        </is>
      </c>
      <c r="C251" t="inlineStr">
        <is>
          <t>Föryngringsavverkning</t>
        </is>
      </c>
      <c r="D251" s="1" t="n">
        <v>45975</v>
      </c>
      <c r="E251" s="1" t="n">
        <v>46223</v>
      </c>
      <c r="F251" t="inlineStr">
        <is>
          <t>NORRBOTTENS LÄN</t>
        </is>
      </c>
      <c r="G251" t="inlineStr">
        <is>
          <t>ARVIDSJAUR</t>
        </is>
      </c>
      <c r="H251" t="inlineStr">
        <is>
          <t>Sveaskog</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56680-2025</t>
        </is>
      </c>
      <c r="B252" t="inlineStr">
        <is>
          <t>avverkningsanmälan</t>
        </is>
      </c>
      <c r="C252" t="inlineStr">
        <is>
          <t>Föryngringsavverkning</t>
        </is>
      </c>
      <c r="D252" s="1" t="n">
        <v>45975</v>
      </c>
      <c r="E252" s="1" t="n">
        <v>46223</v>
      </c>
      <c r="F252" t="inlineStr">
        <is>
          <t>NORRBOTTENS LÄN</t>
        </is>
      </c>
      <c r="G252" t="inlineStr">
        <is>
          <t>ARVIDSJAUR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56723-2025</t>
        </is>
      </c>
      <c r="B253" t="inlineStr">
        <is>
          <t>avverkningsanmälan</t>
        </is>
      </c>
      <c r="C253" t="inlineStr">
        <is>
          <t>Föryngringsavverkning</t>
        </is>
      </c>
      <c r="D253" s="1" t="n">
        <v>45975</v>
      </c>
      <c r="E253" s="1" t="n">
        <v>46223</v>
      </c>
      <c r="F253" t="inlineStr">
        <is>
          <t>NORRBOTTENS LÄN</t>
        </is>
      </c>
      <c r="G253" t="inlineStr">
        <is>
          <t>ARVIDSJAUR</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11567-2026</t>
        </is>
      </c>
      <c r="B254" t="inlineStr">
        <is>
          <t>avverkningsanmälan</t>
        </is>
      </c>
      <c r="C254" t="inlineStr">
        <is>
          <t>Föryngringsavverkning</t>
        </is>
      </c>
      <c r="D254" s="1" t="n">
        <v>46084</v>
      </c>
      <c r="E254" s="1" t="n">
        <v>46223</v>
      </c>
      <c r="F254" t="inlineStr">
        <is>
          <t>NORRBOTTENS LÄN</t>
        </is>
      </c>
      <c r="G254" t="inlineStr">
        <is>
          <t>ARVIDSJAUR</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11670-2026</t>
        </is>
      </c>
      <c r="B255" t="inlineStr">
        <is>
          <t>avverkningsanmälan</t>
        </is>
      </c>
      <c r="C255" t="inlineStr">
        <is>
          <t>Föryngringsavverkning</t>
        </is>
      </c>
      <c r="D255" s="1" t="n">
        <v>46084</v>
      </c>
      <c r="E255" s="1" t="n">
        <v>46223</v>
      </c>
      <c r="F255" t="inlineStr">
        <is>
          <t>NORRBOTTENS LÄN</t>
        </is>
      </c>
      <c r="G255" t="inlineStr">
        <is>
          <t>ARVIDSJAUR</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11674-2026</t>
        </is>
      </c>
      <c r="B256" t="inlineStr">
        <is>
          <t>avverkningsanmälan</t>
        </is>
      </c>
      <c r="C256" t="inlineStr">
        <is>
          <t>Föryngringsavverkning</t>
        </is>
      </c>
      <c r="D256" s="1" t="n">
        <v>46084</v>
      </c>
      <c r="E256" s="1" t="n">
        <v>46223</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11565-2026</t>
        </is>
      </c>
      <c r="B257" t="inlineStr">
        <is>
          <t>avverkningsanmälan</t>
        </is>
      </c>
      <c r="C257" t="inlineStr">
        <is>
          <t>Föryngringsavverkning</t>
        </is>
      </c>
      <c r="D257" s="1" t="n">
        <v>46084</v>
      </c>
      <c r="E257" s="1" t="n">
        <v>46223</v>
      </c>
      <c r="F257" t="inlineStr">
        <is>
          <t>NORRBOTTENS LÄN</t>
        </is>
      </c>
      <c r="G257" t="inlineStr">
        <is>
          <t>ARVIDSJAUR</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57943-2025</t>
        </is>
      </c>
      <c r="B258" t="inlineStr">
        <is>
          <t>avverkningsanmälan</t>
        </is>
      </c>
      <c r="C258" t="inlineStr">
        <is>
          <t>Föryngringsavverkning</t>
        </is>
      </c>
      <c r="D258" s="1" t="n">
        <v>45982</v>
      </c>
      <c r="E258" s="1" t="n">
        <v>46223</v>
      </c>
      <c r="F258" t="inlineStr">
        <is>
          <t>NORRBOTTENS LÄN</t>
        </is>
      </c>
      <c r="G258" t="inlineStr">
        <is>
          <t>ARVIDSJAUR</t>
        </is>
      </c>
      <c r="H258" t="inlineStr">
        <is>
          <t>Sveaskog</t>
        </is>
      </c>
      <c r="I258" t="n">
        <v>18.9</v>
      </c>
      <c r="J258" t="n">
        <v>0</v>
      </c>
      <c r="K258" t="n">
        <v>0</v>
      </c>
      <c r="L258" t="n">
        <v>0</v>
      </c>
      <c r="M258" t="n">
        <v>0</v>
      </c>
      <c r="N258" t="n">
        <v>0</v>
      </c>
      <c r="O258" t="n">
        <v>0</v>
      </c>
      <c r="P258" t="n">
        <v>0</v>
      </c>
      <c r="Q258" t="n">
        <v>0</v>
      </c>
      <c r="R258" t="n">
        <v>0</v>
      </c>
      <c r="S258" t="n">
        <v>0</v>
      </c>
      <c r="T258" t="n">
        <v>0</v>
      </c>
      <c r="U258" s="2" t="inlineStr"/>
    </row>
    <row r="259" ht="15" customHeight="1">
      <c r="A259" t="inlineStr">
        <is>
          <t>A 58667-2025</t>
        </is>
      </c>
      <c r="B259" t="inlineStr">
        <is>
          <t>avverkningsanmälan</t>
        </is>
      </c>
      <c r="C259" t="inlineStr">
        <is>
          <t>Föryngringsavverkning</t>
        </is>
      </c>
      <c r="D259" s="1" t="n">
        <v>45986</v>
      </c>
      <c r="E259" s="1" t="n">
        <v>46223</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58202-2025</t>
        </is>
      </c>
      <c r="B260" t="inlineStr">
        <is>
          <t>avverkningsanmälan</t>
        </is>
      </c>
      <c r="C260" t="inlineStr">
        <is>
          <t>Föryngringsavverkning</t>
        </is>
      </c>
      <c r="D260" s="1" t="n">
        <v>45984</v>
      </c>
      <c r="E260" s="1" t="n">
        <v>46223</v>
      </c>
      <c r="F260" t="inlineStr">
        <is>
          <t>NORRBOTTENS LÄN</t>
        </is>
      </c>
      <c r="G260" t="inlineStr">
        <is>
          <t>ARVIDSJAUR</t>
        </is>
      </c>
      <c r="H260" t="inlineStr">
        <is>
          <t>Sveaskog</t>
        </is>
      </c>
      <c r="I260" t="n">
        <v>13.8</v>
      </c>
      <c r="J260" t="n">
        <v>0</v>
      </c>
      <c r="K260" t="n">
        <v>0</v>
      </c>
      <c r="L260" t="n">
        <v>0</v>
      </c>
      <c r="M260" t="n">
        <v>0</v>
      </c>
      <c r="N260" t="n">
        <v>0</v>
      </c>
      <c r="O260" t="n">
        <v>0</v>
      </c>
      <c r="P260" t="n">
        <v>0</v>
      </c>
      <c r="Q260" t="n">
        <v>0</v>
      </c>
      <c r="R260" t="n">
        <v>0</v>
      </c>
      <c r="S260" t="n">
        <v>0</v>
      </c>
      <c r="T260" t="n">
        <v>0</v>
      </c>
      <c r="U260" s="2" t="inlineStr"/>
    </row>
    <row r="261" ht="15" customHeight="1">
      <c r="A261" t="inlineStr">
        <is>
          <t>A 46072-2021</t>
        </is>
      </c>
      <c r="B261" t="inlineStr">
        <is>
          <t>avverkningsanmälan</t>
        </is>
      </c>
      <c r="C261" t="inlineStr">
        <is>
          <t>Avverkning för annat ändamål</t>
        </is>
      </c>
      <c r="D261" s="1" t="n">
        <v>44442</v>
      </c>
      <c r="E261" s="1" t="n">
        <v>46223</v>
      </c>
      <c r="F261" t="inlineStr">
        <is>
          <t>NORRBOTTENS LÄN</t>
        </is>
      </c>
      <c r="G261" t="inlineStr">
        <is>
          <t>ARVIDSJAUR</t>
        </is>
      </c>
      <c r="H261" t="inlineStr">
        <is>
          <t>Sveaskog</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58570-2025</t>
        </is>
      </c>
      <c r="B262" t="inlineStr">
        <is>
          <t>avverkningsanmälan</t>
        </is>
      </c>
      <c r="C262" t="inlineStr">
        <is>
          <t>Föryngringsavverkning</t>
        </is>
      </c>
      <c r="D262" s="1" t="n">
        <v>45986</v>
      </c>
      <c r="E262" s="1" t="n">
        <v>46223</v>
      </c>
      <c r="F262" t="inlineStr">
        <is>
          <t>NORRBOTTENS LÄN</t>
        </is>
      </c>
      <c r="G262" t="inlineStr">
        <is>
          <t>ARVIDSJAUR</t>
        </is>
      </c>
      <c r="H262" t="inlineStr">
        <is>
          <t>Sveaskog</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58393-2025</t>
        </is>
      </c>
      <c r="B263" t="inlineStr">
        <is>
          <t>avverkningsanmälan</t>
        </is>
      </c>
      <c r="C263" t="inlineStr">
        <is>
          <t>Föryngringsavverkning</t>
        </is>
      </c>
      <c r="D263" s="1" t="n">
        <v>45985</v>
      </c>
      <c r="E263" s="1" t="n">
        <v>46223</v>
      </c>
      <c r="F263" t="inlineStr">
        <is>
          <t>NORRBOTTENS LÄN</t>
        </is>
      </c>
      <c r="G263" t="inlineStr">
        <is>
          <t>ARVIDSJAUR</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59277-2025</t>
        </is>
      </c>
      <c r="B264" t="inlineStr">
        <is>
          <t>avverkningsanmälan</t>
        </is>
      </c>
      <c r="C264" t="inlineStr">
        <is>
          <t>Föryngringsavverkning</t>
        </is>
      </c>
      <c r="D264" s="1" t="n">
        <v>45988</v>
      </c>
      <c r="E264" s="1" t="n">
        <v>46223</v>
      </c>
      <c r="F264" t="inlineStr">
        <is>
          <t>NORRBOTTENS LÄN</t>
        </is>
      </c>
      <c r="G264" t="inlineStr">
        <is>
          <t>ARVIDSJAUR</t>
        </is>
      </c>
      <c r="H264" t="inlineStr">
        <is>
          <t>Övriga Aktiebolag</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11623-2025</t>
        </is>
      </c>
      <c r="B265" t="inlineStr">
        <is>
          <t>avverkningsanmälan</t>
        </is>
      </c>
      <c r="C265" t="inlineStr">
        <is>
          <t>Föryngringsavverkning</t>
        </is>
      </c>
      <c r="D265" s="1" t="n">
        <v>45726</v>
      </c>
      <c r="E265" s="1" t="n">
        <v>46223</v>
      </c>
      <c r="F265" t="inlineStr">
        <is>
          <t>NORRBOTTENS LÄN</t>
        </is>
      </c>
      <c r="G265" t="inlineStr">
        <is>
          <t>ARVIDSJAUR</t>
        </is>
      </c>
      <c r="H265" t="inlineStr">
        <is>
          <t>Allmännings- och besparingsskogar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11626-2025</t>
        </is>
      </c>
      <c r="B266" t="inlineStr">
        <is>
          <t>avverkningsanmälan</t>
        </is>
      </c>
      <c r="C266" t="inlineStr">
        <is>
          <t>Föryngringsavverkning</t>
        </is>
      </c>
      <c r="D266" s="1" t="n">
        <v>45726</v>
      </c>
      <c r="E266" s="1" t="n">
        <v>46223</v>
      </c>
      <c r="F266" t="inlineStr">
        <is>
          <t>NORRBOTTENS LÄN</t>
        </is>
      </c>
      <c r="G266" t="inlineStr">
        <is>
          <t>ARVIDSJAUR</t>
        </is>
      </c>
      <c r="H266" t="inlineStr">
        <is>
          <t>Allmännings- och besparingsskogar</t>
        </is>
      </c>
      <c r="I266" t="n">
        <v>11.3</v>
      </c>
      <c r="J266" t="n">
        <v>0</v>
      </c>
      <c r="K266" t="n">
        <v>0</v>
      </c>
      <c r="L266" t="n">
        <v>0</v>
      </c>
      <c r="M266" t="n">
        <v>0</v>
      </c>
      <c r="N266" t="n">
        <v>0</v>
      </c>
      <c r="O266" t="n">
        <v>0</v>
      </c>
      <c r="P266" t="n">
        <v>0</v>
      </c>
      <c r="Q266" t="n">
        <v>0</v>
      </c>
      <c r="R266" t="n">
        <v>0</v>
      </c>
      <c r="S266" t="n">
        <v>0</v>
      </c>
      <c r="T266" t="n">
        <v>0</v>
      </c>
      <c r="U266" s="2" t="inlineStr"/>
    </row>
    <row r="267" ht="15" customHeight="1">
      <c r="A267" t="inlineStr">
        <is>
          <t>A 52407-2021</t>
        </is>
      </c>
      <c r="B267" t="inlineStr">
        <is>
          <t>avverkningsanmälan</t>
        </is>
      </c>
      <c r="C267" t="inlineStr">
        <is>
          <t>Föryngringsavverkning</t>
        </is>
      </c>
      <c r="D267" s="1" t="n">
        <v>44463</v>
      </c>
      <c r="E267" s="1" t="n">
        <v>46223</v>
      </c>
      <c r="F267" t="inlineStr">
        <is>
          <t>NORRBOTTENS LÄN</t>
        </is>
      </c>
      <c r="G267" t="inlineStr">
        <is>
          <t>ARVIDSJAUR</t>
        </is>
      </c>
      <c r="I267" t="n">
        <v>10.3</v>
      </c>
      <c r="J267" t="n">
        <v>0</v>
      </c>
      <c r="K267" t="n">
        <v>0</v>
      </c>
      <c r="L267" t="n">
        <v>0</v>
      </c>
      <c r="M267" t="n">
        <v>0</v>
      </c>
      <c r="N267" t="n">
        <v>0</v>
      </c>
      <c r="O267" t="n">
        <v>0</v>
      </c>
      <c r="P267" t="n">
        <v>0</v>
      </c>
      <c r="Q267" t="n">
        <v>0</v>
      </c>
      <c r="R267" t="n">
        <v>0</v>
      </c>
      <c r="S267" t="n">
        <v>0</v>
      </c>
      <c r="T267" t="n">
        <v>0</v>
      </c>
      <c r="U267" s="2" t="inlineStr"/>
    </row>
    <row r="268" ht="15" customHeight="1">
      <c r="A268" t="inlineStr">
        <is>
          <t>A 39439-2024</t>
        </is>
      </c>
      <c r="B268" t="inlineStr">
        <is>
          <t>avverkningsanmälan</t>
        </is>
      </c>
      <c r="C268" t="inlineStr">
        <is>
          <t>Avverkning för annat ändamål</t>
        </is>
      </c>
      <c r="D268" s="1" t="n">
        <v>45551</v>
      </c>
      <c r="E268" s="1" t="n">
        <v>46223</v>
      </c>
      <c r="F268" t="inlineStr">
        <is>
          <t>NORRBOTTENS LÄN</t>
        </is>
      </c>
      <c r="G268" t="inlineStr">
        <is>
          <t>ARVIDSJAUR</t>
        </is>
      </c>
      <c r="H268" t="inlineStr">
        <is>
          <t>Sveaskog</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42674-2021</t>
        </is>
      </c>
      <c r="B269" t="inlineStr">
        <is>
          <t>avverkningsanmälan</t>
        </is>
      </c>
      <c r="C269" t="inlineStr">
        <is>
          <t>Föryngringsavverkning</t>
        </is>
      </c>
      <c r="D269" s="1" t="n">
        <v>44428</v>
      </c>
      <c r="E269" s="1" t="n">
        <v>46223</v>
      </c>
      <c r="F269" t="inlineStr">
        <is>
          <t>NORRBOTTENS LÄN</t>
        </is>
      </c>
      <c r="G269" t="inlineStr">
        <is>
          <t>ARVIDSJAUR</t>
        </is>
      </c>
      <c r="H269" t="inlineStr">
        <is>
          <t>Sveaskog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42694-2021</t>
        </is>
      </c>
      <c r="B270" t="inlineStr">
        <is>
          <t>avverkningsanmälan</t>
        </is>
      </c>
      <c r="C270" t="inlineStr">
        <is>
          <t>Föryngringsavverkning</t>
        </is>
      </c>
      <c r="D270" s="1" t="n">
        <v>44428</v>
      </c>
      <c r="E270" s="1" t="n">
        <v>46223</v>
      </c>
      <c r="F270" t="inlineStr">
        <is>
          <t>NORRBOTTENS LÄN</t>
        </is>
      </c>
      <c r="G270" t="inlineStr">
        <is>
          <t>ARVIDSJAUR</t>
        </is>
      </c>
      <c r="H270" t="inlineStr">
        <is>
          <t>Sveaskog</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24810-2023</t>
        </is>
      </c>
      <c r="B271" t="inlineStr">
        <is>
          <t>avverkningsanmälan</t>
        </is>
      </c>
      <c r="C271" t="inlineStr">
        <is>
          <t>Föryngringsavverkning</t>
        </is>
      </c>
      <c r="D271" s="1" t="n">
        <v>45084</v>
      </c>
      <c r="E271" s="1" t="n">
        <v>46223</v>
      </c>
      <c r="F271" t="inlineStr">
        <is>
          <t>NORRBOTTENS LÄN</t>
        </is>
      </c>
      <c r="G271" t="inlineStr">
        <is>
          <t>ARVIDSJAUR</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11030-2025</t>
        </is>
      </c>
      <c r="B272" t="inlineStr">
        <is>
          <t>avverkningsanmälan</t>
        </is>
      </c>
      <c r="C272" t="inlineStr">
        <is>
          <t>Avverkning för annat ändamål</t>
        </is>
      </c>
      <c r="D272" s="1" t="n">
        <v>45723</v>
      </c>
      <c r="E272" s="1" t="n">
        <v>46223</v>
      </c>
      <c r="F272" t="inlineStr">
        <is>
          <t>NORRBOTTENS LÄN</t>
        </is>
      </c>
      <c r="G272" t="inlineStr">
        <is>
          <t>ARVIDSJAUR</t>
        </is>
      </c>
      <c r="H272" t="inlineStr">
        <is>
          <t>Sveaskog</t>
        </is>
      </c>
      <c r="I272" t="n">
        <v>3.1</v>
      </c>
      <c r="J272" t="n">
        <v>0</v>
      </c>
      <c r="K272" t="n">
        <v>0</v>
      </c>
      <c r="L272" t="n">
        <v>0</v>
      </c>
      <c r="M272" t="n">
        <v>0</v>
      </c>
      <c r="N272" t="n">
        <v>0</v>
      </c>
      <c r="O272" t="n">
        <v>0</v>
      </c>
      <c r="P272" t="n">
        <v>0</v>
      </c>
      <c r="Q272" t="n">
        <v>0</v>
      </c>
      <c r="R272" t="n">
        <v>0</v>
      </c>
      <c r="S272" t="n">
        <v>0</v>
      </c>
      <c r="T272" t="n">
        <v>0</v>
      </c>
      <c r="U272" s="2" t="inlineStr"/>
    </row>
    <row r="273" ht="15" customHeight="1">
      <c r="A273" t="inlineStr">
        <is>
          <t>A 25790-2024</t>
        </is>
      </c>
      <c r="B273" t="inlineStr">
        <is>
          <t>avverkningsanmälan</t>
        </is>
      </c>
      <c r="C273" t="inlineStr">
        <is>
          <t>Föryngringsavverkning</t>
        </is>
      </c>
      <c r="D273" s="1" t="n">
        <v>45467</v>
      </c>
      <c r="E273" s="1" t="n">
        <v>46223</v>
      </c>
      <c r="F273" t="inlineStr">
        <is>
          <t>NORRBOTTENS LÄN</t>
        </is>
      </c>
      <c r="G273" t="inlineStr">
        <is>
          <t>ARVIDSJAUR</t>
        </is>
      </c>
      <c r="H273" t="inlineStr">
        <is>
          <t>Sveaskog</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60584-2025</t>
        </is>
      </c>
      <c r="B274" t="inlineStr">
        <is>
          <t>avverkningsanmälan</t>
        </is>
      </c>
      <c r="C274" t="inlineStr">
        <is>
          <t>Föryngringsavverkning</t>
        </is>
      </c>
      <c r="D274" s="1" t="n">
        <v>45996</v>
      </c>
      <c r="E274" s="1" t="n">
        <v>46223</v>
      </c>
      <c r="F274" t="inlineStr">
        <is>
          <t>NORRBOTTENS LÄN</t>
        </is>
      </c>
      <c r="G274" t="inlineStr">
        <is>
          <t>ARVIDSJAUR</t>
        </is>
      </c>
      <c r="H274" t="inlineStr">
        <is>
          <t>Sveaskog</t>
        </is>
      </c>
      <c r="I274" t="n">
        <v>11.2</v>
      </c>
      <c r="J274" t="n">
        <v>0</v>
      </c>
      <c r="K274" t="n">
        <v>0</v>
      </c>
      <c r="L274" t="n">
        <v>0</v>
      </c>
      <c r="M274" t="n">
        <v>0</v>
      </c>
      <c r="N274" t="n">
        <v>0</v>
      </c>
      <c r="O274" t="n">
        <v>0</v>
      </c>
      <c r="P274" t="n">
        <v>0</v>
      </c>
      <c r="Q274" t="n">
        <v>0</v>
      </c>
      <c r="R274" t="n">
        <v>0</v>
      </c>
      <c r="S274" t="n">
        <v>0</v>
      </c>
      <c r="T274" t="n">
        <v>0</v>
      </c>
      <c r="U274" s="2" t="inlineStr"/>
    </row>
    <row r="275" ht="15" customHeight="1">
      <c r="A275" t="inlineStr">
        <is>
          <t>A 60391-2025</t>
        </is>
      </c>
      <c r="B275" t="inlineStr">
        <is>
          <t>avverkningsanmälan</t>
        </is>
      </c>
      <c r="C275" t="inlineStr">
        <is>
          <t>Föryngringsavverkning</t>
        </is>
      </c>
      <c r="D275" s="1" t="n">
        <v>45995</v>
      </c>
      <c r="E275" s="1" t="n">
        <v>46223</v>
      </c>
      <c r="F275" t="inlineStr">
        <is>
          <t>NORRBOTTENS LÄN</t>
        </is>
      </c>
      <c r="G275" t="inlineStr">
        <is>
          <t>ARVIDSJAUR</t>
        </is>
      </c>
      <c r="H275" t="inlineStr">
        <is>
          <t>Sveaskog</t>
        </is>
      </c>
      <c r="I275" t="n">
        <v>14.1</v>
      </c>
      <c r="J275" t="n">
        <v>0</v>
      </c>
      <c r="K275" t="n">
        <v>0</v>
      </c>
      <c r="L275" t="n">
        <v>0</v>
      </c>
      <c r="M275" t="n">
        <v>0</v>
      </c>
      <c r="N275" t="n">
        <v>0</v>
      </c>
      <c r="O275" t="n">
        <v>0</v>
      </c>
      <c r="P275" t="n">
        <v>0</v>
      </c>
      <c r="Q275" t="n">
        <v>0</v>
      </c>
      <c r="R275" t="n">
        <v>0</v>
      </c>
      <c r="S275" t="n">
        <v>0</v>
      </c>
      <c r="T275" t="n">
        <v>0</v>
      </c>
      <c r="U275" s="2" t="inlineStr"/>
    </row>
    <row r="276" ht="15" customHeight="1">
      <c r="A276" t="inlineStr">
        <is>
          <t>A 51353-2025</t>
        </is>
      </c>
      <c r="B276" t="inlineStr">
        <is>
          <t>avverkningsanmälan</t>
        </is>
      </c>
      <c r="C276" t="inlineStr">
        <is>
          <t>Föryngringsavverkning</t>
        </is>
      </c>
      <c r="D276" s="1" t="n">
        <v>45950</v>
      </c>
      <c r="E276" s="1" t="n">
        <v>46223</v>
      </c>
      <c r="F276" t="inlineStr">
        <is>
          <t>NORRBOTTENS LÄN</t>
        </is>
      </c>
      <c r="G276" t="inlineStr">
        <is>
          <t>ARVIDSJAUR</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61054-2025</t>
        </is>
      </c>
      <c r="B277" t="inlineStr">
        <is>
          <t>avverkningsanmälan</t>
        </is>
      </c>
      <c r="C277" t="inlineStr">
        <is>
          <t>Föryngringsavverkning</t>
        </is>
      </c>
      <c r="D277" s="1" t="n">
        <v>46000</v>
      </c>
      <c r="E277" s="1" t="n">
        <v>46223</v>
      </c>
      <c r="F277" t="inlineStr">
        <is>
          <t>NORRBOTTENS LÄN</t>
        </is>
      </c>
      <c r="G277" t="inlineStr">
        <is>
          <t>ARVIDSJAUR</t>
        </is>
      </c>
      <c r="H277" t="inlineStr">
        <is>
          <t>Sveaskog</t>
        </is>
      </c>
      <c r="I277" t="n">
        <v>18.4</v>
      </c>
      <c r="J277" t="n">
        <v>0</v>
      </c>
      <c r="K277" t="n">
        <v>0</v>
      </c>
      <c r="L277" t="n">
        <v>0</v>
      </c>
      <c r="M277" t="n">
        <v>0</v>
      </c>
      <c r="N277" t="n">
        <v>0</v>
      </c>
      <c r="O277" t="n">
        <v>0</v>
      </c>
      <c r="P277" t="n">
        <v>0</v>
      </c>
      <c r="Q277" t="n">
        <v>0</v>
      </c>
      <c r="R277" t="n">
        <v>0</v>
      </c>
      <c r="S277" t="n">
        <v>0</v>
      </c>
      <c r="T277" t="n">
        <v>0</v>
      </c>
      <c r="U277" s="2" t="inlineStr"/>
    </row>
    <row r="278" ht="15" customHeight="1">
      <c r="A278" t="inlineStr">
        <is>
          <t>A 59325-2022</t>
        </is>
      </c>
      <c r="B278" t="inlineStr">
        <is>
          <t>avverkningsanmälan</t>
        </is>
      </c>
      <c r="C278" t="inlineStr">
        <is>
          <t>Föryngringsavverkning</t>
        </is>
      </c>
      <c r="D278" s="1" t="n">
        <v>44904</v>
      </c>
      <c r="E278" s="1" t="n">
        <v>46223</v>
      </c>
      <c r="F278" t="inlineStr">
        <is>
          <t>NORRBOTTENS LÄN</t>
        </is>
      </c>
      <c r="G278" t="inlineStr">
        <is>
          <t>ARVIDSJAUR</t>
        </is>
      </c>
      <c r="H278" t="inlineStr">
        <is>
          <t>Sveaskog</t>
        </is>
      </c>
      <c r="I278" t="n">
        <v>6.4</v>
      </c>
      <c r="J278" t="n">
        <v>0</v>
      </c>
      <c r="K278" t="n">
        <v>0</v>
      </c>
      <c r="L278" t="n">
        <v>0</v>
      </c>
      <c r="M278" t="n">
        <v>0</v>
      </c>
      <c r="N278" t="n">
        <v>0</v>
      </c>
      <c r="O278" t="n">
        <v>0</v>
      </c>
      <c r="P278" t="n">
        <v>0</v>
      </c>
      <c r="Q278" t="n">
        <v>0</v>
      </c>
      <c r="R278" t="n">
        <v>0</v>
      </c>
      <c r="S278" t="n">
        <v>0</v>
      </c>
      <c r="T278" t="n">
        <v>0</v>
      </c>
      <c r="U278" s="2" t="inlineStr"/>
    </row>
    <row r="279" ht="15" customHeight="1">
      <c r="A279" t="inlineStr">
        <is>
          <t>A 61202-2022</t>
        </is>
      </c>
      <c r="B279" t="inlineStr">
        <is>
          <t>avverkningsanmälan</t>
        </is>
      </c>
      <c r="C279" t="inlineStr">
        <is>
          <t>Föryngringsavverkning</t>
        </is>
      </c>
      <c r="D279" s="1" t="n">
        <v>44915</v>
      </c>
      <c r="E279" s="1" t="n">
        <v>46223</v>
      </c>
      <c r="F279" t="inlineStr">
        <is>
          <t>NORRBOTTENS LÄN</t>
        </is>
      </c>
      <c r="G279" t="inlineStr">
        <is>
          <t>ARVIDSJAUR</t>
        </is>
      </c>
      <c r="H279" t="inlineStr">
        <is>
          <t>Sveaskog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62286-2025</t>
        </is>
      </c>
      <c r="B280" t="inlineStr">
        <is>
          <t>avverkningsanmälan</t>
        </is>
      </c>
      <c r="C280" t="inlineStr">
        <is>
          <t>Föryngringsavverkning</t>
        </is>
      </c>
      <c r="D280" s="1" t="n">
        <v>46006</v>
      </c>
      <c r="E280" s="1" t="n">
        <v>46223</v>
      </c>
      <c r="F280" t="inlineStr">
        <is>
          <t>NORRBOTTENS LÄN</t>
        </is>
      </c>
      <c r="G280" t="inlineStr">
        <is>
          <t>ARVIDSJAUR</t>
        </is>
      </c>
      <c r="H280" t="inlineStr">
        <is>
          <t>Allmännings- och besparingsskogar</t>
        </is>
      </c>
      <c r="I280" t="n">
        <v>15.1</v>
      </c>
      <c r="J280" t="n">
        <v>0</v>
      </c>
      <c r="K280" t="n">
        <v>0</v>
      </c>
      <c r="L280" t="n">
        <v>0</v>
      </c>
      <c r="M280" t="n">
        <v>0</v>
      </c>
      <c r="N280" t="n">
        <v>0</v>
      </c>
      <c r="O280" t="n">
        <v>0</v>
      </c>
      <c r="P280" t="n">
        <v>0</v>
      </c>
      <c r="Q280" t="n">
        <v>0</v>
      </c>
      <c r="R280" t="n">
        <v>0</v>
      </c>
      <c r="S280" t="n">
        <v>0</v>
      </c>
      <c r="T280" t="n">
        <v>0</v>
      </c>
      <c r="U280" s="2" t="inlineStr"/>
    </row>
    <row r="281" ht="15" customHeight="1">
      <c r="A281" t="inlineStr">
        <is>
          <t>A 45188-2025</t>
        </is>
      </c>
      <c r="B281" t="inlineStr">
        <is>
          <t>avverkningsanmälan</t>
        </is>
      </c>
      <c r="C281" t="inlineStr">
        <is>
          <t>Föryngringsavverkning</t>
        </is>
      </c>
      <c r="D281" s="1" t="n">
        <v>45919</v>
      </c>
      <c r="E281" s="1" t="n">
        <v>46223</v>
      </c>
      <c r="F281" t="inlineStr">
        <is>
          <t>NORRBOTTENS LÄN</t>
        </is>
      </c>
      <c r="G281" t="inlineStr">
        <is>
          <t>ARVIDSJAUR</t>
        </is>
      </c>
      <c r="H281" t="inlineStr">
        <is>
          <t>Sveaskog</t>
        </is>
      </c>
      <c r="I281" t="n">
        <v>13.4</v>
      </c>
      <c r="J281" t="n">
        <v>0</v>
      </c>
      <c r="K281" t="n">
        <v>0</v>
      </c>
      <c r="L281" t="n">
        <v>0</v>
      </c>
      <c r="M281" t="n">
        <v>0</v>
      </c>
      <c r="N281" t="n">
        <v>0</v>
      </c>
      <c r="O281" t="n">
        <v>0</v>
      </c>
      <c r="P281" t="n">
        <v>0</v>
      </c>
      <c r="Q281" t="n">
        <v>0</v>
      </c>
      <c r="R281" t="n">
        <v>0</v>
      </c>
      <c r="S281" t="n">
        <v>0</v>
      </c>
      <c r="T281" t="n">
        <v>0</v>
      </c>
      <c r="U281" s="2" t="inlineStr"/>
    </row>
    <row r="282" ht="15" customHeight="1">
      <c r="A282" t="inlineStr">
        <is>
          <t>A 63135-2025</t>
        </is>
      </c>
      <c r="B282" t="inlineStr">
        <is>
          <t>avverkningsanmälan</t>
        </is>
      </c>
      <c r="C282" t="inlineStr">
        <is>
          <t>Föryngringsavverkning</t>
        </is>
      </c>
      <c r="D282" s="1" t="n">
        <v>46010</v>
      </c>
      <c r="E282" s="1" t="n">
        <v>46223</v>
      </c>
      <c r="F282" t="inlineStr">
        <is>
          <t>NORRBOTTENS LÄN</t>
        </is>
      </c>
      <c r="G282" t="inlineStr">
        <is>
          <t>ARVIDSJAUR</t>
        </is>
      </c>
      <c r="H282" t="inlineStr">
        <is>
          <t>Allmännings- och besparingsskogar</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14849-2026</t>
        </is>
      </c>
      <c r="B283" t="inlineStr">
        <is>
          <t>avverkningsanmälan</t>
        </is>
      </c>
      <c r="C283" t="inlineStr">
        <is>
          <t>Föryngringsavverkning</t>
        </is>
      </c>
      <c r="D283" s="1" t="n">
        <v>46104</v>
      </c>
      <c r="E283" s="1" t="n">
        <v>46223</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s="2" t="inlineStr"/>
    </row>
    <row r="284" ht="15" customHeight="1">
      <c r="A284" t="inlineStr">
        <is>
          <t>A 14846-2026</t>
        </is>
      </c>
      <c r="B284" t="inlineStr">
        <is>
          <t>avverkningsanmälan</t>
        </is>
      </c>
      <c r="C284" t="inlineStr">
        <is>
          <t>Föryngringsavverkning</t>
        </is>
      </c>
      <c r="D284" s="1" t="n">
        <v>46104</v>
      </c>
      <c r="E284" s="1" t="n">
        <v>46223</v>
      </c>
      <c r="F284" t="inlineStr">
        <is>
          <t>NORRBOTTENS LÄN</t>
        </is>
      </c>
      <c r="G284" t="inlineStr">
        <is>
          <t>ARVIDSJAUR</t>
        </is>
      </c>
      <c r="H284" t="inlineStr">
        <is>
          <t>Sveaskog</t>
        </is>
      </c>
      <c r="I284" t="n">
        <v>22.3</v>
      </c>
      <c r="J284" t="n">
        <v>0</v>
      </c>
      <c r="K284" t="n">
        <v>0</v>
      </c>
      <c r="L284" t="n">
        <v>0</v>
      </c>
      <c r="M284" t="n">
        <v>0</v>
      </c>
      <c r="N284" t="n">
        <v>0</v>
      </c>
      <c r="O284" t="n">
        <v>0</v>
      </c>
      <c r="P284" t="n">
        <v>0</v>
      </c>
      <c r="Q284" t="n">
        <v>0</v>
      </c>
      <c r="R284" t="n">
        <v>0</v>
      </c>
      <c r="S284" t="n">
        <v>0</v>
      </c>
      <c r="T284" t="n">
        <v>0</v>
      </c>
      <c r="U284" s="2" t="inlineStr"/>
    </row>
    <row r="285" ht="15" customHeight="1">
      <c r="A285" t="inlineStr">
        <is>
          <t>A 59593-2025</t>
        </is>
      </c>
      <c r="B285" t="inlineStr">
        <is>
          <t>avverkningsanmälan</t>
        </is>
      </c>
      <c r="C285" t="inlineStr">
        <is>
          <t>Föryngringsavverkning</t>
        </is>
      </c>
      <c r="D285" s="1" t="n">
        <v>45992</v>
      </c>
      <c r="E285" s="1" t="n">
        <v>46223</v>
      </c>
      <c r="F285" t="inlineStr">
        <is>
          <t>NORRBOTTENS LÄN</t>
        </is>
      </c>
      <c r="G285" t="inlineStr">
        <is>
          <t>ARVIDSJAUR</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57705-2025</t>
        </is>
      </c>
      <c r="B286" t="inlineStr">
        <is>
          <t>avverkningsanmälan</t>
        </is>
      </c>
      <c r="C286" t="inlineStr">
        <is>
          <t>Föryngringsavverkning</t>
        </is>
      </c>
      <c r="D286" s="1" t="n">
        <v>45981</v>
      </c>
      <c r="E286" s="1" t="n">
        <v>46223</v>
      </c>
      <c r="F286" t="inlineStr">
        <is>
          <t>NORRBOTTENS LÄN</t>
        </is>
      </c>
      <c r="G286" t="inlineStr">
        <is>
          <t>ARVIDSJAUR</t>
        </is>
      </c>
      <c r="I286" t="n">
        <v>9.300000000000001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60011-2025</t>
        </is>
      </c>
      <c r="B287" t="inlineStr">
        <is>
          <t>avverkningsanmälan</t>
        </is>
      </c>
      <c r="C287" t="inlineStr">
        <is>
          <t>Föryngringsavverkning</t>
        </is>
      </c>
      <c r="D287" s="1" t="n">
        <v>45993</v>
      </c>
      <c r="E287" s="1" t="n">
        <v>46223</v>
      </c>
      <c r="F287" t="inlineStr">
        <is>
          <t>NORRBOTTENS LÄN</t>
        </is>
      </c>
      <c r="G287" t="inlineStr">
        <is>
          <t>ARVIDSJAUR</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60000-2025</t>
        </is>
      </c>
      <c r="B288" t="inlineStr">
        <is>
          <t>avverkningsanmälan</t>
        </is>
      </c>
      <c r="C288" t="inlineStr">
        <is>
          <t>Föryngringsavverkning</t>
        </is>
      </c>
      <c r="D288" s="1" t="n">
        <v>45993</v>
      </c>
      <c r="E288" s="1" t="n">
        <v>46223</v>
      </c>
      <c r="F288" t="inlineStr">
        <is>
          <t>NORRBOTTENS LÄN</t>
        </is>
      </c>
      <c r="G288" t="inlineStr">
        <is>
          <t>ARVIDSJAUR</t>
        </is>
      </c>
      <c r="I288" t="n">
        <v>5.4</v>
      </c>
      <c r="J288" t="n">
        <v>0</v>
      </c>
      <c r="K288" t="n">
        <v>0</v>
      </c>
      <c r="L288" t="n">
        <v>0</v>
      </c>
      <c r="M288" t="n">
        <v>0</v>
      </c>
      <c r="N288" t="n">
        <v>0</v>
      </c>
      <c r="O288" t="n">
        <v>0</v>
      </c>
      <c r="P288" t="n">
        <v>0</v>
      </c>
      <c r="Q288" t="n">
        <v>0</v>
      </c>
      <c r="R288" t="n">
        <v>0</v>
      </c>
      <c r="S288" t="n">
        <v>0</v>
      </c>
      <c r="T288" t="n">
        <v>0</v>
      </c>
      <c r="U288" s="2" t="inlineStr"/>
    </row>
    <row r="289" ht="15" customHeight="1">
      <c r="A289" t="inlineStr">
        <is>
          <t>A 53511-2025</t>
        </is>
      </c>
      <c r="B289" t="inlineStr">
        <is>
          <t>avverkningsanmälan</t>
        </is>
      </c>
      <c r="C289" t="inlineStr">
        <is>
          <t>Föryngringsavverkning</t>
        </is>
      </c>
      <c r="D289" s="1" t="n">
        <v>45960</v>
      </c>
      <c r="E289" s="1" t="n">
        <v>46223</v>
      </c>
      <c r="F289" t="inlineStr">
        <is>
          <t>NORRBOTTENS LÄN</t>
        </is>
      </c>
      <c r="G289" t="inlineStr">
        <is>
          <t>ARVIDSJAUR</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53510-2025</t>
        </is>
      </c>
      <c r="B290" t="inlineStr">
        <is>
          <t>avverkningsanmälan</t>
        </is>
      </c>
      <c r="C290" t="inlineStr">
        <is>
          <t>Föryngringsavverkning</t>
        </is>
      </c>
      <c r="D290" s="1" t="n">
        <v>45960</v>
      </c>
      <c r="E290" s="1" t="n">
        <v>46223</v>
      </c>
      <c r="F290" t="inlineStr">
        <is>
          <t>NORRBOTTENS LÄN</t>
        </is>
      </c>
      <c r="G290" t="inlineStr">
        <is>
          <t>ARVIDSJAUR</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10126-2024</t>
        </is>
      </c>
      <c r="B291" t="inlineStr">
        <is>
          <t>avverkningsanmälan</t>
        </is>
      </c>
      <c r="C291" t="inlineStr">
        <is>
          <t>Föryngringsavverkning</t>
        </is>
      </c>
      <c r="D291" s="1" t="n">
        <v>45364</v>
      </c>
      <c r="E291" s="1" t="n">
        <v>46223</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s="2" t="inlineStr"/>
    </row>
    <row r="292" ht="15" customHeight="1">
      <c r="A292" t="inlineStr">
        <is>
          <t>A 2778-2023</t>
        </is>
      </c>
      <c r="B292" t="inlineStr">
        <is>
          <t>avverkningsanmälan</t>
        </is>
      </c>
      <c r="C292" t="inlineStr">
        <is>
          <t>Avverkning för att bevara och utveckla /försöksver</t>
        </is>
      </c>
      <c r="D292" s="1" t="n">
        <v>44944</v>
      </c>
      <c r="E292" s="1" t="n">
        <v>46223</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s="2" t="inlineStr"/>
    </row>
    <row r="293" ht="15" customHeight="1">
      <c r="A293" t="inlineStr">
        <is>
          <t>A 10243-2024</t>
        </is>
      </c>
      <c r="B293" t="inlineStr">
        <is>
          <t>avverkningsanmälan</t>
        </is>
      </c>
      <c r="C293" t="inlineStr">
        <is>
          <t>Föryngringsavverkning</t>
        </is>
      </c>
      <c r="D293" s="1" t="n">
        <v>45365</v>
      </c>
      <c r="E293" s="1" t="n">
        <v>46223</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56332-2025</t>
        </is>
      </c>
      <c r="B294" t="inlineStr">
        <is>
          <t>avverkningsanmälan</t>
        </is>
      </c>
      <c r="C294" t="inlineStr">
        <is>
          <t>Föryngringsavverkning</t>
        </is>
      </c>
      <c r="D294" s="1" t="n">
        <v>45974</v>
      </c>
      <c r="E294" s="1" t="n">
        <v>46223</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s="2" t="inlineStr"/>
    </row>
    <row r="295" ht="15" customHeight="1">
      <c r="A295" t="inlineStr">
        <is>
          <t>A 467-2026</t>
        </is>
      </c>
      <c r="B295" t="inlineStr">
        <is>
          <t>avverkningsanmälan</t>
        </is>
      </c>
      <c r="C295" t="inlineStr">
        <is>
          <t>Föryngringsavverkning</t>
        </is>
      </c>
      <c r="D295" s="1" t="n">
        <v>46029</v>
      </c>
      <c r="E295" s="1" t="n">
        <v>46223</v>
      </c>
      <c r="F295" t="inlineStr">
        <is>
          <t>NORRBOTTENS LÄN</t>
        </is>
      </c>
      <c r="G295" t="inlineStr">
        <is>
          <t>ARVIDSJAUR</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22688-2024</t>
        </is>
      </c>
      <c r="B296" t="inlineStr">
        <is>
          <t>avverkningsanmälan</t>
        </is>
      </c>
      <c r="C296" t="inlineStr">
        <is>
          <t>Föryngringsavverkning</t>
        </is>
      </c>
      <c r="D296" s="1" t="n">
        <v>45448</v>
      </c>
      <c r="E296" s="1" t="n">
        <v>46223</v>
      </c>
      <c r="F296" t="inlineStr">
        <is>
          <t>NORRBOTTENS LÄN</t>
        </is>
      </c>
      <c r="G296" t="inlineStr">
        <is>
          <t>ARVIDSJAUR</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1620-2026</t>
        </is>
      </c>
      <c r="B297" t="inlineStr">
        <is>
          <t>avverkningsanmälan</t>
        </is>
      </c>
      <c r="C297" t="inlineStr">
        <is>
          <t>Föryngringsavverkning</t>
        </is>
      </c>
      <c r="D297" s="1" t="n">
        <v>46034</v>
      </c>
      <c r="E297" s="1" t="n">
        <v>46223</v>
      </c>
      <c r="F297" t="inlineStr">
        <is>
          <t>NORRBOTTENS LÄN</t>
        </is>
      </c>
      <c r="G297" t="inlineStr">
        <is>
          <t>ARVIDSJAUR</t>
        </is>
      </c>
      <c r="H297" t="inlineStr">
        <is>
          <t>Allmännings- och besparingsskogar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1707-2026</t>
        </is>
      </c>
      <c r="B298" t="inlineStr">
        <is>
          <t>avverkningsanmälan</t>
        </is>
      </c>
      <c r="C298" t="inlineStr">
        <is>
          <t>Föryngringsavverkning</t>
        </is>
      </c>
      <c r="D298" s="1" t="n">
        <v>46034</v>
      </c>
      <c r="E298" s="1" t="n">
        <v>46223</v>
      </c>
      <c r="F298" t="inlineStr">
        <is>
          <t>NORRBOTTENS LÄN</t>
        </is>
      </c>
      <c r="G298" t="inlineStr">
        <is>
          <t>ARVIDSJAUR</t>
        </is>
      </c>
      <c r="H298" t="inlineStr">
        <is>
          <t>Allmännings- och besparingsskogar</t>
        </is>
      </c>
      <c r="I298" t="n">
        <v>25.5</v>
      </c>
      <c r="J298" t="n">
        <v>0</v>
      </c>
      <c r="K298" t="n">
        <v>0</v>
      </c>
      <c r="L298" t="n">
        <v>0</v>
      </c>
      <c r="M298" t="n">
        <v>0</v>
      </c>
      <c r="N298" t="n">
        <v>0</v>
      </c>
      <c r="O298" t="n">
        <v>0</v>
      </c>
      <c r="P298" t="n">
        <v>0</v>
      </c>
      <c r="Q298" t="n">
        <v>0</v>
      </c>
      <c r="R298" t="n">
        <v>0</v>
      </c>
      <c r="S298" t="n">
        <v>0</v>
      </c>
      <c r="T298" t="n">
        <v>0</v>
      </c>
      <c r="U298" s="2" t="inlineStr"/>
    </row>
    <row r="299" ht="15" customHeight="1">
      <c r="A299" t="inlineStr">
        <is>
          <t>A 1493-2026</t>
        </is>
      </c>
      <c r="B299" t="inlineStr">
        <is>
          <t>avverkningsanmälan</t>
        </is>
      </c>
      <c r="C299" t="inlineStr">
        <is>
          <t>Avverkning för annat ändamål</t>
        </is>
      </c>
      <c r="D299" s="1" t="n">
        <v>46034</v>
      </c>
      <c r="E299" s="1" t="n">
        <v>46223</v>
      </c>
      <c r="F299" t="inlineStr">
        <is>
          <t>NORRBOTTENS LÄN</t>
        </is>
      </c>
      <c r="G299" t="inlineStr">
        <is>
          <t>ARVIDSJAUR</t>
        </is>
      </c>
      <c r="H299" t="inlineStr">
        <is>
          <t>Sveaskog</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2299-2026</t>
        </is>
      </c>
      <c r="B300" t="inlineStr">
        <is>
          <t>avverkningsanmälan</t>
        </is>
      </c>
      <c r="C300" t="inlineStr">
        <is>
          <t>Föryngringsavverkning</t>
        </is>
      </c>
      <c r="D300" s="1" t="n">
        <v>46034</v>
      </c>
      <c r="E300" s="1" t="n">
        <v>46223</v>
      </c>
      <c r="F300" t="inlineStr">
        <is>
          <t>NORRBOTTENS LÄN</t>
        </is>
      </c>
      <c r="G300" t="inlineStr">
        <is>
          <t>ARVIDSJAUR</t>
        </is>
      </c>
      <c r="H300" t="inlineStr">
        <is>
          <t>Allmännings- och besparingsskogar</t>
        </is>
      </c>
      <c r="I300" t="n">
        <v>11.3</v>
      </c>
      <c r="J300" t="n">
        <v>0</v>
      </c>
      <c r="K300" t="n">
        <v>0</v>
      </c>
      <c r="L300" t="n">
        <v>0</v>
      </c>
      <c r="M300" t="n">
        <v>0</v>
      </c>
      <c r="N300" t="n">
        <v>0</v>
      </c>
      <c r="O300" t="n">
        <v>0</v>
      </c>
      <c r="P300" t="n">
        <v>0</v>
      </c>
      <c r="Q300" t="n">
        <v>0</v>
      </c>
      <c r="R300" t="n">
        <v>0</v>
      </c>
      <c r="S300" t="n">
        <v>0</v>
      </c>
      <c r="T300" t="n">
        <v>0</v>
      </c>
      <c r="U300" s="2" t="inlineStr"/>
    </row>
    <row r="301" ht="15" customHeight="1">
      <c r="A301" t="inlineStr">
        <is>
          <t>A 1914-2026</t>
        </is>
      </c>
      <c r="B301" t="inlineStr">
        <is>
          <t>avverkningsanmälan</t>
        </is>
      </c>
      <c r="C301" t="inlineStr">
        <is>
          <t>Föryngringsavverkning</t>
        </is>
      </c>
      <c r="D301" s="1" t="n">
        <v>46035</v>
      </c>
      <c r="E301" s="1" t="n">
        <v>46223</v>
      </c>
      <c r="F301" t="inlineStr">
        <is>
          <t>NORRBOTTENS LÄN</t>
        </is>
      </c>
      <c r="G301" t="inlineStr">
        <is>
          <t>ARVIDSJAUR</t>
        </is>
      </c>
      <c r="H301" t="inlineStr">
        <is>
          <t>Allmännings- och besparingsskogar</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39328-2023</t>
        </is>
      </c>
      <c r="B302" t="inlineStr">
        <is>
          <t>avverkningsanmälan</t>
        </is>
      </c>
      <c r="C302" t="inlineStr">
        <is>
          <t>Föryngringsavverkning</t>
        </is>
      </c>
      <c r="D302" s="1" t="n">
        <v>45166</v>
      </c>
      <c r="E302" s="1" t="n">
        <v>46223</v>
      </c>
      <c r="F302" t="inlineStr">
        <is>
          <t>NORRBOTTENS LÄN</t>
        </is>
      </c>
      <c r="G302" t="inlineStr">
        <is>
          <t>ARVIDSJAUR</t>
        </is>
      </c>
      <c r="H302" t="inlineStr">
        <is>
          <t>Sveaskog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36403-2023</t>
        </is>
      </c>
      <c r="B303" t="inlineStr">
        <is>
          <t>avverkningsanmälan</t>
        </is>
      </c>
      <c r="C303" t="inlineStr">
        <is>
          <t>Avverkning för annat ändamål</t>
        </is>
      </c>
      <c r="D303" s="1" t="n">
        <v>45152</v>
      </c>
      <c r="E303" s="1" t="n">
        <v>46223</v>
      </c>
      <c r="F303" t="inlineStr">
        <is>
          <t>NORRBOTTENS LÄN</t>
        </is>
      </c>
      <c r="G303" t="inlineStr">
        <is>
          <t>ARVIDSJAUR</t>
        </is>
      </c>
      <c r="H303" t="inlineStr">
        <is>
          <t>Sveaskog</t>
        </is>
      </c>
      <c r="I303" t="n">
        <v>5.6</v>
      </c>
      <c r="J303" t="n">
        <v>0</v>
      </c>
      <c r="K303" t="n">
        <v>0</v>
      </c>
      <c r="L303" t="n">
        <v>0</v>
      </c>
      <c r="M303" t="n">
        <v>0</v>
      </c>
      <c r="N303" t="n">
        <v>0</v>
      </c>
      <c r="O303" t="n">
        <v>0</v>
      </c>
      <c r="P303" t="n">
        <v>0</v>
      </c>
      <c r="Q303" t="n">
        <v>0</v>
      </c>
      <c r="R303" t="n">
        <v>0</v>
      </c>
      <c r="S303" t="n">
        <v>0</v>
      </c>
      <c r="T303" t="n">
        <v>0</v>
      </c>
      <c r="U303" s="2" t="inlineStr"/>
    </row>
    <row r="304" ht="15" customHeight="1">
      <c r="A304" t="inlineStr">
        <is>
          <t>A 8626-2023</t>
        </is>
      </c>
      <c r="B304" t="inlineStr">
        <is>
          <t>avverkningsanmälan</t>
        </is>
      </c>
      <c r="C304" t="inlineStr">
        <is>
          <t>Föryngringsavverkning</t>
        </is>
      </c>
      <c r="D304" s="1" t="n">
        <v>44977</v>
      </c>
      <c r="E304" s="1" t="n">
        <v>46223</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36090-2023</t>
        </is>
      </c>
      <c r="B305" t="inlineStr">
        <is>
          <t>avverkningsanmälan</t>
        </is>
      </c>
      <c r="C305" t="inlineStr">
        <is>
          <t>Föryngringsavverkning</t>
        </is>
      </c>
      <c r="D305" s="1" t="n">
        <v>45149</v>
      </c>
      <c r="E305" s="1" t="n">
        <v>46223</v>
      </c>
      <c r="F305" t="inlineStr">
        <is>
          <t>NORRBOTTENS LÄN</t>
        </is>
      </c>
      <c r="G305" t="inlineStr">
        <is>
          <t>ARVIDSJAUR</t>
        </is>
      </c>
      <c r="H305" t="inlineStr">
        <is>
          <t>Sveaskog</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48461-2024</t>
        </is>
      </c>
      <c r="B306" t="inlineStr">
        <is>
          <t>avverkningsanmälan</t>
        </is>
      </c>
      <c r="C306" t="inlineStr">
        <is>
          <t>Föryngringsavverkning</t>
        </is>
      </c>
      <c r="D306" s="1" t="n">
        <v>45590</v>
      </c>
      <c r="E306" s="1" t="n">
        <v>46223</v>
      </c>
      <c r="F306" t="inlineStr">
        <is>
          <t>NORRBOTTENS LÄN</t>
        </is>
      </c>
      <c r="G306" t="inlineStr">
        <is>
          <t>ARVIDSJAUR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18299-2026</t>
        </is>
      </c>
      <c r="B307" t="inlineStr">
        <is>
          <t>avverkningsanmälan</t>
        </is>
      </c>
      <c r="C307" t="inlineStr">
        <is>
          <t>Föryngringsavverkning</t>
        </is>
      </c>
      <c r="D307" s="1" t="n">
        <v>46126</v>
      </c>
      <c r="E307" s="1" t="n">
        <v>46223</v>
      </c>
      <c r="F307" t="inlineStr">
        <is>
          <t>NORRBOTTENS LÄN</t>
        </is>
      </c>
      <c r="G307" t="inlineStr">
        <is>
          <t>ARVIDSJAUR</t>
        </is>
      </c>
      <c r="H307" t="inlineStr">
        <is>
          <t>Sveaskog</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49170-2024</t>
        </is>
      </c>
      <c r="B308" t="inlineStr">
        <is>
          <t>avverkningsanmälan</t>
        </is>
      </c>
      <c r="C308" t="inlineStr">
        <is>
          <t>Föryngringsavverkning</t>
        </is>
      </c>
      <c r="D308" s="1" t="n">
        <v>45595</v>
      </c>
      <c r="E308" s="1" t="n">
        <v>46223</v>
      </c>
      <c r="F308" t="inlineStr">
        <is>
          <t>NORRBOTTENS LÄN</t>
        </is>
      </c>
      <c r="G308" t="inlineStr">
        <is>
          <t>ARVIDSJAUR</t>
        </is>
      </c>
      <c r="H308" t="inlineStr">
        <is>
          <t>Sveaskog</t>
        </is>
      </c>
      <c r="I308" t="n">
        <v>10.6</v>
      </c>
      <c r="J308" t="n">
        <v>0</v>
      </c>
      <c r="K308" t="n">
        <v>0</v>
      </c>
      <c r="L308" t="n">
        <v>0</v>
      </c>
      <c r="M308" t="n">
        <v>0</v>
      </c>
      <c r="N308" t="n">
        <v>0</v>
      </c>
      <c r="O308" t="n">
        <v>0</v>
      </c>
      <c r="P308" t="n">
        <v>0</v>
      </c>
      <c r="Q308" t="n">
        <v>0</v>
      </c>
      <c r="R308" t="n">
        <v>0</v>
      </c>
      <c r="S308" t="n">
        <v>0</v>
      </c>
      <c r="T308" t="n">
        <v>0</v>
      </c>
      <c r="U308" s="2" t="inlineStr"/>
    </row>
    <row r="309" ht="15" customHeight="1">
      <c r="A309" t="inlineStr">
        <is>
          <t>A 54341-2024</t>
        </is>
      </c>
      <c r="B309" t="inlineStr">
        <is>
          <t>avverkningsanmälan</t>
        </is>
      </c>
      <c r="C309" t="inlineStr">
        <is>
          <t>Föryngringsavverkning</t>
        </is>
      </c>
      <c r="D309" s="1" t="n">
        <v>45617</v>
      </c>
      <c r="E309" s="1" t="n">
        <v>46223</v>
      </c>
      <c r="F309" t="inlineStr">
        <is>
          <t>NORRBOTTENS LÄN</t>
        </is>
      </c>
      <c r="G309" t="inlineStr">
        <is>
          <t>ARVIDSJAUR</t>
        </is>
      </c>
      <c r="H309" t="inlineStr">
        <is>
          <t>Sveaskog</t>
        </is>
      </c>
      <c r="I309" t="n">
        <v>5.7</v>
      </c>
      <c r="J309" t="n">
        <v>0</v>
      </c>
      <c r="K309" t="n">
        <v>0</v>
      </c>
      <c r="L309" t="n">
        <v>0</v>
      </c>
      <c r="M309" t="n">
        <v>0</v>
      </c>
      <c r="N309" t="n">
        <v>0</v>
      </c>
      <c r="O309" t="n">
        <v>0</v>
      </c>
      <c r="P309" t="n">
        <v>0</v>
      </c>
      <c r="Q309" t="n">
        <v>0</v>
      </c>
      <c r="R309" t="n">
        <v>0</v>
      </c>
      <c r="S309" t="n">
        <v>0</v>
      </c>
      <c r="T309" t="n">
        <v>0</v>
      </c>
      <c r="U309" s="2" t="inlineStr"/>
    </row>
    <row r="310" ht="15" customHeight="1">
      <c r="A310" t="inlineStr">
        <is>
          <t>A 9996-2023</t>
        </is>
      </c>
      <c r="B310" t="inlineStr">
        <is>
          <t>avverkningsanmälan</t>
        </is>
      </c>
      <c r="C310" t="inlineStr">
        <is>
          <t>Föryngringsavverkning</t>
        </is>
      </c>
      <c r="D310" s="1" t="n">
        <v>44979</v>
      </c>
      <c r="E310" s="1" t="n">
        <v>46223</v>
      </c>
      <c r="F310" t="inlineStr">
        <is>
          <t>NORRBOTTENS LÄN</t>
        </is>
      </c>
      <c r="G310" t="inlineStr">
        <is>
          <t>ARVIDSJAUR</t>
        </is>
      </c>
      <c r="I310" t="n">
        <v>6.6</v>
      </c>
      <c r="J310" t="n">
        <v>0</v>
      </c>
      <c r="K310" t="n">
        <v>0</v>
      </c>
      <c r="L310" t="n">
        <v>0</v>
      </c>
      <c r="M310" t="n">
        <v>0</v>
      </c>
      <c r="N310" t="n">
        <v>0</v>
      </c>
      <c r="O310" t="n">
        <v>0</v>
      </c>
      <c r="P310" t="n">
        <v>0</v>
      </c>
      <c r="Q310" t="n">
        <v>0</v>
      </c>
      <c r="R310" t="n">
        <v>0</v>
      </c>
      <c r="S310" t="n">
        <v>0</v>
      </c>
      <c r="T310" t="n">
        <v>0</v>
      </c>
      <c r="U310" s="2" t="inlineStr"/>
    </row>
    <row r="311" ht="15" customHeight="1">
      <c r="A311" t="inlineStr">
        <is>
          <t>A 40937-2024</t>
        </is>
      </c>
      <c r="B311" t="inlineStr">
        <is>
          <t>avverkningsanmälan</t>
        </is>
      </c>
      <c r="C311" t="inlineStr">
        <is>
          <t>Föryngringsavverkning</t>
        </is>
      </c>
      <c r="D311" s="1" t="n">
        <v>45558</v>
      </c>
      <c r="E311" s="1" t="n">
        <v>46223</v>
      </c>
      <c r="F311" t="inlineStr">
        <is>
          <t>NORRBOTTENS LÄN</t>
        </is>
      </c>
      <c r="G311" t="inlineStr">
        <is>
          <t>ARVIDSJAUR</t>
        </is>
      </c>
      <c r="H311" t="inlineStr">
        <is>
          <t>Sveaskog</t>
        </is>
      </c>
      <c r="I311" t="n">
        <v>22.6</v>
      </c>
      <c r="J311" t="n">
        <v>0</v>
      </c>
      <c r="K311" t="n">
        <v>0</v>
      </c>
      <c r="L311" t="n">
        <v>0</v>
      </c>
      <c r="M311" t="n">
        <v>0</v>
      </c>
      <c r="N311" t="n">
        <v>0</v>
      </c>
      <c r="O311" t="n">
        <v>0</v>
      </c>
      <c r="P311" t="n">
        <v>0</v>
      </c>
      <c r="Q311" t="n">
        <v>0</v>
      </c>
      <c r="R311" t="n">
        <v>0</v>
      </c>
      <c r="S311" t="n">
        <v>0</v>
      </c>
      <c r="T311" t="n">
        <v>0</v>
      </c>
      <c r="U311" s="2" t="inlineStr"/>
    </row>
    <row r="312" ht="15" customHeight="1">
      <c r="A312" t="inlineStr">
        <is>
          <t>A 39591-2023</t>
        </is>
      </c>
      <c r="B312" t="inlineStr">
        <is>
          <t>avverkningsanmälan</t>
        </is>
      </c>
      <c r="C312" t="inlineStr">
        <is>
          <t>Föryngringsavverkning</t>
        </is>
      </c>
      <c r="D312" s="1" t="n">
        <v>45167</v>
      </c>
      <c r="E312" s="1" t="n">
        <v>46223</v>
      </c>
      <c r="F312" t="inlineStr">
        <is>
          <t>NORRBOTTENS LÄN</t>
        </is>
      </c>
      <c r="G312" t="inlineStr">
        <is>
          <t>ARVIDSJAUR</t>
        </is>
      </c>
      <c r="H312" t="inlineStr">
        <is>
          <t>Sveaskog</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4937-2024</t>
        </is>
      </c>
      <c r="B313" t="inlineStr">
        <is>
          <t>avverkningsanmälan</t>
        </is>
      </c>
      <c r="C313" t="inlineStr">
        <is>
          <t>Avverkning för annat ändamål</t>
        </is>
      </c>
      <c r="D313" s="1" t="n">
        <v>45329</v>
      </c>
      <c r="E313" s="1" t="n">
        <v>46223</v>
      </c>
      <c r="F313" t="inlineStr">
        <is>
          <t>NORRBOTTENS LÄN</t>
        </is>
      </c>
      <c r="G313" t="inlineStr">
        <is>
          <t>ARVIDSJAUR</t>
        </is>
      </c>
      <c r="H313" t="inlineStr">
        <is>
          <t>Sveaskog</t>
        </is>
      </c>
      <c r="I313" t="n">
        <v>0.4</v>
      </c>
      <c r="J313" t="n">
        <v>0</v>
      </c>
      <c r="K313" t="n">
        <v>0</v>
      </c>
      <c r="L313" t="n">
        <v>0</v>
      </c>
      <c r="M313" t="n">
        <v>0</v>
      </c>
      <c r="N313" t="n">
        <v>0</v>
      </c>
      <c r="O313" t="n">
        <v>0</v>
      </c>
      <c r="P313" t="n">
        <v>0</v>
      </c>
      <c r="Q313" t="n">
        <v>0</v>
      </c>
      <c r="R313" t="n">
        <v>0</v>
      </c>
      <c r="S313" t="n">
        <v>0</v>
      </c>
      <c r="T313" t="n">
        <v>0</v>
      </c>
      <c r="U313" s="2" t="inlineStr"/>
    </row>
    <row r="314" ht="15" customHeight="1">
      <c r="A314" t="inlineStr">
        <is>
          <t>A 21704-2024</t>
        </is>
      </c>
      <c r="B314" t="inlineStr">
        <is>
          <t>avverkningsanmälan</t>
        </is>
      </c>
      <c r="C314" t="inlineStr">
        <is>
          <t>Föryngringsavverkning</t>
        </is>
      </c>
      <c r="D314" s="1" t="n">
        <v>45442</v>
      </c>
      <c r="E314" s="1" t="n">
        <v>46223</v>
      </c>
      <c r="F314" t="inlineStr">
        <is>
          <t>NORRBOTTENS LÄN</t>
        </is>
      </c>
      <c r="G314" t="inlineStr">
        <is>
          <t>ARVIDSJAUR</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30752-2023</t>
        </is>
      </c>
      <c r="B315" t="inlineStr">
        <is>
          <t>avverkningsanmälan</t>
        </is>
      </c>
      <c r="C315" t="inlineStr">
        <is>
          <t>Föryngringsavverkning</t>
        </is>
      </c>
      <c r="D315" s="1" t="n">
        <v>45103</v>
      </c>
      <c r="E315" s="1" t="n">
        <v>46223</v>
      </c>
      <c r="F315" t="inlineStr">
        <is>
          <t>NORRBOTTENS LÄN</t>
        </is>
      </c>
      <c r="G315" t="inlineStr">
        <is>
          <t>ARVIDSJAUR</t>
        </is>
      </c>
      <c r="I315" t="n">
        <v>9.699999999999999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26684-2024</t>
        </is>
      </c>
      <c r="B316" t="inlineStr">
        <is>
          <t>avverkningsanmälan</t>
        </is>
      </c>
      <c r="C316" t="inlineStr">
        <is>
          <t>Föryngringsavverkning</t>
        </is>
      </c>
      <c r="D316" s="1" t="n">
        <v>45470</v>
      </c>
      <c r="E316" s="1" t="n">
        <v>46223</v>
      </c>
      <c r="F316" t="inlineStr">
        <is>
          <t>NORRBOTTENS LÄN</t>
        </is>
      </c>
      <c r="G316" t="inlineStr">
        <is>
          <t>ARVIDSJAUR</t>
        </is>
      </c>
      <c r="H316" t="inlineStr">
        <is>
          <t>Sveaskog</t>
        </is>
      </c>
      <c r="I316" t="n">
        <v>9.199999999999999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7327-2025</t>
        </is>
      </c>
      <c r="B317" t="inlineStr">
        <is>
          <t>avverkningsanmälan</t>
        </is>
      </c>
      <c r="C317" t="inlineStr">
        <is>
          <t>Föryngringsavverkning</t>
        </is>
      </c>
      <c r="D317" s="1" t="n">
        <v>45702</v>
      </c>
      <c r="E317" s="1" t="n">
        <v>46223</v>
      </c>
      <c r="F317" t="inlineStr">
        <is>
          <t>NORRBOTTENS LÄN</t>
        </is>
      </c>
      <c r="G317" t="inlineStr">
        <is>
          <t>ARVIDSJAUR</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10832-2025</t>
        </is>
      </c>
      <c r="B318" t="inlineStr">
        <is>
          <t>avverkningsanmälan</t>
        </is>
      </c>
      <c r="C318" t="inlineStr">
        <is>
          <t>Föryngringsavverkning</t>
        </is>
      </c>
      <c r="D318" s="1" t="n">
        <v>45722</v>
      </c>
      <c r="E318" s="1" t="n">
        <v>46223</v>
      </c>
      <c r="F318" t="inlineStr">
        <is>
          <t>NORRBOTTENS LÄN</t>
        </is>
      </c>
      <c r="G318" t="inlineStr">
        <is>
          <t>ARVIDSJAUR</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10852-2025</t>
        </is>
      </c>
      <c r="B319" t="inlineStr">
        <is>
          <t>avverkningsanmälan</t>
        </is>
      </c>
      <c r="C319" t="inlineStr">
        <is>
          <t>Avverkning för annat ändamål</t>
        </is>
      </c>
      <c r="D319" s="1" t="n">
        <v>45722</v>
      </c>
      <c r="E319" s="1" t="n">
        <v>46223</v>
      </c>
      <c r="F319" t="inlineStr">
        <is>
          <t>NORRBOTTENS LÄN</t>
        </is>
      </c>
      <c r="G319" t="inlineStr">
        <is>
          <t>ARVIDSJAUR</t>
        </is>
      </c>
      <c r="H319" t="inlineStr">
        <is>
          <t>Sveaskog</t>
        </is>
      </c>
      <c r="I319" t="n">
        <v>7</v>
      </c>
      <c r="J319" t="n">
        <v>0</v>
      </c>
      <c r="K319" t="n">
        <v>0</v>
      </c>
      <c r="L319" t="n">
        <v>0</v>
      </c>
      <c r="M319" t="n">
        <v>0</v>
      </c>
      <c r="N319" t="n">
        <v>0</v>
      </c>
      <c r="O319" t="n">
        <v>0</v>
      </c>
      <c r="P319" t="n">
        <v>0</v>
      </c>
      <c r="Q319" t="n">
        <v>0</v>
      </c>
      <c r="R319" t="n">
        <v>0</v>
      </c>
      <c r="S319" t="n">
        <v>0</v>
      </c>
      <c r="T319" t="n">
        <v>0</v>
      </c>
      <c r="U319" s="2" t="inlineStr"/>
    </row>
    <row r="320" ht="15" customHeight="1">
      <c r="A320" t="inlineStr">
        <is>
          <t>A 54336-2024</t>
        </is>
      </c>
      <c r="B320" t="inlineStr">
        <is>
          <t>avverkningsanmälan</t>
        </is>
      </c>
      <c r="C320" t="inlineStr">
        <is>
          <t>Föryngringsavverkning</t>
        </is>
      </c>
      <c r="D320" s="1" t="n">
        <v>45617</v>
      </c>
      <c r="E320" s="1" t="n">
        <v>46223</v>
      </c>
      <c r="F320" t="inlineStr">
        <is>
          <t>NORRBOTTENS LÄN</t>
        </is>
      </c>
      <c r="G320" t="inlineStr">
        <is>
          <t>ARVIDSJAUR</t>
        </is>
      </c>
      <c r="H320" t="inlineStr">
        <is>
          <t>Sveaskog</t>
        </is>
      </c>
      <c r="I320" t="n">
        <v>5.5</v>
      </c>
      <c r="J320" t="n">
        <v>0</v>
      </c>
      <c r="K320" t="n">
        <v>0</v>
      </c>
      <c r="L320" t="n">
        <v>0</v>
      </c>
      <c r="M320" t="n">
        <v>0</v>
      </c>
      <c r="N320" t="n">
        <v>0</v>
      </c>
      <c r="O320" t="n">
        <v>0</v>
      </c>
      <c r="P320" t="n">
        <v>0</v>
      </c>
      <c r="Q320" t="n">
        <v>0</v>
      </c>
      <c r="R320" t="n">
        <v>0</v>
      </c>
      <c r="S320" t="n">
        <v>0</v>
      </c>
      <c r="T320" t="n">
        <v>0</v>
      </c>
      <c r="U320" s="2" t="inlineStr"/>
    </row>
    <row r="321" ht="15" customHeight="1">
      <c r="A321" t="inlineStr">
        <is>
          <t>A 11571-2025</t>
        </is>
      </c>
      <c r="B321" t="inlineStr">
        <is>
          <t>avverkningsanmälan</t>
        </is>
      </c>
      <c r="C321" t="inlineStr">
        <is>
          <t>Föryngringsavverkning</t>
        </is>
      </c>
      <c r="D321" s="1" t="n">
        <v>45726</v>
      </c>
      <c r="E321" s="1" t="n">
        <v>46223</v>
      </c>
      <c r="F321" t="inlineStr">
        <is>
          <t>NORRBOTTENS LÄN</t>
        </is>
      </c>
      <c r="G321" t="inlineStr">
        <is>
          <t>ARVIDSJAUR</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48364-2024</t>
        </is>
      </c>
      <c r="B322" t="inlineStr">
        <is>
          <t>avverkningsanmälan</t>
        </is>
      </c>
      <c r="C322" t="inlineStr">
        <is>
          <t>Föryngringsavverkning</t>
        </is>
      </c>
      <c r="D322" s="1" t="n">
        <v>45590</v>
      </c>
      <c r="E322" s="1" t="n">
        <v>46223</v>
      </c>
      <c r="F322" t="inlineStr">
        <is>
          <t>NORRBOTTENS LÄN</t>
        </is>
      </c>
      <c r="G322" t="inlineStr">
        <is>
          <t>ARVIDSJAUR</t>
        </is>
      </c>
      <c r="H322" t="inlineStr">
        <is>
          <t>Sveaskog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51403-2025</t>
        </is>
      </c>
      <c r="B323" t="inlineStr">
        <is>
          <t>avverkningsanmälan</t>
        </is>
      </c>
      <c r="C323" t="inlineStr">
        <is>
          <t>Föryngringsavverkning</t>
        </is>
      </c>
      <c r="D323" s="1" t="n">
        <v>45950</v>
      </c>
      <c r="E323" s="1" t="n">
        <v>46223</v>
      </c>
      <c r="F323" t="inlineStr">
        <is>
          <t>NORRBOTTENS LÄN</t>
        </is>
      </c>
      <c r="G323" t="inlineStr">
        <is>
          <t>ARVIDSJAUR</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48331-2025</t>
        </is>
      </c>
      <c r="B324" t="inlineStr">
        <is>
          <t>avverkningsanmälan</t>
        </is>
      </c>
      <c r="C324" t="inlineStr">
        <is>
          <t>Föryngringsavverkning</t>
        </is>
      </c>
      <c r="D324" s="1" t="n">
        <v>45933</v>
      </c>
      <c r="E324" s="1" t="n">
        <v>46223</v>
      </c>
      <c r="F324" t="inlineStr">
        <is>
          <t>NORRBOTTENS LÄN</t>
        </is>
      </c>
      <c r="G324" t="inlineStr">
        <is>
          <t>ARVIDSJAUR</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36483-2022</t>
        </is>
      </c>
      <c r="B325" t="inlineStr">
        <is>
          <t>avverkningsanmälan</t>
        </is>
      </c>
      <c r="C325" t="inlineStr">
        <is>
          <t>Föryngringsavverkning</t>
        </is>
      </c>
      <c r="D325" s="1" t="n">
        <v>44804</v>
      </c>
      <c r="E325" s="1" t="n">
        <v>46223</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26591-2023</t>
        </is>
      </c>
      <c r="B326" t="inlineStr">
        <is>
          <t>avverkningsanmälan</t>
        </is>
      </c>
      <c r="C326" t="inlineStr">
        <is>
          <t>Föryngringsavverkning</t>
        </is>
      </c>
      <c r="D326" s="1" t="n">
        <v>45090</v>
      </c>
      <c r="E326" s="1" t="n">
        <v>46223</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26171-2026</t>
        </is>
      </c>
      <c r="B327" t="inlineStr">
        <is>
          <t>avverkningsanmälan</t>
        </is>
      </c>
      <c r="C327" t="inlineStr">
        <is>
          <t>Föryngringsavverkning</t>
        </is>
      </c>
      <c r="D327" s="1" t="n">
        <v>46182</v>
      </c>
      <c r="E327" s="1" t="n">
        <v>46223</v>
      </c>
      <c r="F327" t="inlineStr">
        <is>
          <t>NORRBOTTENS LÄN</t>
        </is>
      </c>
      <c r="G327" t="inlineStr">
        <is>
          <t>ARVIDSJAUR</t>
        </is>
      </c>
      <c r="H327" t="inlineStr">
        <is>
          <t>Sveaskog</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26173-2026</t>
        </is>
      </c>
      <c r="B328" t="inlineStr">
        <is>
          <t>avverkningsanmälan</t>
        </is>
      </c>
      <c r="C328" t="inlineStr">
        <is>
          <t>Föryngringsavverkning</t>
        </is>
      </c>
      <c r="D328" s="1" t="n">
        <v>46182</v>
      </c>
      <c r="E328" s="1" t="n">
        <v>46223</v>
      </c>
      <c r="F328" t="inlineStr">
        <is>
          <t>NORRBOTTENS LÄN</t>
        </is>
      </c>
      <c r="G328" t="inlineStr">
        <is>
          <t>ARVIDSJAUR</t>
        </is>
      </c>
      <c r="H328" t="inlineStr">
        <is>
          <t>Sveaskog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48892-2024</t>
        </is>
      </c>
      <c r="B329" t="inlineStr">
        <is>
          <t>avverkningsanmälan</t>
        </is>
      </c>
      <c r="C329" t="inlineStr">
        <is>
          <t>Föryngringsavverkning</t>
        </is>
      </c>
      <c r="D329" s="1" t="n">
        <v>45594</v>
      </c>
      <c r="E329" s="1" t="n">
        <v>46223</v>
      </c>
      <c r="F329" t="inlineStr">
        <is>
          <t>NORRBOTTENS LÄN</t>
        </is>
      </c>
      <c r="G329" t="inlineStr">
        <is>
          <t>ARVIDSJAUR</t>
        </is>
      </c>
      <c r="H329" t="inlineStr">
        <is>
          <t>Sveaskog</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36791-2024</t>
        </is>
      </c>
      <c r="B330" t="inlineStr">
        <is>
          <t>avverkningsanmälan</t>
        </is>
      </c>
      <c r="C330" t="inlineStr">
        <is>
          <t>Föryngringsavverkning</t>
        </is>
      </c>
      <c r="D330" s="1" t="n">
        <v>45538</v>
      </c>
      <c r="E330" s="1" t="n">
        <v>46223</v>
      </c>
      <c r="F330" t="inlineStr">
        <is>
          <t>NORRBOTTENS LÄN</t>
        </is>
      </c>
      <c r="G330" t="inlineStr">
        <is>
          <t>ARVIDSJAUR</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25928-2026</t>
        </is>
      </c>
      <c r="B331" t="inlineStr">
        <is>
          <t>avverkningsanmälan</t>
        </is>
      </c>
      <c r="C331" t="inlineStr">
        <is>
          <t>Föryngringsavverkning</t>
        </is>
      </c>
      <c r="D331" s="1" t="n">
        <v>46179</v>
      </c>
      <c r="E331" s="1" t="n">
        <v>46223</v>
      </c>
      <c r="F331" t="inlineStr">
        <is>
          <t>NORRBOTTENS LÄN</t>
        </is>
      </c>
      <c r="G331" t="inlineStr">
        <is>
          <t>ARVIDSJAUR</t>
        </is>
      </c>
      <c r="H331" t="inlineStr">
        <is>
          <t>SCA</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25930-2026</t>
        </is>
      </c>
      <c r="B332" t="inlineStr">
        <is>
          <t>avverkningsanmälan</t>
        </is>
      </c>
      <c r="C332" t="inlineStr">
        <is>
          <t>Föryngringsavverkning</t>
        </is>
      </c>
      <c r="D332" s="1" t="n">
        <v>46179</v>
      </c>
      <c r="E332" s="1" t="n">
        <v>46223</v>
      </c>
      <c r="F332" t="inlineStr">
        <is>
          <t>NORRBOTTENS LÄN</t>
        </is>
      </c>
      <c r="G332" t="inlineStr">
        <is>
          <t>ARVIDSJAUR</t>
        </is>
      </c>
      <c r="H332" t="inlineStr">
        <is>
          <t>SCA</t>
        </is>
      </c>
      <c r="I332" t="n">
        <v>9.199999999999999</v>
      </c>
      <c r="J332" t="n">
        <v>0</v>
      </c>
      <c r="K332" t="n">
        <v>0</v>
      </c>
      <c r="L332" t="n">
        <v>0</v>
      </c>
      <c r="M332" t="n">
        <v>0</v>
      </c>
      <c r="N332" t="n">
        <v>0</v>
      </c>
      <c r="O332" t="n">
        <v>0</v>
      </c>
      <c r="P332" t="n">
        <v>0</v>
      </c>
      <c r="Q332" t="n">
        <v>0</v>
      </c>
      <c r="R332" t="n">
        <v>0</v>
      </c>
      <c r="S332" t="n">
        <v>0</v>
      </c>
      <c r="T332" t="n">
        <v>0</v>
      </c>
      <c r="U332" s="2" t="inlineStr"/>
    </row>
    <row r="333" ht="15" customHeight="1">
      <c r="A333" t="inlineStr">
        <is>
          <t>A 26093-2026</t>
        </is>
      </c>
      <c r="B333" t="inlineStr">
        <is>
          <t>avverkningsanmälan</t>
        </is>
      </c>
      <c r="C333" t="inlineStr">
        <is>
          <t>Föryngringsavverkning</t>
        </is>
      </c>
      <c r="D333" s="1" t="n">
        <v>46181</v>
      </c>
      <c r="E333" s="1" t="n">
        <v>46223</v>
      </c>
      <c r="F333" t="inlineStr">
        <is>
          <t>NORRBOTTENS LÄN</t>
        </is>
      </c>
      <c r="G333" t="inlineStr">
        <is>
          <t>ARVIDSJAUR</t>
        </is>
      </c>
      <c r="I333" t="n">
        <v>11.9</v>
      </c>
      <c r="J333" t="n">
        <v>0</v>
      </c>
      <c r="K333" t="n">
        <v>0</v>
      </c>
      <c r="L333" t="n">
        <v>0</v>
      </c>
      <c r="M333" t="n">
        <v>0</v>
      </c>
      <c r="N333" t="n">
        <v>0</v>
      </c>
      <c r="O333" t="n">
        <v>0</v>
      </c>
      <c r="P333" t="n">
        <v>0</v>
      </c>
      <c r="Q333" t="n">
        <v>0</v>
      </c>
      <c r="R333" t="n">
        <v>0</v>
      </c>
      <c r="S333" t="n">
        <v>0</v>
      </c>
      <c r="T333" t="n">
        <v>0</v>
      </c>
      <c r="U333" s="2" t="inlineStr"/>
    </row>
    <row r="334" ht="15" customHeight="1">
      <c r="A334" t="inlineStr">
        <is>
          <t>A 54218-2024</t>
        </is>
      </c>
      <c r="B334" t="inlineStr">
        <is>
          <t>avverkningsanmälan</t>
        </is>
      </c>
      <c r="C334" t="inlineStr">
        <is>
          <t>Föryngringsavverkning</t>
        </is>
      </c>
      <c r="D334" s="1" t="n">
        <v>45616</v>
      </c>
      <c r="E334" s="1" t="n">
        <v>46223</v>
      </c>
      <c r="F334" t="inlineStr">
        <is>
          <t>NORRBOTTENS LÄN</t>
        </is>
      </c>
      <c r="G334" t="inlineStr">
        <is>
          <t>ARVIDSJAUR</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20698-2022</t>
        </is>
      </c>
      <c r="B335" t="inlineStr">
        <is>
          <t>avverkningsanmälan</t>
        </is>
      </c>
      <c r="C335" t="inlineStr">
        <is>
          <t>Föryngringsavverkning</t>
        </is>
      </c>
      <c r="D335" s="1" t="n">
        <v>44700</v>
      </c>
      <c r="E335" s="1" t="n">
        <v>46223</v>
      </c>
      <c r="F335" t="inlineStr">
        <is>
          <t>NORRBOTTENS LÄN</t>
        </is>
      </c>
      <c r="G335" t="inlineStr">
        <is>
          <t>ARVIDSJAUR</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26374-2026</t>
        </is>
      </c>
      <c r="B336" t="inlineStr">
        <is>
          <t>avverkningsanmälan</t>
        </is>
      </c>
      <c r="C336" t="inlineStr">
        <is>
          <t>Föryngringsavverkning</t>
        </is>
      </c>
      <c r="D336" s="1" t="n">
        <v>46182</v>
      </c>
      <c r="E336" s="1" t="n">
        <v>46223</v>
      </c>
      <c r="F336" t="inlineStr">
        <is>
          <t>NORRBOTTENS LÄN</t>
        </is>
      </c>
      <c r="G336" t="inlineStr">
        <is>
          <t>ARVIDSJAUR</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22565-2025</t>
        </is>
      </c>
      <c r="B337" t="inlineStr">
        <is>
          <t>avverkningsanmälan</t>
        </is>
      </c>
      <c r="C337" t="inlineStr">
        <is>
          <t>Föryngringsavverkning</t>
        </is>
      </c>
      <c r="D337" s="1" t="n">
        <v>45786</v>
      </c>
      <c r="E337" s="1" t="n">
        <v>46223</v>
      </c>
      <c r="F337" t="inlineStr">
        <is>
          <t>NORRBOTTENS LÄN</t>
        </is>
      </c>
      <c r="G337" t="inlineStr">
        <is>
          <t>ARVIDSJAUR</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25121-2024</t>
        </is>
      </c>
      <c r="B338" t="inlineStr">
        <is>
          <t>avverkningsanmälan</t>
        </is>
      </c>
      <c r="C338" t="inlineStr">
        <is>
          <t>Föryngringsavverkning</t>
        </is>
      </c>
      <c r="D338" s="1" t="n">
        <v>45462</v>
      </c>
      <c r="E338" s="1" t="n">
        <v>46223</v>
      </c>
      <c r="F338" t="inlineStr">
        <is>
          <t>NORRBOTTENS LÄN</t>
        </is>
      </c>
      <c r="G338" t="inlineStr">
        <is>
          <t>ARVIDSJAUR</t>
        </is>
      </c>
      <c r="H338" t="inlineStr">
        <is>
          <t>Sveaskog</t>
        </is>
      </c>
      <c r="I338" t="n">
        <v>9.699999999999999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21062-2026</t>
        </is>
      </c>
      <c r="B339" t="inlineStr">
        <is>
          <t>avverkningsanmälan</t>
        </is>
      </c>
      <c r="C339" t="inlineStr">
        <is>
          <t>Föryngringsavverkning</t>
        </is>
      </c>
      <c r="D339" s="1" t="n">
        <v>46146</v>
      </c>
      <c r="E339" s="1" t="n">
        <v>46223</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s="2" t="inlineStr"/>
    </row>
    <row r="340" ht="15" customHeight="1">
      <c r="A340" t="inlineStr">
        <is>
          <t>A 21054-2026</t>
        </is>
      </c>
      <c r="B340" t="inlineStr">
        <is>
          <t>avverkningsanmälan</t>
        </is>
      </c>
      <c r="C340" t="inlineStr">
        <is>
          <t>Föryngringsavverkning</t>
        </is>
      </c>
      <c r="D340" s="1" t="n">
        <v>46146</v>
      </c>
      <c r="E340" s="1" t="n">
        <v>46223</v>
      </c>
      <c r="F340" t="inlineStr">
        <is>
          <t>NORRBOTTENS LÄN</t>
        </is>
      </c>
      <c r="G340" t="inlineStr">
        <is>
          <t>ARVIDSJAUR</t>
        </is>
      </c>
      <c r="H340" t="inlineStr">
        <is>
          <t>Sveaskog</t>
        </is>
      </c>
      <c r="I340" t="n">
        <v>6.9</v>
      </c>
      <c r="J340" t="n">
        <v>0</v>
      </c>
      <c r="K340" t="n">
        <v>0</v>
      </c>
      <c r="L340" t="n">
        <v>0</v>
      </c>
      <c r="M340" t="n">
        <v>0</v>
      </c>
      <c r="N340" t="n">
        <v>0</v>
      </c>
      <c r="O340" t="n">
        <v>0</v>
      </c>
      <c r="P340" t="n">
        <v>0</v>
      </c>
      <c r="Q340" t="n">
        <v>0</v>
      </c>
      <c r="R340" t="n">
        <v>0</v>
      </c>
      <c r="S340" t="n">
        <v>0</v>
      </c>
      <c r="T340" t="n">
        <v>0</v>
      </c>
      <c r="U340" s="2" t="inlineStr"/>
    </row>
    <row r="341" ht="15" customHeight="1">
      <c r="A341" t="inlineStr">
        <is>
          <t>A 21056-2026</t>
        </is>
      </c>
      <c r="B341" t="inlineStr">
        <is>
          <t>avverkningsanmälan</t>
        </is>
      </c>
      <c r="C341" t="inlineStr">
        <is>
          <t>Föryngringsavverkning</t>
        </is>
      </c>
      <c r="D341" s="1" t="n">
        <v>46146</v>
      </c>
      <c r="E341" s="1" t="n">
        <v>46223</v>
      </c>
      <c r="F341" t="inlineStr">
        <is>
          <t>NORRBOTTENS LÄN</t>
        </is>
      </c>
      <c r="G341" t="inlineStr">
        <is>
          <t>ARVIDSJAUR</t>
        </is>
      </c>
      <c r="H341" t="inlineStr">
        <is>
          <t>Sveaskog</t>
        </is>
      </c>
      <c r="I341" t="n">
        <v>16.7</v>
      </c>
      <c r="J341" t="n">
        <v>0</v>
      </c>
      <c r="K341" t="n">
        <v>0</v>
      </c>
      <c r="L341" t="n">
        <v>0</v>
      </c>
      <c r="M341" t="n">
        <v>0</v>
      </c>
      <c r="N341" t="n">
        <v>0</v>
      </c>
      <c r="O341" t="n">
        <v>0</v>
      </c>
      <c r="P341" t="n">
        <v>0</v>
      </c>
      <c r="Q341" t="n">
        <v>0</v>
      </c>
      <c r="R341" t="n">
        <v>0</v>
      </c>
      <c r="S341" t="n">
        <v>0</v>
      </c>
      <c r="T341" t="n">
        <v>0</v>
      </c>
      <c r="U341" s="2" t="inlineStr"/>
    </row>
    <row r="342" ht="15" customHeight="1">
      <c r="A342" t="inlineStr">
        <is>
          <t>A 21057-2026</t>
        </is>
      </c>
      <c r="B342" t="inlineStr">
        <is>
          <t>avverkningsanmälan</t>
        </is>
      </c>
      <c r="C342" t="inlineStr">
        <is>
          <t>Föryngringsavverkning</t>
        </is>
      </c>
      <c r="D342" s="1" t="n">
        <v>46146</v>
      </c>
      <c r="E342" s="1" t="n">
        <v>46223</v>
      </c>
      <c r="F342" t="inlineStr">
        <is>
          <t>NORRBOTTENS LÄN</t>
        </is>
      </c>
      <c r="G342" t="inlineStr">
        <is>
          <t>ARVIDSJAUR</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21061-2026</t>
        </is>
      </c>
      <c r="B343" t="inlineStr">
        <is>
          <t>avverkningsanmälan</t>
        </is>
      </c>
      <c r="C343" t="inlineStr">
        <is>
          <t>Föryngringsavverkning</t>
        </is>
      </c>
      <c r="D343" s="1" t="n">
        <v>46146</v>
      </c>
      <c r="E343" s="1" t="n">
        <v>46223</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27160-2026</t>
        </is>
      </c>
      <c r="B344" t="inlineStr">
        <is>
          <t>avverkningsanmälan</t>
        </is>
      </c>
      <c r="C344" t="inlineStr">
        <is>
          <t>Avverkning för annat ändamål</t>
        </is>
      </c>
      <c r="D344" s="1" t="n">
        <v>46188</v>
      </c>
      <c r="E344" s="1" t="n">
        <v>46223</v>
      </c>
      <c r="F344" t="inlineStr">
        <is>
          <t>NORRBOTTENS LÄN</t>
        </is>
      </c>
      <c r="G344" t="inlineStr">
        <is>
          <t>ARVIDSJAUR</t>
        </is>
      </c>
      <c r="H344" t="inlineStr">
        <is>
          <t>Sveaskog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27142-2026</t>
        </is>
      </c>
      <c r="B345" t="inlineStr">
        <is>
          <t>avverkningsanmälan</t>
        </is>
      </c>
      <c r="C345" t="inlineStr">
        <is>
          <t>Avverkning för annat ändamål</t>
        </is>
      </c>
      <c r="D345" s="1" t="n">
        <v>46188</v>
      </c>
      <c r="E345" s="1" t="n">
        <v>46223</v>
      </c>
      <c r="F345" t="inlineStr">
        <is>
          <t>NORRBOTTENS LÄN</t>
        </is>
      </c>
      <c r="G345" t="inlineStr">
        <is>
          <t>ARVIDSJAUR</t>
        </is>
      </c>
      <c r="H345" t="inlineStr">
        <is>
          <t>Sveaskog</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27144-2026</t>
        </is>
      </c>
      <c r="B346" t="inlineStr">
        <is>
          <t>avverkningsanmälan</t>
        </is>
      </c>
      <c r="C346" t="inlineStr">
        <is>
          <t>Avverkning för annat ändamål</t>
        </is>
      </c>
      <c r="D346" s="1" t="n">
        <v>46188</v>
      </c>
      <c r="E346" s="1" t="n">
        <v>46223</v>
      </c>
      <c r="F346" t="inlineStr">
        <is>
          <t>NORRBOTTENS LÄN</t>
        </is>
      </c>
      <c r="G346" t="inlineStr">
        <is>
          <t>ARVIDSJAUR</t>
        </is>
      </c>
      <c r="H346" t="inlineStr">
        <is>
          <t>Sveaskog</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27157-2026</t>
        </is>
      </c>
      <c r="B347" t="inlineStr">
        <is>
          <t>avverkningsanmälan</t>
        </is>
      </c>
      <c r="C347" t="inlineStr">
        <is>
          <t>Avverkning för annat ändamål</t>
        </is>
      </c>
      <c r="D347" s="1" t="n">
        <v>46188</v>
      </c>
      <c r="E347" s="1" t="n">
        <v>46223</v>
      </c>
      <c r="F347" t="inlineStr">
        <is>
          <t>NORRBOTTENS LÄN</t>
        </is>
      </c>
      <c r="G347" t="inlineStr">
        <is>
          <t>ARVIDSJAUR</t>
        </is>
      </c>
      <c r="H347" t="inlineStr">
        <is>
          <t>Sveaskog</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26806-2026</t>
        </is>
      </c>
      <c r="B348" t="inlineStr">
        <is>
          <t>avverkningsanmälan</t>
        </is>
      </c>
      <c r="C348" t="inlineStr">
        <is>
          <t>Föryngringsavverkning</t>
        </is>
      </c>
      <c r="D348" s="1" t="n">
        <v>46183</v>
      </c>
      <c r="E348" s="1" t="n">
        <v>46223</v>
      </c>
      <c r="F348" t="inlineStr">
        <is>
          <t>NORRBOTTENS LÄN</t>
        </is>
      </c>
      <c r="G348" t="inlineStr">
        <is>
          <t>ARVIDSJAUR</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27101-2026</t>
        </is>
      </c>
      <c r="B349" t="inlineStr">
        <is>
          <t>avverkningsanmälan</t>
        </is>
      </c>
      <c r="C349" t="inlineStr">
        <is>
          <t>Avverkning för annat ändamål</t>
        </is>
      </c>
      <c r="D349" s="1" t="n">
        <v>46188</v>
      </c>
      <c r="E349" s="1" t="n">
        <v>46223</v>
      </c>
      <c r="F349" t="inlineStr">
        <is>
          <t>NORRBOTTENS LÄN</t>
        </is>
      </c>
      <c r="G349" t="inlineStr">
        <is>
          <t>ARVIDSJAUR</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21418-2026</t>
        </is>
      </c>
      <c r="B350" t="inlineStr">
        <is>
          <t>avverkningsanmälan</t>
        </is>
      </c>
      <c r="C350" t="inlineStr">
        <is>
          <t>Föryngringsavverkning</t>
        </is>
      </c>
      <c r="D350" s="1" t="n">
        <v>46148</v>
      </c>
      <c r="E350" s="1" t="n">
        <v>46223</v>
      </c>
      <c r="F350" t="inlineStr">
        <is>
          <t>NORRBOTTENS LÄN</t>
        </is>
      </c>
      <c r="G350" t="inlineStr">
        <is>
          <t>ARVIDSJAUR</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3265-2024</t>
        </is>
      </c>
      <c r="B351" t="inlineStr">
        <is>
          <t>avverkningsanmälan</t>
        </is>
      </c>
      <c r="C351" t="inlineStr">
        <is>
          <t>Föryngringsavverkning</t>
        </is>
      </c>
      <c r="D351" s="1" t="n">
        <v>45316</v>
      </c>
      <c r="E351" s="1" t="n">
        <v>46223</v>
      </c>
      <c r="F351" t="inlineStr">
        <is>
          <t>NORRBOTTENS LÄN</t>
        </is>
      </c>
      <c r="G351" t="inlineStr">
        <is>
          <t>ARVIDSJAUR</t>
        </is>
      </c>
      <c r="H351" t="inlineStr">
        <is>
          <t>Allmännings- och besparingsskogar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26394-2026</t>
        </is>
      </c>
      <c r="B352" t="inlineStr">
        <is>
          <t>avverkningsanmälan</t>
        </is>
      </c>
      <c r="C352" t="inlineStr">
        <is>
          <t>Föryngringsavverkning</t>
        </is>
      </c>
      <c r="D352" s="1" t="n">
        <v>46182</v>
      </c>
      <c r="E352" s="1" t="n">
        <v>46223</v>
      </c>
      <c r="F352" t="inlineStr">
        <is>
          <t>NORRBOTTENS LÄN</t>
        </is>
      </c>
      <c r="G352" t="inlineStr">
        <is>
          <t>ARVIDSJAUR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2116-2024</t>
        </is>
      </c>
      <c r="B353" t="inlineStr">
        <is>
          <t>avverkningsanmälan</t>
        </is>
      </c>
      <c r="C353" t="inlineStr">
        <is>
          <t>Föryngringsavverkning</t>
        </is>
      </c>
      <c r="D353" s="1" t="n">
        <v>45309</v>
      </c>
      <c r="E353" s="1" t="n">
        <v>46223</v>
      </c>
      <c r="F353" t="inlineStr">
        <is>
          <t>NORRBOTTENS LÄN</t>
        </is>
      </c>
      <c r="G353" t="inlineStr">
        <is>
          <t>ARVIDSJAUR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21255-2026</t>
        </is>
      </c>
      <c r="B354" t="inlineStr">
        <is>
          <t>avverkningsanmälan</t>
        </is>
      </c>
      <c r="C354" t="inlineStr">
        <is>
          <t>Föryngringsavverkning</t>
        </is>
      </c>
      <c r="D354" s="1" t="n">
        <v>46147</v>
      </c>
      <c r="E354" s="1" t="n">
        <v>46223</v>
      </c>
      <c r="F354" t="inlineStr">
        <is>
          <t>NORRBOTTENS LÄN</t>
        </is>
      </c>
      <c r="G354" t="inlineStr">
        <is>
          <t>ARVIDSJAUR</t>
        </is>
      </c>
      <c r="H354" t="inlineStr">
        <is>
          <t>Sveaskog</t>
        </is>
      </c>
      <c r="I354" t="n">
        <v>28.3</v>
      </c>
      <c r="J354" t="n">
        <v>0</v>
      </c>
      <c r="K354" t="n">
        <v>0</v>
      </c>
      <c r="L354" t="n">
        <v>0</v>
      </c>
      <c r="M354" t="n">
        <v>0</v>
      </c>
      <c r="N354" t="n">
        <v>0</v>
      </c>
      <c r="O354" t="n">
        <v>0</v>
      </c>
      <c r="P354" t="n">
        <v>0</v>
      </c>
      <c r="Q354" t="n">
        <v>0</v>
      </c>
      <c r="R354" t="n">
        <v>0</v>
      </c>
      <c r="S354" t="n">
        <v>0</v>
      </c>
      <c r="T354" t="n">
        <v>0</v>
      </c>
      <c r="U354" s="2" t="inlineStr"/>
    </row>
    <row r="355" ht="15" customHeight="1">
      <c r="A355" t="inlineStr">
        <is>
          <t>A 29674-2024</t>
        </is>
      </c>
      <c r="B355" t="inlineStr">
        <is>
          <t>avverkningsanmälan</t>
        </is>
      </c>
      <c r="C355" t="inlineStr">
        <is>
          <t>Föryngringsavverkning</t>
        </is>
      </c>
      <c r="D355" s="1" t="n">
        <v>45484</v>
      </c>
      <c r="E355" s="1" t="n">
        <v>46223</v>
      </c>
      <c r="F355" t="inlineStr">
        <is>
          <t>NORRBOTTENS LÄN</t>
        </is>
      </c>
      <c r="G355" t="inlineStr">
        <is>
          <t>ARVIDSJAUR</t>
        </is>
      </c>
      <c r="H355" t="inlineStr">
        <is>
          <t>SCA</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28313-2023</t>
        </is>
      </c>
      <c r="B356" t="inlineStr">
        <is>
          <t>avverkningsanmälan</t>
        </is>
      </c>
      <c r="C356" t="inlineStr">
        <is>
          <t>Föryngringsavverkning</t>
        </is>
      </c>
      <c r="D356" s="1" t="n">
        <v>45099</v>
      </c>
      <c r="E356" s="1" t="n">
        <v>46223</v>
      </c>
      <c r="F356" t="inlineStr">
        <is>
          <t>NORRBOTTENS LÄN</t>
        </is>
      </c>
      <c r="G356" t="inlineStr">
        <is>
          <t>ARVIDSJAUR</t>
        </is>
      </c>
      <c r="H356" t="inlineStr">
        <is>
          <t>Sveaskog</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48373-2024</t>
        </is>
      </c>
      <c r="B357" t="inlineStr">
        <is>
          <t>avverkningsanmälan</t>
        </is>
      </c>
      <c r="C357" t="inlineStr">
        <is>
          <t>Föryngringsavverkning</t>
        </is>
      </c>
      <c r="D357" s="1" t="n">
        <v>45590</v>
      </c>
      <c r="E357" s="1" t="n">
        <v>46223</v>
      </c>
      <c r="F357" t="inlineStr">
        <is>
          <t>NORRBOTTENS LÄN</t>
        </is>
      </c>
      <c r="G357" t="inlineStr">
        <is>
          <t>ARVIDSJAUR</t>
        </is>
      </c>
      <c r="H357" t="inlineStr">
        <is>
          <t>Sveaskog</t>
        </is>
      </c>
      <c r="I357" t="n">
        <v>8.199999999999999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22691-2024</t>
        </is>
      </c>
      <c r="B358" t="inlineStr">
        <is>
          <t>avverkningsanmälan</t>
        </is>
      </c>
      <c r="C358" t="inlineStr">
        <is>
          <t>Föryngringsavverkning</t>
        </is>
      </c>
      <c r="D358" s="1" t="n">
        <v>45448</v>
      </c>
      <c r="E358" s="1" t="n">
        <v>46223</v>
      </c>
      <c r="F358" t="inlineStr">
        <is>
          <t>NORRBOTTENS LÄN</t>
        </is>
      </c>
      <c r="G358" t="inlineStr">
        <is>
          <t>ARVIDSJAUR</t>
        </is>
      </c>
      <c r="H358" t="inlineStr">
        <is>
          <t>Sveaskog</t>
        </is>
      </c>
      <c r="I358" t="n">
        <v>11.2</v>
      </c>
      <c r="J358" t="n">
        <v>0</v>
      </c>
      <c r="K358" t="n">
        <v>0</v>
      </c>
      <c r="L358" t="n">
        <v>0</v>
      </c>
      <c r="M358" t="n">
        <v>0</v>
      </c>
      <c r="N358" t="n">
        <v>0</v>
      </c>
      <c r="O358" t="n">
        <v>0</v>
      </c>
      <c r="P358" t="n">
        <v>0</v>
      </c>
      <c r="Q358" t="n">
        <v>0</v>
      </c>
      <c r="R358" t="n">
        <v>0</v>
      </c>
      <c r="S358" t="n">
        <v>0</v>
      </c>
      <c r="T358" t="n">
        <v>0</v>
      </c>
      <c r="U358" s="2" t="inlineStr"/>
    </row>
    <row r="359" ht="15" customHeight="1">
      <c r="A359" t="inlineStr">
        <is>
          <t>A 52645-2023</t>
        </is>
      </c>
      <c r="B359" t="inlineStr">
        <is>
          <t>avverkningsanmälan</t>
        </is>
      </c>
      <c r="C359" t="inlineStr">
        <is>
          <t>Föryngringsavverkning</t>
        </is>
      </c>
      <c r="D359" s="1" t="n">
        <v>45225</v>
      </c>
      <c r="E359" s="1" t="n">
        <v>46223</v>
      </c>
      <c r="F359" t="inlineStr">
        <is>
          <t>NORRBOTTENS LÄN</t>
        </is>
      </c>
      <c r="G359" t="inlineStr">
        <is>
          <t>ARVIDSJAUR</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36452-2024</t>
        </is>
      </c>
      <c r="B360" t="inlineStr">
        <is>
          <t>avverkningsanmälan</t>
        </is>
      </c>
      <c r="C360" t="inlineStr">
        <is>
          <t>Föryngringsavverkning</t>
        </is>
      </c>
      <c r="D360" s="1" t="n">
        <v>45537</v>
      </c>
      <c r="E360" s="1" t="n">
        <v>46223</v>
      </c>
      <c r="F360" t="inlineStr">
        <is>
          <t>NORRBOTTENS LÄN</t>
        </is>
      </c>
      <c r="G360" t="inlineStr">
        <is>
          <t>ARVIDSJAUR</t>
        </is>
      </c>
      <c r="H360" t="inlineStr">
        <is>
          <t>Sveaskog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45034-2023</t>
        </is>
      </c>
      <c r="B361" t="inlineStr">
        <is>
          <t>avverkningsanmälan</t>
        </is>
      </c>
      <c r="C361" t="inlineStr">
        <is>
          <t>Föryngringsavverkning</t>
        </is>
      </c>
      <c r="D361" s="1" t="n">
        <v>45191</v>
      </c>
      <c r="E361" s="1" t="n">
        <v>46223</v>
      </c>
      <c r="F361" t="inlineStr">
        <is>
          <t>NORRBOTTENS LÄN</t>
        </is>
      </c>
      <c r="G361" t="inlineStr">
        <is>
          <t>ARVIDSJAUR</t>
        </is>
      </c>
      <c r="H361" t="inlineStr">
        <is>
          <t>Sveaskog</t>
        </is>
      </c>
      <c r="I361" t="n">
        <v>7</v>
      </c>
      <c r="J361" t="n">
        <v>0</v>
      </c>
      <c r="K361" t="n">
        <v>0</v>
      </c>
      <c r="L361" t="n">
        <v>0</v>
      </c>
      <c r="M361" t="n">
        <v>0</v>
      </c>
      <c r="N361" t="n">
        <v>0</v>
      </c>
      <c r="O361" t="n">
        <v>0</v>
      </c>
      <c r="P361" t="n">
        <v>0</v>
      </c>
      <c r="Q361" t="n">
        <v>0</v>
      </c>
      <c r="R361" t="n">
        <v>0</v>
      </c>
      <c r="S361" t="n">
        <v>0</v>
      </c>
      <c r="T361" t="n">
        <v>0</v>
      </c>
      <c r="U361" s="2" t="inlineStr"/>
    </row>
    <row r="362" ht="15" customHeight="1">
      <c r="A362" t="inlineStr">
        <is>
          <t>A 47919-2024</t>
        </is>
      </c>
      <c r="B362" t="inlineStr">
        <is>
          <t>avverkningsanmälan</t>
        </is>
      </c>
      <c r="C362" t="inlineStr">
        <is>
          <t>Avverkning för annat ändamål</t>
        </is>
      </c>
      <c r="D362" s="1" t="n">
        <v>45589</v>
      </c>
      <c r="E362" s="1" t="n">
        <v>46223</v>
      </c>
      <c r="F362" t="inlineStr">
        <is>
          <t>NORRBOTTENS LÄN</t>
        </is>
      </c>
      <c r="G362" t="inlineStr">
        <is>
          <t>ARVIDSJAUR</t>
        </is>
      </c>
      <c r="H362" t="inlineStr">
        <is>
          <t>Sveaskog</t>
        </is>
      </c>
      <c r="I362" t="n">
        <v>7.8</v>
      </c>
      <c r="J362" t="n">
        <v>0</v>
      </c>
      <c r="K362" t="n">
        <v>0</v>
      </c>
      <c r="L362" t="n">
        <v>0</v>
      </c>
      <c r="M362" t="n">
        <v>0</v>
      </c>
      <c r="N362" t="n">
        <v>0</v>
      </c>
      <c r="O362" t="n">
        <v>0</v>
      </c>
      <c r="P362" t="n">
        <v>0</v>
      </c>
      <c r="Q362" t="n">
        <v>0</v>
      </c>
      <c r="R362" t="n">
        <v>0</v>
      </c>
      <c r="S362" t="n">
        <v>0</v>
      </c>
      <c r="T362" t="n">
        <v>0</v>
      </c>
      <c r="U362" s="2" t="inlineStr"/>
    </row>
    <row r="363" ht="15" customHeight="1">
      <c r="A363" t="inlineStr">
        <is>
          <t>A 54211-2024</t>
        </is>
      </c>
      <c r="B363" t="inlineStr">
        <is>
          <t>avverkningsanmälan</t>
        </is>
      </c>
      <c r="C363" t="inlineStr">
        <is>
          <t>Föryngringsavverkning</t>
        </is>
      </c>
      <c r="D363" s="1" t="n">
        <v>45616</v>
      </c>
      <c r="E363" s="1" t="n">
        <v>46223</v>
      </c>
      <c r="F363" t="inlineStr">
        <is>
          <t>NORRBOTTENS LÄN</t>
        </is>
      </c>
      <c r="G363" t="inlineStr">
        <is>
          <t>ARVIDSJAUR</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54311-2023</t>
        </is>
      </c>
      <c r="B364" t="inlineStr">
        <is>
          <t>avverkningsanmälan</t>
        </is>
      </c>
      <c r="C364" t="inlineStr">
        <is>
          <t>Avverkning för annat ändamål</t>
        </is>
      </c>
      <c r="D364" s="1" t="n">
        <v>45225</v>
      </c>
      <c r="E364" s="1" t="n">
        <v>46223</v>
      </c>
      <c r="F364" t="inlineStr">
        <is>
          <t>NORRBOTTENS LÄN</t>
        </is>
      </c>
      <c r="G364" t="inlineStr">
        <is>
          <t>ARVIDSJAUR</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41872-2021</t>
        </is>
      </c>
      <c r="B365" t="inlineStr">
        <is>
          <t>avverkningsanmälan</t>
        </is>
      </c>
      <c r="C365" t="inlineStr">
        <is>
          <t>Föryngringsavverkning</t>
        </is>
      </c>
      <c r="D365" s="1" t="n">
        <v>44426</v>
      </c>
      <c r="E365" s="1" t="n">
        <v>46223</v>
      </c>
      <c r="F365" t="inlineStr">
        <is>
          <t>NORRBOTTENS LÄN</t>
        </is>
      </c>
      <c r="G365" t="inlineStr">
        <is>
          <t>ARVIDSJAUR</t>
        </is>
      </c>
      <c r="H365" t="inlineStr">
        <is>
          <t>Sveaskog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29327-2026</t>
        </is>
      </c>
      <c r="B366" t="inlineStr">
        <is>
          <t>avverkningsanmälan</t>
        </is>
      </c>
      <c r="C366" t="inlineStr">
        <is>
          <t>Föryngringsavverkning</t>
        </is>
      </c>
      <c r="D366" s="1" t="n">
        <v>46202</v>
      </c>
      <c r="E366" s="1" t="n">
        <v>46223</v>
      </c>
      <c r="F366" t="inlineStr">
        <is>
          <t>NORRBOTTENS LÄN</t>
        </is>
      </c>
      <c r="G366" t="inlineStr">
        <is>
          <t>ARVIDSJAUR</t>
        </is>
      </c>
      <c r="H366" t="inlineStr">
        <is>
          <t>Sveaskog</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29332-2026</t>
        </is>
      </c>
      <c r="B367" t="inlineStr">
        <is>
          <t>avverkningsanmälan</t>
        </is>
      </c>
      <c r="C367" t="inlineStr">
        <is>
          <t>Föryngringsavverkning</t>
        </is>
      </c>
      <c r="D367" s="1" t="n">
        <v>46202</v>
      </c>
      <c r="E367" s="1" t="n">
        <v>46223</v>
      </c>
      <c r="F367" t="inlineStr">
        <is>
          <t>NORRBOTTENS LÄN</t>
        </is>
      </c>
      <c r="G367" t="inlineStr">
        <is>
          <t>ARVIDSJAUR</t>
        </is>
      </c>
      <c r="H367" t="inlineStr">
        <is>
          <t>Sveaskog</t>
        </is>
      </c>
      <c r="I367" t="n">
        <v>6.2</v>
      </c>
      <c r="J367" t="n">
        <v>0</v>
      </c>
      <c r="K367" t="n">
        <v>0</v>
      </c>
      <c r="L367" t="n">
        <v>0</v>
      </c>
      <c r="M367" t="n">
        <v>0</v>
      </c>
      <c r="N367" t="n">
        <v>0</v>
      </c>
      <c r="O367" t="n">
        <v>0</v>
      </c>
      <c r="P367" t="n">
        <v>0</v>
      </c>
      <c r="Q367" t="n">
        <v>0</v>
      </c>
      <c r="R367" t="n">
        <v>0</v>
      </c>
      <c r="S367" t="n">
        <v>0</v>
      </c>
      <c r="T367" t="n">
        <v>0</v>
      </c>
      <c r="U367" s="2" t="inlineStr"/>
    </row>
    <row r="368" ht="15" customHeight="1">
      <c r="A368" t="inlineStr">
        <is>
          <t>A 12794-2023</t>
        </is>
      </c>
      <c r="B368" t="inlineStr">
        <is>
          <t>avverkningsanmälan</t>
        </is>
      </c>
      <c r="C368" t="inlineStr">
        <is>
          <t>Avverkning för annat ändamål</t>
        </is>
      </c>
      <c r="D368" s="1" t="n">
        <v>45001</v>
      </c>
      <c r="E368" s="1" t="n">
        <v>46223</v>
      </c>
      <c r="F368" t="inlineStr">
        <is>
          <t>NORRBOTTENS LÄN</t>
        </is>
      </c>
      <c r="G368" t="inlineStr">
        <is>
          <t>ARVIDSJAUR</t>
        </is>
      </c>
      <c r="H368" t="inlineStr">
        <is>
          <t>Sveaskog</t>
        </is>
      </c>
      <c r="I368" t="n">
        <v>4</v>
      </c>
      <c r="J368" t="n">
        <v>0</v>
      </c>
      <c r="K368" t="n">
        <v>0</v>
      </c>
      <c r="L368" t="n">
        <v>0</v>
      </c>
      <c r="M368" t="n">
        <v>0</v>
      </c>
      <c r="N368" t="n">
        <v>0</v>
      </c>
      <c r="O368" t="n">
        <v>0</v>
      </c>
      <c r="P368" t="n">
        <v>0</v>
      </c>
      <c r="Q368" t="n">
        <v>0</v>
      </c>
      <c r="R368" t="n">
        <v>0</v>
      </c>
      <c r="S368" t="n">
        <v>0</v>
      </c>
      <c r="T368" t="n">
        <v>0</v>
      </c>
      <c r="U368" s="2" t="inlineStr"/>
    </row>
    <row r="369" ht="15" customHeight="1">
      <c r="A369" t="inlineStr">
        <is>
          <t>A 28803-2024</t>
        </is>
      </c>
      <c r="B369" t="inlineStr">
        <is>
          <t>avverkningsanmälan</t>
        </is>
      </c>
      <c r="C369" t="inlineStr">
        <is>
          <t>Föryngringsavverkning</t>
        </is>
      </c>
      <c r="D369" s="1" t="n">
        <v>45478</v>
      </c>
      <c r="E369" s="1" t="n">
        <v>46223</v>
      </c>
      <c r="F369" t="inlineStr">
        <is>
          <t>NORRBOTTENS LÄN</t>
        </is>
      </c>
      <c r="G369" t="inlineStr">
        <is>
          <t>ARVIDSJAUR</t>
        </is>
      </c>
      <c r="H369" t="inlineStr">
        <is>
          <t>Övriga Aktiebolag</t>
        </is>
      </c>
      <c r="I369" t="n">
        <v>16.5</v>
      </c>
      <c r="J369" t="n">
        <v>0</v>
      </c>
      <c r="K369" t="n">
        <v>0</v>
      </c>
      <c r="L369" t="n">
        <v>0</v>
      </c>
      <c r="M369" t="n">
        <v>0</v>
      </c>
      <c r="N369" t="n">
        <v>0</v>
      </c>
      <c r="O369" t="n">
        <v>0</v>
      </c>
      <c r="P369" t="n">
        <v>0</v>
      </c>
      <c r="Q369" t="n">
        <v>0</v>
      </c>
      <c r="R369" t="n">
        <v>0</v>
      </c>
      <c r="S369" t="n">
        <v>0</v>
      </c>
      <c r="T369" t="n">
        <v>0</v>
      </c>
      <c r="U369" s="2" t="inlineStr"/>
    </row>
    <row r="370" ht="15" customHeight="1">
      <c r="A370" t="inlineStr">
        <is>
          <t>A 28881-2026</t>
        </is>
      </c>
      <c r="B370" t="inlineStr">
        <is>
          <t>avverkningsanmälan</t>
        </is>
      </c>
      <c r="C370" t="inlineStr">
        <is>
          <t>Föryngringsavverkning</t>
        </is>
      </c>
      <c r="D370" s="1" t="n">
        <v>46199</v>
      </c>
      <c r="E370" s="1" t="n">
        <v>46223</v>
      </c>
      <c r="F370" t="inlineStr">
        <is>
          <t>NORRBOTTENS LÄN</t>
        </is>
      </c>
      <c r="G370" t="inlineStr">
        <is>
          <t>ARVIDSJAUR</t>
        </is>
      </c>
      <c r="H370" t="inlineStr">
        <is>
          <t>Sveaskog</t>
        </is>
      </c>
      <c r="I370" t="n">
        <v>8</v>
      </c>
      <c r="J370" t="n">
        <v>0</v>
      </c>
      <c r="K370" t="n">
        <v>0</v>
      </c>
      <c r="L370" t="n">
        <v>0</v>
      </c>
      <c r="M370" t="n">
        <v>0</v>
      </c>
      <c r="N370" t="n">
        <v>0</v>
      </c>
      <c r="O370" t="n">
        <v>0</v>
      </c>
      <c r="P370" t="n">
        <v>0</v>
      </c>
      <c r="Q370" t="n">
        <v>0</v>
      </c>
      <c r="R370" t="n">
        <v>0</v>
      </c>
      <c r="S370" t="n">
        <v>0</v>
      </c>
      <c r="T370" t="n">
        <v>0</v>
      </c>
      <c r="U370" s="2" t="inlineStr"/>
    </row>
    <row r="371" ht="15" customHeight="1">
      <c r="A371" t="inlineStr">
        <is>
          <t>A 28882-2026</t>
        </is>
      </c>
      <c r="B371" t="inlineStr">
        <is>
          <t>avverkningsanmälan</t>
        </is>
      </c>
      <c r="C371" t="inlineStr">
        <is>
          <t>Föryngringsavverkning</t>
        </is>
      </c>
      <c r="D371" s="1" t="n">
        <v>46199</v>
      </c>
      <c r="E371" s="1" t="n">
        <v>46223</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s="2" t="inlineStr"/>
    </row>
    <row r="372" ht="15" customHeight="1">
      <c r="A372" t="inlineStr">
        <is>
          <t>A 28942-2026</t>
        </is>
      </c>
      <c r="B372" t="inlineStr">
        <is>
          <t>avverkningsanmälan</t>
        </is>
      </c>
      <c r="C372" t="inlineStr">
        <is>
          <t>Föryngringsavverkning</t>
        </is>
      </c>
      <c r="D372" s="1" t="n">
        <v>46199</v>
      </c>
      <c r="E372" s="1" t="n">
        <v>46223</v>
      </c>
      <c r="F372" t="inlineStr">
        <is>
          <t>NORRBOTTENS LÄN</t>
        </is>
      </c>
      <c r="G372" t="inlineStr">
        <is>
          <t>ARVIDSJAUR</t>
        </is>
      </c>
      <c r="H372" t="inlineStr">
        <is>
          <t>Sveaskog</t>
        </is>
      </c>
      <c r="I372" t="n">
        <v>19.3</v>
      </c>
      <c r="J372" t="n">
        <v>0</v>
      </c>
      <c r="K372" t="n">
        <v>0</v>
      </c>
      <c r="L372" t="n">
        <v>0</v>
      </c>
      <c r="M372" t="n">
        <v>0</v>
      </c>
      <c r="N372" t="n">
        <v>0</v>
      </c>
      <c r="O372" t="n">
        <v>0</v>
      </c>
      <c r="P372" t="n">
        <v>0</v>
      </c>
      <c r="Q372" t="n">
        <v>0</v>
      </c>
      <c r="R372" t="n">
        <v>0</v>
      </c>
      <c r="S372" t="n">
        <v>0</v>
      </c>
      <c r="T372" t="n">
        <v>0</v>
      </c>
      <c r="U372" s="2" t="inlineStr"/>
    </row>
    <row r="373" ht="15" customHeight="1">
      <c r="A373" t="inlineStr">
        <is>
          <t>A 28357-2025</t>
        </is>
      </c>
      <c r="B373" t="inlineStr">
        <is>
          <t>avverkningsanmälan</t>
        </is>
      </c>
      <c r="C373" t="inlineStr">
        <is>
          <t>Föryngringsavverkning</t>
        </is>
      </c>
      <c r="D373" s="1" t="n">
        <v>45818</v>
      </c>
      <c r="E373" s="1" t="n">
        <v>46223</v>
      </c>
      <c r="F373" t="inlineStr">
        <is>
          <t>NORRBOTTENS LÄN</t>
        </is>
      </c>
      <c r="G373" t="inlineStr">
        <is>
          <t>ARVIDSJAUR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48464-2024</t>
        </is>
      </c>
      <c r="B374" t="inlineStr">
        <is>
          <t>avverkningsanmälan</t>
        </is>
      </c>
      <c r="C374" t="inlineStr">
        <is>
          <t>Föryngringsavverkning</t>
        </is>
      </c>
      <c r="D374" s="1" t="n">
        <v>45590</v>
      </c>
      <c r="E374" s="1" t="n">
        <v>46223</v>
      </c>
      <c r="F374" t="inlineStr">
        <is>
          <t>NORRBOTTENS LÄN</t>
        </is>
      </c>
      <c r="G374" t="inlineStr">
        <is>
          <t>ARVIDSJAUR</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50472-2022</t>
        </is>
      </c>
      <c r="B375" t="inlineStr">
        <is>
          <t>avverkningsanmälan</t>
        </is>
      </c>
      <c r="C375" t="inlineStr">
        <is>
          <t>Föryngringsavverkning</t>
        </is>
      </c>
      <c r="D375" s="1" t="n">
        <v>44861</v>
      </c>
      <c r="E375" s="1" t="n">
        <v>46223</v>
      </c>
      <c r="F375" t="inlineStr">
        <is>
          <t>NORRBOTTENS LÄN</t>
        </is>
      </c>
      <c r="G375" t="inlineStr">
        <is>
          <t>ARVIDSJAUR</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48616-2024</t>
        </is>
      </c>
      <c r="B376" t="inlineStr">
        <is>
          <t>avverkningsanmälan</t>
        </is>
      </c>
      <c r="C376" t="inlineStr">
        <is>
          <t>Föryngringsavverkning</t>
        </is>
      </c>
      <c r="D376" s="1" t="n">
        <v>45593</v>
      </c>
      <c r="E376" s="1" t="n">
        <v>46223</v>
      </c>
      <c r="F376" t="inlineStr">
        <is>
          <t>NORRBOTTENS LÄN</t>
        </is>
      </c>
      <c r="G376" t="inlineStr">
        <is>
          <t>ARVIDSJAUR</t>
        </is>
      </c>
      <c r="H376" t="inlineStr">
        <is>
          <t>Sveaskog</t>
        </is>
      </c>
      <c r="I376" t="n">
        <v>6.1</v>
      </c>
      <c r="J376" t="n">
        <v>0</v>
      </c>
      <c r="K376" t="n">
        <v>0</v>
      </c>
      <c r="L376" t="n">
        <v>0</v>
      </c>
      <c r="M376" t="n">
        <v>0</v>
      </c>
      <c r="N376" t="n">
        <v>0</v>
      </c>
      <c r="O376" t="n">
        <v>0</v>
      </c>
      <c r="P376" t="n">
        <v>0</v>
      </c>
      <c r="Q376" t="n">
        <v>0</v>
      </c>
      <c r="R376" t="n">
        <v>0</v>
      </c>
      <c r="S376" t="n">
        <v>0</v>
      </c>
      <c r="T376" t="n">
        <v>0</v>
      </c>
      <c r="U376" s="2" t="inlineStr"/>
    </row>
    <row r="377" ht="15" customHeight="1">
      <c r="A377" t="inlineStr">
        <is>
          <t>A 26673-2023</t>
        </is>
      </c>
      <c r="B377" t="inlineStr">
        <is>
          <t>avverkningsanmälan</t>
        </is>
      </c>
      <c r="C377" t="inlineStr">
        <is>
          <t>Föryngringsavverkning</t>
        </is>
      </c>
      <c r="D377" s="1" t="n">
        <v>45093</v>
      </c>
      <c r="E377" s="1" t="n">
        <v>46223</v>
      </c>
      <c r="F377" t="inlineStr">
        <is>
          <t>NORRBOTTENS LÄN</t>
        </is>
      </c>
      <c r="G377" t="inlineStr">
        <is>
          <t>ARVIDSJAUR</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23647-2026</t>
        </is>
      </c>
      <c r="B378" t="inlineStr">
        <is>
          <t>avverkningsanmälan</t>
        </is>
      </c>
      <c r="C378" t="inlineStr">
        <is>
          <t>Avverkning för annat ändamål</t>
        </is>
      </c>
      <c r="D378" s="1" t="n">
        <v>46164</v>
      </c>
      <c r="E378" s="1" t="n">
        <v>46223</v>
      </c>
      <c r="F378" t="inlineStr">
        <is>
          <t>NORRBOTTENS LÄN</t>
        </is>
      </c>
      <c r="G378" t="inlineStr">
        <is>
          <t>ARVIDSJAUR</t>
        </is>
      </c>
      <c r="H378" t="inlineStr">
        <is>
          <t>Sveaskog</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26687-2024</t>
        </is>
      </c>
      <c r="B379" t="inlineStr">
        <is>
          <t>avverkningsanmälan</t>
        </is>
      </c>
      <c r="C379" t="inlineStr">
        <is>
          <t>Föryngringsavverkning</t>
        </is>
      </c>
      <c r="D379" s="1" t="n">
        <v>45470</v>
      </c>
      <c r="E379" s="1" t="n">
        <v>46223</v>
      </c>
      <c r="F379" t="inlineStr">
        <is>
          <t>NORRBOTTENS LÄN</t>
        </is>
      </c>
      <c r="G379" t="inlineStr">
        <is>
          <t>ARVIDSJAUR</t>
        </is>
      </c>
      <c r="H379" t="inlineStr">
        <is>
          <t>Sveaskog</t>
        </is>
      </c>
      <c r="I379" t="n">
        <v>7.7</v>
      </c>
      <c r="J379" t="n">
        <v>0</v>
      </c>
      <c r="K379" t="n">
        <v>0</v>
      </c>
      <c r="L379" t="n">
        <v>0</v>
      </c>
      <c r="M379" t="n">
        <v>0</v>
      </c>
      <c r="N379" t="n">
        <v>0</v>
      </c>
      <c r="O379" t="n">
        <v>0</v>
      </c>
      <c r="P379" t="n">
        <v>0</v>
      </c>
      <c r="Q379" t="n">
        <v>0</v>
      </c>
      <c r="R379" t="n">
        <v>0</v>
      </c>
      <c r="S379" t="n">
        <v>0</v>
      </c>
      <c r="T379" t="n">
        <v>0</v>
      </c>
      <c r="U379" s="2" t="inlineStr"/>
    </row>
    <row r="380" ht="15" customHeight="1">
      <c r="A380" t="inlineStr">
        <is>
          <t>A 30053-2026</t>
        </is>
      </c>
      <c r="B380" t="inlineStr">
        <is>
          <t>avverkningsanmälan</t>
        </is>
      </c>
      <c r="C380" t="inlineStr">
        <is>
          <t>Föryngringsavverkning</t>
        </is>
      </c>
      <c r="D380" s="1" t="n">
        <v>46206</v>
      </c>
      <c r="E380" s="1" t="n">
        <v>46223</v>
      </c>
      <c r="F380" t="inlineStr">
        <is>
          <t>NORRBOTTENS LÄN</t>
        </is>
      </c>
      <c r="G380" t="inlineStr">
        <is>
          <t>ARVIDSJAUR</t>
        </is>
      </c>
      <c r="H380" t="inlineStr">
        <is>
          <t>Sveaskog</t>
        </is>
      </c>
      <c r="I380" t="n">
        <v>9.4</v>
      </c>
      <c r="J380" t="n">
        <v>0</v>
      </c>
      <c r="K380" t="n">
        <v>0</v>
      </c>
      <c r="L380" t="n">
        <v>0</v>
      </c>
      <c r="M380" t="n">
        <v>0</v>
      </c>
      <c r="N380" t="n">
        <v>0</v>
      </c>
      <c r="O380" t="n">
        <v>0</v>
      </c>
      <c r="P380" t="n">
        <v>0</v>
      </c>
      <c r="Q380" t="n">
        <v>0</v>
      </c>
      <c r="R380" t="n">
        <v>0</v>
      </c>
      <c r="S380" t="n">
        <v>0</v>
      </c>
      <c r="T380" t="n">
        <v>0</v>
      </c>
      <c r="U380" s="2" t="inlineStr"/>
    </row>
    <row r="381" ht="15" customHeight="1">
      <c r="A381" t="inlineStr">
        <is>
          <t>A 26819-2024</t>
        </is>
      </c>
      <c r="B381" t="inlineStr">
        <is>
          <t>avverkningsanmälan</t>
        </is>
      </c>
      <c r="C381" t="inlineStr">
        <is>
          <t>Föryngringsavverkning</t>
        </is>
      </c>
      <c r="D381" s="1" t="n">
        <v>45470</v>
      </c>
      <c r="E381" s="1" t="n">
        <v>46223</v>
      </c>
      <c r="F381" t="inlineStr">
        <is>
          <t>NORRBOTTENS LÄN</t>
        </is>
      </c>
      <c r="G381" t="inlineStr">
        <is>
          <t>ARVIDSJAUR</t>
        </is>
      </c>
      <c r="H381" t="inlineStr">
        <is>
          <t>Sveaskog</t>
        </is>
      </c>
      <c r="I381" t="n">
        <v>6.5</v>
      </c>
      <c r="J381" t="n">
        <v>0</v>
      </c>
      <c r="K381" t="n">
        <v>0</v>
      </c>
      <c r="L381" t="n">
        <v>0</v>
      </c>
      <c r="M381" t="n">
        <v>0</v>
      </c>
      <c r="N381" t="n">
        <v>0</v>
      </c>
      <c r="O381" t="n">
        <v>0</v>
      </c>
      <c r="P381" t="n">
        <v>0</v>
      </c>
      <c r="Q381" t="n">
        <v>0</v>
      </c>
      <c r="R381" t="n">
        <v>0</v>
      </c>
      <c r="S381" t="n">
        <v>0</v>
      </c>
      <c r="T381" t="n">
        <v>0</v>
      </c>
      <c r="U381" s="2" t="inlineStr"/>
    </row>
    <row r="382" ht="15" customHeight="1">
      <c r="A382" t="inlineStr">
        <is>
          <t>A 29921-2026</t>
        </is>
      </c>
      <c r="B382" t="inlineStr">
        <is>
          <t>avverkningsanmälan</t>
        </is>
      </c>
      <c r="C382" t="inlineStr">
        <is>
          <t>Föryngringsavverkning</t>
        </is>
      </c>
      <c r="D382" s="1" t="n">
        <v>46205</v>
      </c>
      <c r="E382" s="1" t="n">
        <v>46223</v>
      </c>
      <c r="F382" t="inlineStr">
        <is>
          <t>NORRBOTTENS LÄN</t>
        </is>
      </c>
      <c r="G382" t="inlineStr">
        <is>
          <t>ARVIDSJAUR</t>
        </is>
      </c>
      <c r="H382" t="inlineStr">
        <is>
          <t>Sveaskog</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29931-2026</t>
        </is>
      </c>
      <c r="B383" t="inlineStr">
        <is>
          <t>avverkningsanmälan</t>
        </is>
      </c>
      <c r="C383" t="inlineStr">
        <is>
          <t>Föryngringsavverkning</t>
        </is>
      </c>
      <c r="D383" s="1" t="n">
        <v>46205</v>
      </c>
      <c r="E383" s="1" t="n">
        <v>46223</v>
      </c>
      <c r="F383" t="inlineStr">
        <is>
          <t>NORRBOTTENS LÄN</t>
        </is>
      </c>
      <c r="G383" t="inlineStr">
        <is>
          <t>ARVIDSJAUR</t>
        </is>
      </c>
      <c r="H383" t="inlineStr">
        <is>
          <t>Sveaskog</t>
        </is>
      </c>
      <c r="I383" t="n">
        <v>4.7</v>
      </c>
      <c r="J383" t="n">
        <v>0</v>
      </c>
      <c r="K383" t="n">
        <v>0</v>
      </c>
      <c r="L383" t="n">
        <v>0</v>
      </c>
      <c r="M383" t="n">
        <v>0</v>
      </c>
      <c r="N383" t="n">
        <v>0</v>
      </c>
      <c r="O383" t="n">
        <v>0</v>
      </c>
      <c r="P383" t="n">
        <v>0</v>
      </c>
      <c r="Q383" t="n">
        <v>0</v>
      </c>
      <c r="R383" t="n">
        <v>0</v>
      </c>
      <c r="S383" t="n">
        <v>0</v>
      </c>
      <c r="T383" t="n">
        <v>0</v>
      </c>
      <c r="U383" s="2" t="inlineStr"/>
    </row>
    <row r="384" ht="15" customHeight="1">
      <c r="A384" t="inlineStr">
        <is>
          <t>A 30104-2026</t>
        </is>
      </c>
      <c r="B384" t="inlineStr">
        <is>
          <t>avverkningsanmälan</t>
        </is>
      </c>
      <c r="C384" t="inlineStr">
        <is>
          <t>Föryngringsavverkning</t>
        </is>
      </c>
      <c r="D384" s="1" t="n">
        <v>46206</v>
      </c>
      <c r="E384" s="1" t="n">
        <v>46223</v>
      </c>
      <c r="F384" t="inlineStr">
        <is>
          <t>NORRBOTTENS LÄN</t>
        </is>
      </c>
      <c r="G384" t="inlineStr">
        <is>
          <t>ARVIDSJAUR</t>
        </is>
      </c>
      <c r="H384" t="inlineStr">
        <is>
          <t>Sveaskog</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30100-2026</t>
        </is>
      </c>
      <c r="B385" t="inlineStr">
        <is>
          <t>avverkningsanmälan</t>
        </is>
      </c>
      <c r="C385" t="inlineStr">
        <is>
          <t>Föryngringsavverkning</t>
        </is>
      </c>
      <c r="D385" s="1" t="n">
        <v>46206</v>
      </c>
      <c r="E385" s="1" t="n">
        <v>46223</v>
      </c>
      <c r="F385" t="inlineStr">
        <is>
          <t>NORRBOTTENS LÄN</t>
        </is>
      </c>
      <c r="G385" t="inlineStr">
        <is>
          <t>ARVIDSJAUR</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30110-2026</t>
        </is>
      </c>
      <c r="B386" t="inlineStr">
        <is>
          <t>avverkningsanmälan</t>
        </is>
      </c>
      <c r="C386" t="inlineStr">
        <is>
          <t>Föryngringsavverkning</t>
        </is>
      </c>
      <c r="D386" s="1" t="n">
        <v>46206</v>
      </c>
      <c r="E386" s="1" t="n">
        <v>46223</v>
      </c>
      <c r="F386" t="inlineStr">
        <is>
          <t>NORRBOTTENS LÄN</t>
        </is>
      </c>
      <c r="G386" t="inlineStr">
        <is>
          <t>ARVIDSJAUR</t>
        </is>
      </c>
      <c r="H386" t="inlineStr">
        <is>
          <t>Sveaskog</t>
        </is>
      </c>
      <c r="I386" t="n">
        <v>20.4</v>
      </c>
      <c r="J386" t="n">
        <v>0</v>
      </c>
      <c r="K386" t="n">
        <v>0</v>
      </c>
      <c r="L386" t="n">
        <v>0</v>
      </c>
      <c r="M386" t="n">
        <v>0</v>
      </c>
      <c r="N386" t="n">
        <v>0</v>
      </c>
      <c r="O386" t="n">
        <v>0</v>
      </c>
      <c r="P386" t="n">
        <v>0</v>
      </c>
      <c r="Q386" t="n">
        <v>0</v>
      </c>
      <c r="R386" t="n">
        <v>0</v>
      </c>
      <c r="S386" t="n">
        <v>0</v>
      </c>
      <c r="T386" t="n">
        <v>0</v>
      </c>
      <c r="U386" s="2" t="inlineStr"/>
    </row>
    <row r="387" ht="15" customHeight="1">
      <c r="A387" t="inlineStr">
        <is>
          <t>A 36443-2023</t>
        </is>
      </c>
      <c r="B387" t="inlineStr">
        <is>
          <t>avverkningsanmälan</t>
        </is>
      </c>
      <c r="C387" t="inlineStr">
        <is>
          <t>Föryngringsavverkning</t>
        </is>
      </c>
      <c r="D387" s="1" t="n">
        <v>45152</v>
      </c>
      <c r="E387" s="1" t="n">
        <v>46223</v>
      </c>
      <c r="F387" t="inlineStr">
        <is>
          <t>NORRBOTTENS LÄN</t>
        </is>
      </c>
      <c r="G387" t="inlineStr">
        <is>
          <t>ARVIDSJAUR</t>
        </is>
      </c>
      <c r="H387" t="inlineStr">
        <is>
          <t>Sveaskog</t>
        </is>
      </c>
      <c r="I387" t="n">
        <v>5</v>
      </c>
      <c r="J387" t="n">
        <v>0</v>
      </c>
      <c r="K387" t="n">
        <v>0</v>
      </c>
      <c r="L387" t="n">
        <v>0</v>
      </c>
      <c r="M387" t="n">
        <v>0</v>
      </c>
      <c r="N387" t="n">
        <v>0</v>
      </c>
      <c r="O387" t="n">
        <v>0</v>
      </c>
      <c r="P387" t="n">
        <v>0</v>
      </c>
      <c r="Q387" t="n">
        <v>0</v>
      </c>
      <c r="R387" t="n">
        <v>0</v>
      </c>
      <c r="S387" t="n">
        <v>0</v>
      </c>
      <c r="T387" t="n">
        <v>0</v>
      </c>
      <c r="U387" s="2" t="inlineStr"/>
    </row>
    <row r="388" ht="15" customHeight="1">
      <c r="A388" t="inlineStr">
        <is>
          <t>A 30749-2023</t>
        </is>
      </c>
      <c r="B388" t="inlineStr">
        <is>
          <t>avverkningsanmälan</t>
        </is>
      </c>
      <c r="C388" t="inlineStr">
        <is>
          <t>Föryngringsavverkning</t>
        </is>
      </c>
      <c r="D388" s="1" t="n">
        <v>45103</v>
      </c>
      <c r="E388" s="1" t="n">
        <v>46223</v>
      </c>
      <c r="F388" t="inlineStr">
        <is>
          <t>NORRBOTTENS LÄN</t>
        </is>
      </c>
      <c r="G388" t="inlineStr">
        <is>
          <t>ARVIDSJAUR</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10664-2023</t>
        </is>
      </c>
      <c r="B389" t="inlineStr">
        <is>
          <t>avverkningsanmälan</t>
        </is>
      </c>
      <c r="C389" t="inlineStr">
        <is>
          <t>Avverkning för annat ändamål</t>
        </is>
      </c>
      <c r="D389" s="1" t="n">
        <v>44988</v>
      </c>
      <c r="E389" s="1" t="n">
        <v>46223</v>
      </c>
      <c r="F389" t="inlineStr">
        <is>
          <t>NORRBOTTENS LÄN</t>
        </is>
      </c>
      <c r="G389" t="inlineStr">
        <is>
          <t>ARVIDSJAUR</t>
        </is>
      </c>
      <c r="H389" t="inlineStr">
        <is>
          <t>Sveaskog</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30789-2026</t>
        </is>
      </c>
      <c r="B390" t="inlineStr">
        <is>
          <t>avverkningsanmälan</t>
        </is>
      </c>
      <c r="C390" t="inlineStr">
        <is>
          <t>Föryngringsavverkning</t>
        </is>
      </c>
      <c r="D390" s="1" t="n">
        <v>46212</v>
      </c>
      <c r="E390" s="1" t="n">
        <v>46223</v>
      </c>
      <c r="F390" t="inlineStr">
        <is>
          <t>NORRBOTTENS LÄN</t>
        </is>
      </c>
      <c r="G390" t="inlineStr">
        <is>
          <t>ARVIDSJAUR</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30792-2026</t>
        </is>
      </c>
      <c r="B391" t="inlineStr">
        <is>
          <t>avverkningsanmälan</t>
        </is>
      </c>
      <c r="C391" t="inlineStr">
        <is>
          <t>Föryngringsavverkning</t>
        </is>
      </c>
      <c r="D391" s="1" t="n">
        <v>46212</v>
      </c>
      <c r="E391" s="1" t="n">
        <v>46223</v>
      </c>
      <c r="F391" t="inlineStr">
        <is>
          <t>NORRBOTTENS LÄN</t>
        </is>
      </c>
      <c r="G391" t="inlineStr">
        <is>
          <t>ARVIDSJAUR</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24377-2026</t>
        </is>
      </c>
      <c r="B392" t="inlineStr">
        <is>
          <t>avverkningsanmälan</t>
        </is>
      </c>
      <c r="C392" t="inlineStr">
        <is>
          <t>Föryngringsavverkning</t>
        </is>
      </c>
      <c r="D392" s="1" t="n">
        <v>46169</v>
      </c>
      <c r="E392" s="1" t="n">
        <v>46223</v>
      </c>
      <c r="F392" t="inlineStr">
        <is>
          <t>NORRBOTTENS LÄN</t>
        </is>
      </c>
      <c r="G392" t="inlineStr">
        <is>
          <t>ARVIDSJAUR</t>
        </is>
      </c>
      <c r="H392" t="inlineStr">
        <is>
          <t>Sveaskog</t>
        </is>
      </c>
      <c r="I392" t="n">
        <v>12.3</v>
      </c>
      <c r="J392" t="n">
        <v>0</v>
      </c>
      <c r="K392" t="n">
        <v>0</v>
      </c>
      <c r="L392" t="n">
        <v>0</v>
      </c>
      <c r="M392" t="n">
        <v>0</v>
      </c>
      <c r="N392" t="n">
        <v>0</v>
      </c>
      <c r="O392" t="n">
        <v>0</v>
      </c>
      <c r="P392" t="n">
        <v>0</v>
      </c>
      <c r="Q392" t="n">
        <v>0</v>
      </c>
      <c r="R392" t="n">
        <v>0</v>
      </c>
      <c r="S392" t="n">
        <v>0</v>
      </c>
      <c r="T392" t="n">
        <v>0</v>
      </c>
      <c r="U392" s="2" t="inlineStr"/>
    </row>
    <row r="393" ht="15" customHeight="1">
      <c r="A393" t="inlineStr">
        <is>
          <t>A 24815-2026</t>
        </is>
      </c>
      <c r="B393" t="inlineStr">
        <is>
          <t>avverkningsanmälan</t>
        </is>
      </c>
      <c r="C393" t="inlineStr">
        <is>
          <t>Föryngringsavverkning</t>
        </is>
      </c>
      <c r="D393" s="1" t="n">
        <v>46173</v>
      </c>
      <c r="E393" s="1" t="n">
        <v>46223</v>
      </c>
      <c r="F393" t="inlineStr">
        <is>
          <t>NORRBOTTENS LÄN</t>
        </is>
      </c>
      <c r="G393" t="inlineStr">
        <is>
          <t>ARVIDSJAUR</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24816-2026</t>
        </is>
      </c>
      <c r="B394" t="inlineStr">
        <is>
          <t>avverkningsanmälan</t>
        </is>
      </c>
      <c r="C394" t="inlineStr">
        <is>
          <t>Föryngringsavverkning</t>
        </is>
      </c>
      <c r="D394" s="1" t="n">
        <v>46173</v>
      </c>
      <c r="E394" s="1" t="n">
        <v>46223</v>
      </c>
      <c r="F394" t="inlineStr">
        <is>
          <t>NORRBOTTENS LÄN</t>
        </is>
      </c>
      <c r="G394" t="inlineStr">
        <is>
          <t>ARVIDSJAUR</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23736-2024</t>
        </is>
      </c>
      <c r="B395" t="inlineStr">
        <is>
          <t>avverkningsanmälan</t>
        </is>
      </c>
      <c r="C395" t="inlineStr">
        <is>
          <t>Föryngringsavverkning</t>
        </is>
      </c>
      <c r="D395" s="1" t="n">
        <v>45454</v>
      </c>
      <c r="E395" s="1" t="n">
        <v>46223</v>
      </c>
      <c r="F395" t="inlineStr">
        <is>
          <t>NORRBOTTENS LÄN</t>
        </is>
      </c>
      <c r="G395" t="inlineStr">
        <is>
          <t>ARVIDSJAUR</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48608-2024</t>
        </is>
      </c>
      <c r="B396" t="inlineStr">
        <is>
          <t>avverkningsanmälan</t>
        </is>
      </c>
      <c r="C396" t="inlineStr">
        <is>
          <t>Föryngringsavverkning</t>
        </is>
      </c>
      <c r="D396" s="1" t="n">
        <v>45593</v>
      </c>
      <c r="E396" s="1" t="n">
        <v>46223</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s="2" t="inlineStr"/>
    </row>
    <row r="397" ht="15" customHeight="1">
      <c r="A397" t="inlineStr">
        <is>
          <t>A 24440-2026</t>
        </is>
      </c>
      <c r="B397" t="inlineStr">
        <is>
          <t>avverkningsanmälan</t>
        </is>
      </c>
      <c r="C397" t="inlineStr">
        <is>
          <t>Föryngringsavverkning</t>
        </is>
      </c>
      <c r="D397" s="1" t="n">
        <v>46170</v>
      </c>
      <c r="E397" s="1" t="n">
        <v>46223</v>
      </c>
      <c r="F397" t="inlineStr">
        <is>
          <t>NORRBOTTENS LÄN</t>
        </is>
      </c>
      <c r="G397" t="inlineStr">
        <is>
          <t>ARVIDSJAUR</t>
        </is>
      </c>
      <c r="I397" t="n">
        <v>6.1</v>
      </c>
      <c r="J397" t="n">
        <v>0</v>
      </c>
      <c r="K397" t="n">
        <v>0</v>
      </c>
      <c r="L397" t="n">
        <v>0</v>
      </c>
      <c r="M397" t="n">
        <v>0</v>
      </c>
      <c r="N397" t="n">
        <v>0</v>
      </c>
      <c r="O397" t="n">
        <v>0</v>
      </c>
      <c r="P397" t="n">
        <v>0</v>
      </c>
      <c r="Q397" t="n">
        <v>0</v>
      </c>
      <c r="R397" t="n">
        <v>0</v>
      </c>
      <c r="S397" t="n">
        <v>0</v>
      </c>
      <c r="T397" t="n">
        <v>0</v>
      </c>
      <c r="U397" s="2" t="inlineStr"/>
    </row>
    <row r="398" ht="15" customHeight="1">
      <c r="A398" t="inlineStr">
        <is>
          <t>A 48291-2023</t>
        </is>
      </c>
      <c r="B398" t="inlineStr">
        <is>
          <t>avverkningsanmälan</t>
        </is>
      </c>
      <c r="C398" t="inlineStr">
        <is>
          <t>Avverkning för annat ändamål</t>
        </is>
      </c>
      <c r="D398" s="1" t="n">
        <v>45201</v>
      </c>
      <c r="E398" s="1" t="n">
        <v>46223</v>
      </c>
      <c r="F398" t="inlineStr">
        <is>
          <t>NORRBOTTENS LÄN</t>
        </is>
      </c>
      <c r="G398" t="inlineStr">
        <is>
          <t>ARVIDSJAUR</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24439-2026</t>
        </is>
      </c>
      <c r="B399" t="inlineStr">
        <is>
          <t>avverkningsanmälan</t>
        </is>
      </c>
      <c r="C399" t="inlineStr">
        <is>
          <t>Föryngringsavverkning</t>
        </is>
      </c>
      <c r="D399" s="1" t="n">
        <v>46170</v>
      </c>
      <c r="E399" s="1" t="n">
        <v>46223</v>
      </c>
      <c r="F399" t="inlineStr">
        <is>
          <t>NORRBOTTENS LÄN</t>
        </is>
      </c>
      <c r="G399" t="inlineStr">
        <is>
          <t>ARVIDSJAUR</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1355-2024</t>
        </is>
      </c>
      <c r="B400" t="inlineStr">
        <is>
          <t>avverkningsanmälan</t>
        </is>
      </c>
      <c r="C400" t="inlineStr">
        <is>
          <t>Föryngringsavverkning</t>
        </is>
      </c>
      <c r="D400" s="1" t="n">
        <v>45303</v>
      </c>
      <c r="E400" s="1" t="n">
        <v>46223</v>
      </c>
      <c r="F400" t="inlineStr">
        <is>
          <t>NORRBOTTENS LÄN</t>
        </is>
      </c>
      <c r="G400" t="inlineStr">
        <is>
          <t>ARVIDSJAUR</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11998-2025</t>
        </is>
      </c>
      <c r="B401" t="inlineStr">
        <is>
          <t>avverkningsanmälan</t>
        </is>
      </c>
      <c r="C401" t="inlineStr">
        <is>
          <t>Föryngringsavverkning</t>
        </is>
      </c>
      <c r="D401" s="1" t="n">
        <v>45728</v>
      </c>
      <c r="E401" s="1" t="n">
        <v>46223</v>
      </c>
      <c r="F401" t="inlineStr">
        <is>
          <t>NORRBOTTENS LÄN</t>
        </is>
      </c>
      <c r="G401" t="inlineStr">
        <is>
          <t>ARVIDSJAUR</t>
        </is>
      </c>
      <c r="H401" t="inlineStr">
        <is>
          <t>Allmännings- och besparingsskogar</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50889-2024</t>
        </is>
      </c>
      <c r="B402" t="inlineStr">
        <is>
          <t>avverkningsanmälan</t>
        </is>
      </c>
      <c r="C402" t="inlineStr">
        <is>
          <t>Föryngringsavverkning</t>
        </is>
      </c>
      <c r="D402" s="1" t="n">
        <v>45602</v>
      </c>
      <c r="E402" s="1" t="n">
        <v>46223</v>
      </c>
      <c r="F402" t="inlineStr">
        <is>
          <t>NORRBOTTENS LÄN</t>
        </is>
      </c>
      <c r="G402" t="inlineStr">
        <is>
          <t>ARVIDSJAUR</t>
        </is>
      </c>
      <c r="H402" t="inlineStr">
        <is>
          <t>Sveaskog</t>
        </is>
      </c>
      <c r="I402" t="n">
        <v>9.199999999999999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29247-2026</t>
        </is>
      </c>
      <c r="B403" t="inlineStr">
        <is>
          <t>avverkningsanmälan</t>
        </is>
      </c>
      <c r="C403" t="inlineStr">
        <is>
          <t>Avverkning för annat ändamål</t>
        </is>
      </c>
      <c r="D403" s="1" t="n">
        <v>46197</v>
      </c>
      <c r="E403" s="1" t="n">
        <v>46223</v>
      </c>
      <c r="F403" t="inlineStr">
        <is>
          <t>NORRBOTTENS LÄN</t>
        </is>
      </c>
      <c r="G403" t="inlineStr">
        <is>
          <t>ARVIDSJAUR</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56980-2024</t>
        </is>
      </c>
      <c r="B404" t="inlineStr">
        <is>
          <t>avverkningsanmälan</t>
        </is>
      </c>
      <c r="C404" t="inlineStr">
        <is>
          <t>Föryngringsavverkning</t>
        </is>
      </c>
      <c r="D404" s="1" t="n">
        <v>45628</v>
      </c>
      <c r="E404" s="1" t="n">
        <v>46223</v>
      </c>
      <c r="F404" t="inlineStr">
        <is>
          <t>NORRBOTTENS LÄN</t>
        </is>
      </c>
      <c r="G404" t="inlineStr">
        <is>
          <t>ARVIDSJAUR</t>
        </is>
      </c>
      <c r="H404" t="inlineStr">
        <is>
          <t>Övriga Aktiebolag</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A 9621-2024</t>
        </is>
      </c>
      <c r="B405" t="inlineStr">
        <is>
          <t>avverkningsanmälan</t>
        </is>
      </c>
      <c r="C405" t="inlineStr">
        <is>
          <t>Avverkning för annat ändamål</t>
        </is>
      </c>
      <c r="D405" s="1" t="n">
        <v>45361</v>
      </c>
      <c r="E405" s="1" t="n">
        <v>46223</v>
      </c>
      <c r="F405" t="inlineStr">
        <is>
          <t>NORRBOTTENS LÄN</t>
        </is>
      </c>
      <c r="G405" t="inlineStr">
        <is>
          <t>ARVIDSJAUR</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25735-2026</t>
        </is>
      </c>
      <c r="B406" t="inlineStr">
        <is>
          <t>avverkningsanmälan</t>
        </is>
      </c>
      <c r="C406" t="inlineStr">
        <is>
          <t>Föryngringsavverkning</t>
        </is>
      </c>
      <c r="D406" s="1" t="n">
        <v>46178</v>
      </c>
      <c r="E406" s="1" t="n">
        <v>46223</v>
      </c>
      <c r="F406" t="inlineStr">
        <is>
          <t>NORRBOTTENS LÄN</t>
        </is>
      </c>
      <c r="G406" t="inlineStr">
        <is>
          <t>ARVIDSJAUR</t>
        </is>
      </c>
      <c r="H406" t="inlineStr">
        <is>
          <t>Sveaskog</t>
        </is>
      </c>
      <c r="I406" t="n">
        <v>16.5</v>
      </c>
      <c r="J406" t="n">
        <v>0</v>
      </c>
      <c r="K406" t="n">
        <v>0</v>
      </c>
      <c r="L406" t="n">
        <v>0</v>
      </c>
      <c r="M406" t="n">
        <v>0</v>
      </c>
      <c r="N406" t="n">
        <v>0</v>
      </c>
      <c r="O406" t="n">
        <v>0</v>
      </c>
      <c r="P406" t="n">
        <v>0</v>
      </c>
      <c r="Q406" t="n">
        <v>0</v>
      </c>
      <c r="R406" t="n">
        <v>0</v>
      </c>
      <c r="S406" t="n">
        <v>0</v>
      </c>
      <c r="T406" t="n">
        <v>0</v>
      </c>
      <c r="U406" s="2" t="inlineStr"/>
    </row>
    <row r="407" ht="15" customHeight="1">
      <c r="A407" t="inlineStr">
        <is>
          <t>A 41235-2022</t>
        </is>
      </c>
      <c r="B407" t="inlineStr">
        <is>
          <t>avverkningsanmälan</t>
        </is>
      </c>
      <c r="C407" t="inlineStr">
        <is>
          <t>Föryngringsavverkning</t>
        </is>
      </c>
      <c r="D407" s="1" t="n">
        <v>44825</v>
      </c>
      <c r="E407" s="1" t="n">
        <v>46223</v>
      </c>
      <c r="F407" t="inlineStr">
        <is>
          <t>NORRBOTTENS LÄN</t>
        </is>
      </c>
      <c r="G407" t="inlineStr">
        <is>
          <t>ARVIDSJAUR</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42695-2023</t>
        </is>
      </c>
      <c r="B408" t="inlineStr">
        <is>
          <t>avverkningsanmälan</t>
        </is>
      </c>
      <c r="C408" t="inlineStr">
        <is>
          <t>Föryngringsavverkning</t>
        </is>
      </c>
      <c r="D408" s="1" t="n">
        <v>45176</v>
      </c>
      <c r="E408" s="1" t="n">
        <v>46223</v>
      </c>
      <c r="F408" t="inlineStr">
        <is>
          <t>NORRBOTTENS LÄN</t>
        </is>
      </c>
      <c r="G408" t="inlineStr">
        <is>
          <t>ARVIDSJAUR</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26835-2024</t>
        </is>
      </c>
      <c r="B409" t="inlineStr">
        <is>
          <t>avverkningsanmälan</t>
        </is>
      </c>
      <c r="C409" t="inlineStr">
        <is>
          <t>Föryngringsavverkning</t>
        </is>
      </c>
      <c r="D409" s="1" t="n">
        <v>45470</v>
      </c>
      <c r="E409" s="1" t="n">
        <v>46223</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2908-2024</t>
        </is>
      </c>
      <c r="B410" t="inlineStr">
        <is>
          <t>avverkningsanmälan</t>
        </is>
      </c>
      <c r="C410" t="inlineStr">
        <is>
          <t>Föryngringsavverkning</t>
        </is>
      </c>
      <c r="D410" s="1" t="n">
        <v>45315</v>
      </c>
      <c r="E410" s="1" t="n">
        <v>46223</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26841-2024</t>
        </is>
      </c>
      <c r="B411" t="inlineStr">
        <is>
          <t>avverkningsanmälan</t>
        </is>
      </c>
      <c r="C411" t="inlineStr">
        <is>
          <t>Föryngringsavverkning</t>
        </is>
      </c>
      <c r="D411" s="1" t="n">
        <v>45470</v>
      </c>
      <c r="E411" s="1" t="n">
        <v>46223</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33134-2023</t>
        </is>
      </c>
      <c r="B412" t="inlineStr">
        <is>
          <t>avverkningsanmälan</t>
        </is>
      </c>
      <c r="C412" t="inlineStr">
        <is>
          <t>Föryngringsavverkning</t>
        </is>
      </c>
      <c r="D412" s="1" t="n">
        <v>45114</v>
      </c>
      <c r="E412" s="1" t="n">
        <v>46223</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s="2" t="inlineStr"/>
    </row>
    <row r="413" ht="15" customHeight="1">
      <c r="A413" t="inlineStr">
        <is>
          <t>A 39845-2023</t>
        </is>
      </c>
      <c r="B413" t="inlineStr">
        <is>
          <t>avverkningsanmälan</t>
        </is>
      </c>
      <c r="C413" t="inlineStr">
        <is>
          <t>Föryngringsavverkning</t>
        </is>
      </c>
      <c r="D413" s="1" t="n">
        <v>45166</v>
      </c>
      <c r="E413" s="1" t="n">
        <v>46223</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11539-2025</t>
        </is>
      </c>
      <c r="B414" t="inlineStr">
        <is>
          <t>avverkningsanmälan</t>
        </is>
      </c>
      <c r="C414" t="inlineStr">
        <is>
          <t>Föryngringsavverkning</t>
        </is>
      </c>
      <c r="D414" s="1" t="n">
        <v>45726</v>
      </c>
      <c r="E414" s="1" t="n">
        <v>46223</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40937-2023</t>
        </is>
      </c>
      <c r="B415" t="inlineStr">
        <is>
          <t>avverkningsanmälan</t>
        </is>
      </c>
      <c r="C415" t="inlineStr">
        <is>
          <t>Föryngringsavverkning</t>
        </is>
      </c>
      <c r="D415" s="1" t="n">
        <v>45173</v>
      </c>
      <c r="E415" s="1" t="n">
        <v>46223</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11620-2025</t>
        </is>
      </c>
      <c r="B416" t="inlineStr">
        <is>
          <t>avverkningsanmälan</t>
        </is>
      </c>
      <c r="C416" t="inlineStr">
        <is>
          <t>Föryngringsavverkning</t>
        </is>
      </c>
      <c r="D416" s="1" t="n">
        <v>45726</v>
      </c>
      <c r="E416" s="1" t="n">
        <v>46223</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s="2" t="inlineStr"/>
    </row>
    <row r="417" ht="15" customHeight="1">
      <c r="A417" t="inlineStr">
        <is>
          <t>A 36400-2022</t>
        </is>
      </c>
      <c r="B417" t="inlineStr">
        <is>
          <t>avverkningsanmälan</t>
        </is>
      </c>
      <c r="C417" t="inlineStr">
        <is>
          <t>Föryngringsavverkning</t>
        </is>
      </c>
      <c r="D417" s="1" t="n">
        <v>44804</v>
      </c>
      <c r="E417" s="1" t="n">
        <v>46223</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23592-2024</t>
        </is>
      </c>
      <c r="B418" t="inlineStr">
        <is>
          <t>avverkningsanmälan</t>
        </is>
      </c>
      <c r="C418" t="inlineStr">
        <is>
          <t>Föryngringsavverkning</t>
        </is>
      </c>
      <c r="D418" s="1" t="n">
        <v>45454</v>
      </c>
      <c r="E418" s="1" t="n">
        <v>46223</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24506-2025</t>
        </is>
      </c>
      <c r="B419" t="inlineStr">
        <is>
          <t>avverkningsanmälan</t>
        </is>
      </c>
      <c r="C419" t="inlineStr">
        <is>
          <t>Föryngringsavverkning</t>
        </is>
      </c>
      <c r="D419" s="1" t="n">
        <v>45798</v>
      </c>
      <c r="E419" s="1" t="n">
        <v>46223</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s="2" t="inlineStr"/>
    </row>
    <row r="420" ht="15" customHeight="1">
      <c r="A420" t="inlineStr">
        <is>
          <t>A 2773-2025</t>
        </is>
      </c>
      <c r="B420" t="inlineStr">
        <is>
          <t>avverkningsanmälan</t>
        </is>
      </c>
      <c r="C420" t="inlineStr">
        <is>
          <t>Föryngringsavverkning</t>
        </is>
      </c>
      <c r="D420" s="1" t="n">
        <v>45677</v>
      </c>
      <c r="E420" s="1" t="n">
        <v>46223</v>
      </c>
      <c r="F420" t="inlineStr">
        <is>
          <t>NORRBOTTENS LÄN</t>
        </is>
      </c>
      <c r="G420" t="inlineStr">
        <is>
          <t>ARVIDSJAUR</t>
        </is>
      </c>
      <c r="I420" t="n">
        <v>2.8</v>
      </c>
      <c r="J420" t="n">
        <v>0</v>
      </c>
      <c r="K420" t="n">
        <v>0</v>
      </c>
      <c r="L420" t="n">
        <v>0</v>
      </c>
      <c r="M420" t="n">
        <v>0</v>
      </c>
      <c r="N420" t="n">
        <v>0</v>
      </c>
      <c r="O420" t="n">
        <v>0</v>
      </c>
      <c r="P420" t="n">
        <v>0</v>
      </c>
      <c r="Q420" t="n">
        <v>0</v>
      </c>
      <c r="R420" t="n">
        <v>0</v>
      </c>
      <c r="S420" t="n">
        <v>0</v>
      </c>
      <c r="T420" t="n">
        <v>0</v>
      </c>
      <c r="U420" s="2" t="inlineStr"/>
    </row>
    <row r="421" ht="15" customHeight="1">
      <c r="A421" t="inlineStr">
        <is>
          <t>A 25395-2022</t>
        </is>
      </c>
      <c r="B421" t="inlineStr">
        <is>
          <t>avverkningsanmälan</t>
        </is>
      </c>
      <c r="C421" t="inlineStr">
        <is>
          <t>Föryngringsavverkning</t>
        </is>
      </c>
      <c r="D421" s="1" t="n">
        <v>44732</v>
      </c>
      <c r="E421" s="1" t="n">
        <v>46223</v>
      </c>
      <c r="F421" t="inlineStr">
        <is>
          <t>NORRBOTTENS LÄN</t>
        </is>
      </c>
      <c r="G421" t="inlineStr">
        <is>
          <t>ARVIDSJAUR</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S 1157-2024</t>
        </is>
      </c>
      <c r="B422" t="inlineStr">
        <is>
          <t>samrådsanmälan</t>
        </is>
      </c>
      <c r="C422" t="inlineStr">
        <is>
          <t>Skogsgödsling</t>
        </is>
      </c>
      <c r="D422" s="1" t="n">
        <v>45394</v>
      </c>
      <c r="E422" s="1" t="n">
        <v>46223</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s="2" t="inlineStr"/>
    </row>
    <row r="423" ht="15" customHeight="1">
      <c r="A423" t="inlineStr">
        <is>
          <t>S 1300-2024</t>
        </is>
      </c>
      <c r="B423" t="inlineStr">
        <is>
          <t>samrådsanmälan</t>
        </is>
      </c>
      <c r="C423" t="inlineStr">
        <is>
          <t>Skogsgödsling</t>
        </is>
      </c>
      <c r="D423" s="1" t="n">
        <v>45404</v>
      </c>
      <c r="E423" s="1" t="n">
        <v>46223</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s="2" t="inlineStr"/>
    </row>
    <row r="424" ht="15" customHeight="1">
      <c r="A424" t="inlineStr">
        <is>
          <t>S 1299-2024</t>
        </is>
      </c>
      <c r="B424" t="inlineStr">
        <is>
          <t>samrådsanmälan</t>
        </is>
      </c>
      <c r="C424" t="inlineStr">
        <is>
          <t>Skogsgödsling</t>
        </is>
      </c>
      <c r="D424" s="1" t="n">
        <v>45404</v>
      </c>
      <c r="E424" s="1" t="n">
        <v>46223</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s="2" t="inlineStr"/>
    </row>
    <row r="425" ht="15" customHeight="1">
      <c r="A425" t="inlineStr">
        <is>
          <t>S 2024-2024</t>
        </is>
      </c>
      <c r="B425" t="inlineStr">
        <is>
          <t>samrådsanmälan</t>
        </is>
      </c>
      <c r="C425" t="inlineStr">
        <is>
          <t>Skogsgödsling</t>
        </is>
      </c>
      <c r="D425" s="1" t="n">
        <v>45448</v>
      </c>
      <c r="E425" s="1" t="n">
        <v>46223</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s="2" t="inlineStr"/>
    </row>
    <row r="426" ht="15" customHeight="1">
      <c r="A426" t="inlineStr">
        <is>
          <t>S 2025-2024</t>
        </is>
      </c>
      <c r="B426" t="inlineStr">
        <is>
          <t>samrådsanmälan</t>
        </is>
      </c>
      <c r="C426" t="inlineStr">
        <is>
          <t>Skogsgödsling</t>
        </is>
      </c>
      <c r="D426" s="1" t="n">
        <v>45448</v>
      </c>
      <c r="E426" s="1" t="n">
        <v>46223</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S 1397-2024</t>
        </is>
      </c>
      <c r="B427" t="inlineStr">
        <is>
          <t>samrådsanmälan</t>
        </is>
      </c>
      <c r="C427" t="inlineStr">
        <is>
          <t>Skogsgödsling</t>
        </is>
      </c>
      <c r="D427" s="1" t="n">
        <v>45412</v>
      </c>
      <c r="E427" s="1" t="n">
        <v>46223</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s="2" t="inlineStr"/>
    </row>
    <row r="428" ht="15" customHeight="1">
      <c r="A428" t="inlineStr">
        <is>
          <t>S 1684-2024</t>
        </is>
      </c>
      <c r="B428" t="inlineStr">
        <is>
          <t>samrådsanmälan</t>
        </is>
      </c>
      <c r="C428" t="inlineStr">
        <is>
          <t>Skogsgödsling</t>
        </is>
      </c>
      <c r="D428" s="1" t="n">
        <v>45433</v>
      </c>
      <c r="E428" s="1" t="n">
        <v>46223</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s="2" t="inlineStr"/>
    </row>
    <row r="429" ht="15" customHeight="1">
      <c r="A429" t="inlineStr">
        <is>
          <t>S 1073-2023</t>
        </is>
      </c>
      <c r="B429" t="inlineStr">
        <is>
          <t>samrådsanmälan</t>
        </is>
      </c>
      <c r="C429" t="inlineStr">
        <is>
          <t>Skogsgödsling</t>
        </is>
      </c>
      <c r="D429" s="1" t="n">
        <v>45012</v>
      </c>
      <c r="E429" s="1" t="n">
        <v>46223</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s="2" t="inlineStr"/>
    </row>
    <row r="430" ht="15" customHeight="1">
      <c r="A430" t="inlineStr">
        <is>
          <t>S 3604-2023</t>
        </is>
      </c>
      <c r="B430" t="inlineStr">
        <is>
          <t>samrådsanmälan</t>
        </is>
      </c>
      <c r="C430" t="inlineStr">
        <is>
          <t>Annan skogsbruksåtgärd</t>
        </is>
      </c>
      <c r="D430" s="1" t="n">
        <v>45219</v>
      </c>
      <c r="E430" s="1" t="n">
        <v>46223</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S 1297-2024</t>
        </is>
      </c>
      <c r="B431" t="inlineStr">
        <is>
          <t>samrådsanmälan</t>
        </is>
      </c>
      <c r="C431" t="inlineStr">
        <is>
          <t>Skogsgödsling</t>
        </is>
      </c>
      <c r="D431" s="1" t="n">
        <v>45404</v>
      </c>
      <c r="E431" s="1" t="n">
        <v>46223</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s="2" t="inlineStr"/>
    </row>
    <row r="432" ht="15" customHeight="1">
      <c r="A432" t="inlineStr">
        <is>
          <t>S 1355-2024</t>
        </is>
      </c>
      <c r="B432" t="inlineStr">
        <is>
          <t>samrådsanmälan</t>
        </is>
      </c>
      <c r="C432" t="inlineStr">
        <is>
          <t>Skogsgödsling</t>
        </is>
      </c>
      <c r="D432" s="1" t="n">
        <v>45408</v>
      </c>
      <c r="E432" s="1" t="n">
        <v>46223</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s="2" t="inlineStr"/>
    </row>
    <row r="433" ht="15" customHeight="1">
      <c r="A433" t="inlineStr">
        <is>
          <t>S 2013-2024</t>
        </is>
      </c>
      <c r="B433" t="inlineStr">
        <is>
          <t>samrådsanmälan</t>
        </is>
      </c>
      <c r="C433" t="inlineStr">
        <is>
          <t>Skogsgödsling</t>
        </is>
      </c>
      <c r="D433" s="1" t="n">
        <v>45447</v>
      </c>
      <c r="E433" s="1" t="n">
        <v>46223</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s="2" t="inlineStr"/>
    </row>
    <row r="434" ht="15" customHeight="1">
      <c r="A434" t="inlineStr">
        <is>
          <t>S 2026-2024</t>
        </is>
      </c>
      <c r="B434" t="inlineStr">
        <is>
          <t>samrådsanmälan</t>
        </is>
      </c>
      <c r="C434" t="inlineStr">
        <is>
          <t>Skogsgödsling</t>
        </is>
      </c>
      <c r="D434" s="1" t="n">
        <v>45448</v>
      </c>
      <c r="E434" s="1" t="n">
        <v>46223</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s="2" t="inlineStr"/>
    </row>
    <row r="435" ht="15" customHeight="1">
      <c r="A435" t="inlineStr">
        <is>
          <t>S 1087-2023</t>
        </is>
      </c>
      <c r="B435" t="inlineStr">
        <is>
          <t>samrådsanmälan</t>
        </is>
      </c>
      <c r="C435" t="inlineStr">
        <is>
          <t>Skogsgödsling</t>
        </is>
      </c>
      <c r="D435" s="1" t="n">
        <v>45013</v>
      </c>
      <c r="E435" s="1" t="n">
        <v>46223</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s="2" t="inlineStr"/>
    </row>
    <row r="436" ht="15" customHeight="1">
      <c r="A436" t="inlineStr">
        <is>
          <t>S 1398-2024</t>
        </is>
      </c>
      <c r="B436" t="inlineStr">
        <is>
          <t>samrådsanmälan</t>
        </is>
      </c>
      <c r="C436" t="inlineStr">
        <is>
          <t>Skogsgödsling</t>
        </is>
      </c>
      <c r="D436" s="1" t="n">
        <v>45412</v>
      </c>
      <c r="E436" s="1" t="n">
        <v>46223</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1449-2025</t>
        </is>
      </c>
      <c r="B437" t="inlineStr">
        <is>
          <t>samrådsanmälan</t>
        </is>
      </c>
      <c r="C437" t="inlineStr">
        <is>
          <t>Skogsgödsling</t>
        </is>
      </c>
      <c r="D437" s="1" t="n">
        <v>45785</v>
      </c>
      <c r="E437" s="1" t="n">
        <v>46223</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s="2" t="inlineStr"/>
    </row>
    <row r="438" ht="15" customHeight="1">
      <c r="A438" t="inlineStr">
        <is>
          <t>S 1621-2025</t>
        </is>
      </c>
      <c r="B438" t="inlineStr">
        <is>
          <t>samrådsanmälan</t>
        </is>
      </c>
      <c r="C438" t="inlineStr">
        <is>
          <t>Skogsgödsling</t>
        </is>
      </c>
      <c r="D438" s="1" t="n">
        <v>45799</v>
      </c>
      <c r="E438" s="1" t="n">
        <v>46223</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s="2" t="inlineStr"/>
    </row>
    <row r="439" ht="15" customHeight="1">
      <c r="A439" t="inlineStr">
        <is>
          <t>S 1630-2025</t>
        </is>
      </c>
      <c r="B439" t="inlineStr">
        <is>
          <t>samrådsanmälan</t>
        </is>
      </c>
      <c r="C439" t="inlineStr">
        <is>
          <t>Skogsgödsling</t>
        </is>
      </c>
      <c r="D439" s="1" t="n">
        <v>45799</v>
      </c>
      <c r="E439" s="1" t="n">
        <v>46223</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s="2" t="inlineStr"/>
    </row>
    <row r="440" ht="15" customHeight="1">
      <c r="A440" t="inlineStr">
        <is>
          <t>S 1623-2025</t>
        </is>
      </c>
      <c r="B440" t="inlineStr">
        <is>
          <t>samrådsanmälan</t>
        </is>
      </c>
      <c r="C440" t="inlineStr">
        <is>
          <t>Skogsgödsling</t>
        </is>
      </c>
      <c r="D440" s="1" t="n">
        <v>45799</v>
      </c>
      <c r="E440" s="1" t="n">
        <v>46223</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s="2" t="inlineStr"/>
    </row>
    <row r="441" ht="15" customHeight="1">
      <c r="A441" t="inlineStr">
        <is>
          <t>S 1624-2025</t>
        </is>
      </c>
      <c r="B441" t="inlineStr">
        <is>
          <t>samrådsanmälan</t>
        </is>
      </c>
      <c r="C441" t="inlineStr">
        <is>
          <t>Skogsgödsling</t>
        </is>
      </c>
      <c r="D441" s="1" t="n">
        <v>45799</v>
      </c>
      <c r="E441" s="1" t="n">
        <v>46223</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s="2" t="inlineStr"/>
    </row>
    <row r="442" ht="15" customHeight="1">
      <c r="A442" t="inlineStr">
        <is>
          <t>S 2637-2025</t>
        </is>
      </c>
      <c r="B442" t="inlineStr">
        <is>
          <t>samrådsanmälan</t>
        </is>
      </c>
      <c r="C442" t="inlineStr">
        <is>
          <t>Annan skogsbruksåtgärd</t>
        </is>
      </c>
      <c r="D442" s="1" t="n">
        <v>45919</v>
      </c>
      <c r="E442" s="1" t="n">
        <v>46223</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S 1310-2026</t>
        </is>
      </c>
      <c r="B443" t="inlineStr">
        <is>
          <t>samrådsanmälan</t>
        </is>
      </c>
      <c r="C443" t="inlineStr">
        <is>
          <t>Skogsgödsling</t>
        </is>
      </c>
      <c r="D443" s="1" t="n">
        <v>46146</v>
      </c>
      <c r="E443" s="1" t="n">
        <v>46223</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s="2" t="inlineStr"/>
    </row>
    <row r="444" ht="15" customHeight="1">
      <c r="A444" t="inlineStr">
        <is>
          <t>S 1305-2026</t>
        </is>
      </c>
      <c r="B444" t="inlineStr">
        <is>
          <t>samrådsanmälan</t>
        </is>
      </c>
      <c r="C444" t="inlineStr">
        <is>
          <t>Skogsgödsling</t>
        </is>
      </c>
      <c r="D444" s="1" t="n">
        <v>46146</v>
      </c>
      <c r="E444" s="1" t="n">
        <v>46223</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s="2" t="inlineStr"/>
    </row>
    <row r="445" ht="15" customHeight="1">
      <c r="A445" t="inlineStr">
        <is>
          <t>S 1311-2026</t>
        </is>
      </c>
      <c r="B445" t="inlineStr">
        <is>
          <t>samrådsanmälan</t>
        </is>
      </c>
      <c r="C445" t="inlineStr">
        <is>
          <t>Skogsgödsling</t>
        </is>
      </c>
      <c r="D445" s="1" t="n">
        <v>46146</v>
      </c>
      <c r="E445" s="1" t="n">
        <v>46223</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s="2" t="inlineStr"/>
    </row>
    <row r="446" ht="15" customHeight="1">
      <c r="A446" t="inlineStr">
        <is>
          <t>S 1306-2026</t>
        </is>
      </c>
      <c r="B446" t="inlineStr">
        <is>
          <t>samrådsanmälan</t>
        </is>
      </c>
      <c r="C446" t="inlineStr">
        <is>
          <t>Skogsgödsling</t>
        </is>
      </c>
      <c r="D446" s="1" t="n">
        <v>46146</v>
      </c>
      <c r="E446" s="1" t="n">
        <v>46223</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S 1290-2026</t>
        </is>
      </c>
      <c r="B447" t="inlineStr">
        <is>
          <t>samrådsanmälan</t>
        </is>
      </c>
      <c r="C447" t="inlineStr">
        <is>
          <t>Skogsgödsling</t>
        </is>
      </c>
      <c r="D447" s="1" t="n">
        <v>46146</v>
      </c>
      <c r="E447" s="1" t="n">
        <v>46223</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s="2" t="inlineStr"/>
    </row>
    <row r="448" ht="15" customHeight="1">
      <c r="A448" t="inlineStr">
        <is>
          <t>S 1236-2026</t>
        </is>
      </c>
      <c r="B448" t="inlineStr">
        <is>
          <t>samrådsanmälan</t>
        </is>
      </c>
      <c r="C448" t="inlineStr">
        <is>
          <t>Skogsgödsling</t>
        </is>
      </c>
      <c r="D448" s="1" t="n">
        <v>46146</v>
      </c>
      <c r="E448" s="1" t="n">
        <v>46223</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s="2" t="inlineStr"/>
    </row>
    <row r="449" ht="15" customHeight="1">
      <c r="A449" t="inlineStr">
        <is>
          <t>S 1343-2026</t>
        </is>
      </c>
      <c r="B449" t="inlineStr">
        <is>
          <t>samrådsanmälan</t>
        </is>
      </c>
      <c r="C449" t="inlineStr">
        <is>
          <t>Skogsgödsling</t>
        </is>
      </c>
      <c r="D449" s="1" t="n">
        <v>46148</v>
      </c>
      <c r="E449" s="1" t="n">
        <v>46223</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s="2" t="inlineStr"/>
    </row>
    <row r="450" ht="15" customHeight="1">
      <c r="A450" t="inlineStr">
        <is>
          <t>S 1337-2026</t>
        </is>
      </c>
      <c r="B450" t="inlineStr">
        <is>
          <t>samrådsanmälan</t>
        </is>
      </c>
      <c r="C450" t="inlineStr">
        <is>
          <t>Skogsgödsling</t>
        </is>
      </c>
      <c r="D450" s="1" t="n">
        <v>46148</v>
      </c>
      <c r="E450" s="1" t="n">
        <v>46223</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s="2" t="inlineStr"/>
    </row>
    <row r="451" ht="15" customHeight="1">
      <c r="A451" t="inlineStr">
        <is>
          <t>S 1342-2026</t>
        </is>
      </c>
      <c r="B451" t="inlineStr">
        <is>
          <t>samrådsanmälan</t>
        </is>
      </c>
      <c r="C451" t="inlineStr">
        <is>
          <t>Skogsgödsling</t>
        </is>
      </c>
      <c r="D451" s="1" t="n">
        <v>46148</v>
      </c>
      <c r="E451" s="1" t="n">
        <v>46223</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s="2" t="inlineStr"/>
    </row>
    <row r="452" ht="15" customHeight="1">
      <c r="A452" t="inlineStr">
        <is>
          <t>S 1333-2026</t>
        </is>
      </c>
      <c r="B452" t="inlineStr">
        <is>
          <t>samrådsanmälan</t>
        </is>
      </c>
      <c r="C452" t="inlineStr">
        <is>
          <t>Skogsgödsling</t>
        </is>
      </c>
      <c r="D452" s="1" t="n">
        <v>46148</v>
      </c>
      <c r="E452" s="1" t="n">
        <v>46223</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s="2" t="inlineStr"/>
    </row>
    <row r="453" ht="15" customHeight="1">
      <c r="A453" t="inlineStr">
        <is>
          <t>S 1359-2026</t>
        </is>
      </c>
      <c r="B453" t="inlineStr">
        <is>
          <t>samrådsanmälan</t>
        </is>
      </c>
      <c r="C453" t="inlineStr">
        <is>
          <t>Skogsgödsling</t>
        </is>
      </c>
      <c r="D453" s="1" t="n">
        <v>46149</v>
      </c>
      <c r="E453" s="1" t="n">
        <v>46223</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s="2" t="inlineStr"/>
    </row>
    <row r="454" ht="15" customHeight="1">
      <c r="A454" t="inlineStr">
        <is>
          <t>S 1571-2026</t>
        </is>
      </c>
      <c r="B454" t="inlineStr">
        <is>
          <t>samrådsanmälan</t>
        </is>
      </c>
      <c r="C454" t="inlineStr">
        <is>
          <t>Skogsgödsling</t>
        </is>
      </c>
      <c r="D454" s="1" t="n">
        <v>46168</v>
      </c>
      <c r="E454" s="1" t="n">
        <v>46223</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s="2" t="inlineStr"/>
    </row>
    <row r="455" ht="15" customHeight="1">
      <c r="A455" t="inlineStr">
        <is>
          <t>S 1563-2026</t>
        </is>
      </c>
      <c r="B455" t="inlineStr">
        <is>
          <t>samrådsanmälan</t>
        </is>
      </c>
      <c r="C455" t="inlineStr">
        <is>
          <t>Skogsgödsling</t>
        </is>
      </c>
      <c r="D455" s="1" t="n">
        <v>46168</v>
      </c>
      <c r="E455" s="1" t="n">
        <v>46223</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s="2" t="inlineStr"/>
    </row>
    <row r="456" ht="15" customHeight="1">
      <c r="A456" t="inlineStr">
        <is>
          <t>S 1576-2026</t>
        </is>
      </c>
      <c r="B456" t="inlineStr">
        <is>
          <t>samrådsanmälan</t>
        </is>
      </c>
      <c r="C456" t="inlineStr">
        <is>
          <t>Skogsgödsling</t>
        </is>
      </c>
      <c r="D456" s="1" t="n">
        <v>46168</v>
      </c>
      <c r="E456" s="1" t="n">
        <v>46223</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s="2" t="inlineStr"/>
    </row>
    <row r="457" ht="15" customHeight="1">
      <c r="A457" t="inlineStr">
        <is>
          <t>S 1569-2026</t>
        </is>
      </c>
      <c r="B457" t="inlineStr">
        <is>
          <t>samrådsanmälan</t>
        </is>
      </c>
      <c r="C457" t="inlineStr">
        <is>
          <t>Skogsgödsling</t>
        </is>
      </c>
      <c r="D457" s="1" t="n">
        <v>46168</v>
      </c>
      <c r="E457" s="1" t="n">
        <v>46223</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s="2" t="inlineStr"/>
    </row>
    <row r="458" ht="15" customHeight="1">
      <c r="A458" t="inlineStr">
        <is>
          <t>S 1782-2026</t>
        </is>
      </c>
      <c r="B458" t="inlineStr">
        <is>
          <t>samrådsanmälan</t>
        </is>
      </c>
      <c r="C458" t="inlineStr">
        <is>
          <t>Skogsgödsling</t>
        </is>
      </c>
      <c r="D458" s="1" t="n">
        <v>46167</v>
      </c>
      <c r="E458" s="1" t="n">
        <v>46223</v>
      </c>
      <c r="F458" t="inlineStr">
        <is>
          <t>NORRBOTTENS LÄN</t>
        </is>
      </c>
      <c r="G458" t="inlineStr">
        <is>
          <t>ARVIDSJAUR</t>
        </is>
      </c>
      <c r="I458" t="n">
        <v>25.2</v>
      </c>
      <c r="J458" t="n">
        <v>0</v>
      </c>
      <c r="K458" t="n">
        <v>0</v>
      </c>
      <c r="L458" t="n">
        <v>0</v>
      </c>
      <c r="M458" t="n">
        <v>0</v>
      </c>
      <c r="N458" t="n">
        <v>0</v>
      </c>
      <c r="O458" t="n">
        <v>0</v>
      </c>
      <c r="P458" t="n">
        <v>0</v>
      </c>
      <c r="Q458" t="n">
        <v>0</v>
      </c>
      <c r="R458" t="n">
        <v>0</v>
      </c>
      <c r="S458" t="n">
        <v>0</v>
      </c>
      <c r="T458" t="n">
        <v>0</v>
      </c>
      <c r="U458" s="2" t="inlineStr"/>
    </row>
    <row r="459">
      <c r="A459" t="inlineStr">
        <is>
          <t>S 1632-2026</t>
        </is>
      </c>
      <c r="B459" t="inlineStr">
        <is>
          <t>samrådsanmälan</t>
        </is>
      </c>
      <c r="C459" t="inlineStr">
        <is>
          <t>Skogsgödsling</t>
        </is>
      </c>
      <c r="D459" s="1" t="n">
        <v>46175</v>
      </c>
      <c r="E459" s="1" t="n">
        <v>46223</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2026-07-20T01:44:38Z</dcterms:created>
  <dcterms:modified xmlns:dcterms="http://purl.org/dc/terms/" xmlns:xsi="http://www.w3.org/2001/XMLSchema-instance" xsi:type="dcterms:W3CDTF">2026-07-20T01:44:38Z</dcterms:modified>
</cp:coreProperties>
</file>