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45737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45737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45737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45737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45737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45737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45737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45737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45737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45737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45737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45737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45737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45737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45737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45737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45737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45737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45737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45737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45737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45737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45737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45737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45737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45737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45737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45737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45737</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HYPERLINK("https://klasma.github.io/Logging_2505/artfynd/A 11534-2025 artfynd.xlsx", "A 11534-2025")</f>
        <v/>
      </c>
      <c r="T30">
        <f>HYPERLINK("https://klasma.github.io/Logging_2505/kartor/A 11534-2025 karta.png", "A 11534-2025")</f>
        <v/>
      </c>
      <c r="V30">
        <f>HYPERLINK("https://klasma.github.io/Logging_2505/klagomål/A 11534-2025 FSC-klagomål.docx", "A 11534-2025")</f>
        <v/>
      </c>
      <c r="W30">
        <f>HYPERLINK("https://klasma.github.io/Logging_2505/klagomålsmail/A 11534-2025 FSC-klagomål mail.docx", "A 11534-2025")</f>
        <v/>
      </c>
      <c r="X30">
        <f>HYPERLINK("https://klasma.github.io/Logging_2505/tillsyn/A 11534-2025 tillsynsbegäran.docx", "A 11534-2025")</f>
        <v/>
      </c>
      <c r="Y30">
        <f>HYPERLINK("https://klasma.github.io/Logging_2505/tillsynsmail/A 11534-2025 tillsynsbegäran mail.docx", "A 11534-2025")</f>
        <v/>
      </c>
    </row>
    <row r="31" ht="15" customHeight="1">
      <c r="A31" t="inlineStr">
        <is>
          <t>A 31593-2020</t>
        </is>
      </c>
      <c r="B31" s="1" t="n">
        <v>44013</v>
      </c>
      <c r="C31" s="1" t="n">
        <v>45737</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45737</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45737</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45737</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45737</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HYPERLINK("https://klasma.github.io/Logging_2505/artfynd/A 11630-2025 artfynd.xlsx", "A 11630-2025")</f>
        <v/>
      </c>
      <c r="T35">
        <f>HYPERLINK("https://klasma.github.io/Logging_2505/kartor/A 11630-2025 karta.png", "A 11630-2025")</f>
        <v/>
      </c>
      <c r="V35">
        <f>HYPERLINK("https://klasma.github.io/Logging_2505/klagomål/A 11630-2025 FSC-klagomål.docx", "A 11630-2025")</f>
        <v/>
      </c>
      <c r="W35">
        <f>HYPERLINK("https://klasma.github.io/Logging_2505/klagomålsmail/A 11630-2025 FSC-klagomål mail.docx", "A 11630-2025")</f>
        <v/>
      </c>
      <c r="X35">
        <f>HYPERLINK("https://klasma.github.io/Logging_2505/tillsyn/A 11630-2025 tillsynsbegäran.docx", "A 11630-2025")</f>
        <v/>
      </c>
      <c r="Y35">
        <f>HYPERLINK("https://klasma.github.io/Logging_2505/tillsynsmail/A 11630-2025 tillsynsbegäran mail.docx", "A 11630-2025")</f>
        <v/>
      </c>
    </row>
    <row r="36" ht="15" customHeight="1">
      <c r="A36" t="inlineStr">
        <is>
          <t>A 33453-2022</t>
        </is>
      </c>
      <c r="B36" s="1" t="n">
        <v>44788</v>
      </c>
      <c r="C36" s="1" t="n">
        <v>45737</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45737</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45737</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45737</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45737</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45737</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HYPERLINK("https://klasma.github.io/Logging_2505/artfynd/A 11564-2025 artfynd.xlsx", "A 11564-2025")</f>
        <v/>
      </c>
      <c r="T41">
        <f>HYPERLINK("https://klasma.github.io/Logging_2505/kartor/A 11564-2025 karta.png", "A 11564-2025")</f>
        <v/>
      </c>
      <c r="V41">
        <f>HYPERLINK("https://klasma.github.io/Logging_2505/klagomål/A 11564-2025 FSC-klagomål.docx", "A 11564-2025")</f>
        <v/>
      </c>
      <c r="W41">
        <f>HYPERLINK("https://klasma.github.io/Logging_2505/klagomålsmail/A 11564-2025 FSC-klagomål mail.docx", "A 11564-2025")</f>
        <v/>
      </c>
      <c r="X41">
        <f>HYPERLINK("https://klasma.github.io/Logging_2505/tillsyn/A 11564-2025 tillsynsbegäran.docx", "A 11564-2025")</f>
        <v/>
      </c>
      <c r="Y41">
        <f>HYPERLINK("https://klasma.github.io/Logging_2505/tillsynsmail/A 11564-2025 tillsynsbegäran mail.docx", "A 11564-2025")</f>
        <v/>
      </c>
    </row>
    <row r="42" ht="15" customHeight="1">
      <c r="A42" t="inlineStr">
        <is>
          <t>A 43753-2019</t>
        </is>
      </c>
      <c r="B42" s="1" t="n">
        <v>43707</v>
      </c>
      <c r="C42" s="1" t="n">
        <v>45737</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45737</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45737</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45737</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45737</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45737</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45737</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45737</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HYPERLINK("https://klasma.github.io/Logging_2505/artfynd/A 11634-2025 artfynd.xlsx", "A 11634-2025")</f>
        <v/>
      </c>
      <c r="T49">
        <f>HYPERLINK("https://klasma.github.io/Logging_2505/kartor/A 11634-2025 karta.png", "A 11634-2025")</f>
        <v/>
      </c>
      <c r="V49">
        <f>HYPERLINK("https://klasma.github.io/Logging_2505/klagomål/A 11634-2025 FSC-klagomål.docx", "A 11634-2025")</f>
        <v/>
      </c>
      <c r="W49">
        <f>HYPERLINK("https://klasma.github.io/Logging_2505/klagomålsmail/A 11634-2025 FSC-klagomål mail.docx", "A 11634-2025")</f>
        <v/>
      </c>
      <c r="X49">
        <f>HYPERLINK("https://klasma.github.io/Logging_2505/tillsyn/A 11634-2025 tillsynsbegäran.docx", "A 11634-2025")</f>
        <v/>
      </c>
      <c r="Y49">
        <f>HYPERLINK("https://klasma.github.io/Logging_2505/tillsynsmail/A 11634-2025 tillsynsbegäran mail.docx", "A 11634-2025")</f>
        <v/>
      </c>
    </row>
    <row r="50" ht="15" customHeight="1">
      <c r="A50" t="inlineStr">
        <is>
          <t>A 18136-2019</t>
        </is>
      </c>
      <c r="B50" s="1" t="n">
        <v>43556</v>
      </c>
      <c r="C50" s="1" t="n">
        <v>45737</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45737</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45737</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45737</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45737</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45737</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45737</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45737</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45737</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45737</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45737</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45737</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45737</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45737</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45737</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45737</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45737</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45737</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45737</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45737</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45737</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45737</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45737</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45737</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45737</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45737</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45737</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45737</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45737</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45737</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45737</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45737</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45737</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45737</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45737</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45737</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45737</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45737</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45737</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45737</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45737</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45737</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45737</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45737</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45737</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45737</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45737</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45737</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45737</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45737</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45737</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45737</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45737</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45737</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45737</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45737</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45737</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45737</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45737</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45737</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45737</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45737</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45737</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45737</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45737</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45737</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45737</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45737</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45737</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45737</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45737</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45737</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45737</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45737</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45737</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45737</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45737</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45737</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45737</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45737</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45737</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45737</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45737</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45737</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45737</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45737</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45737</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45737</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45737</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45737</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45737</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45737</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45737</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45737</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45737</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45737</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45737</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45737</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45737</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45737</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45737</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45737</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45737</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45737</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45737</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45737</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45737</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45737</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45737</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45737</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45737</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45737</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45737</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45737</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45737</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45737</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45737</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45737</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45737</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45737</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45737</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45737</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45737</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45737</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45737</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45737</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45737</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45737</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45737</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45737</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45737</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45737</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45737</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45737</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45737</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45737</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45737</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45737</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45737</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45737</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45737</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45737</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45737</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45737</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45737</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45737</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45737</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45737</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45737</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45737</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45737</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45737</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45737</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45737</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45737</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45737</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45737</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45737</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45737</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45737</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45737</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45737</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45737</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45737</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45737</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45737</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45737</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45737</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45737</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45737</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45737</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45737</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45737</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45737</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45737</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45737</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45737</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45737</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45737</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45737</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45737</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45737</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45737</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45737</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45737</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45737</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45737</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45737</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45737</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45737</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45737</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45737</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45737</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45737</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45737</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45737</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45737</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45737</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45737</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45737</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45737</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45737</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45737</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45737</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45737</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45737</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45737</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45737</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45737</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45737</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45737</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45737</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45737</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45737</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45737</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45737</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45737</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45737</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45737</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45737</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45737</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45737</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45737</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45737</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45737</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45737</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45737</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45737</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45737</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45737</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45737</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45737</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45737</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45737</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45737</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45737</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45737</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45737</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45737</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45737</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45737</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45737</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45737</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45737</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45737</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45737</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45737</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45737</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45737</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45737</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45737</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45737</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45737</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45737</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45737</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45737</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45737</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45737</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45737</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45737</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45737</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45737</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45737</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45737</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45737</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45737</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45737</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45737</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45737</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45737</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45737</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45737</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45737</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45737</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45737</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45737</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45737</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45737</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45737</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45737</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45737</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45737</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45737</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45737</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45737</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45737</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45737</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45737</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45737</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45737</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45737</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45737</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45737</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45737</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45737</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45737</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45737</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45737</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45737</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45737</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45737</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45737</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45737</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45737</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45737</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45737</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45737</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45737</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45737</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45737</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45737</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45737</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45737</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45737</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45737</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45737</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45737</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45737</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45737</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45737</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45737</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45737</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45737</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45737</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45737</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45737</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45737</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45737</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45737</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45737</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45737</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45737</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45737</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45737</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45737</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45737</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45737</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45737</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45737</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45737</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45737</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45737</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45737</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45737</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45737</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45737</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45737</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45737</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45737</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45737</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45737</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45737</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45737</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45737</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45737</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45737</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45737</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45737</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45737</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45737</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45737</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45737</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45737</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45737</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45737</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45737</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45737</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45737</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45737</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45737</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45737</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45737</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45737</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45737</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45737</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45737</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45737</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45737</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45737</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45737</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45737</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45737</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45737</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45737</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45737</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45737</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45737</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45737</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45737</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45737</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45737</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45737</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45737</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45737</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45737</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45737</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45737</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45737</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45737</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45737</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45737</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45737</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45737</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45737</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45737</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45737</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45737</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45737</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45737</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45737</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45737</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45737</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45737</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45737</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45737</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45737</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45737</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45737</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45737</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45737</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45737</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45737</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45737</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45737</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45737</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45737</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45737</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45737</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45737</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45737</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45737</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45737</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45737</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45737</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45737</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45737</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45737</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45737</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45737</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45737</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45737</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45737</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45737</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45737</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45737</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45737</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45737</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45737</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45737</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45737</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45737</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45737</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45737</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45737</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45737</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45737</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45737</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45737</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45737</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45737</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45737</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45737</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45737</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45737</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45737</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45737</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45737</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45737</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45737</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45737</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45737</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45737</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45737</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45737</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45737</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45737</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45737</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45737</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45737</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45737</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45737</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45737</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45737</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45737</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45737</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45737</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45737</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45737</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45737</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45737</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45737</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45737</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45737</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45737</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45737</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45737</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45737</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45737</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45737</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45737</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45737</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45737</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45737</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45737</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45737</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45737</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45737</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45737</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45737</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45737</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45737</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45737</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45737</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45737</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45737</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45737</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45737</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45737</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45737</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45737</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45737</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45737</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45737</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45737</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45737</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45737</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45737</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45737</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45737</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45737</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45737</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45737</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45737</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45737</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45737</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45737</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45737</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45737</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45737</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45737</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45737</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45737</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45737</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45737</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45737</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45737</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45737</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45737</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45737</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45737</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45737</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45737</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45737</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45737</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45737</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45737</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45737</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45737</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45737</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45737</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45737</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45737</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45737</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45737</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45737</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45737</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45737</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45737</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45737</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45737</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45737</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45737</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45737</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45737</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45737</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45737</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45737</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45737</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45737</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45737</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45737</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45737</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45737</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45737</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45737</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45737</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45737</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45737</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45737</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45737</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45737</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45737</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45737</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45737</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45737</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45737</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45737</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45737</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45737</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45737</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45737</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45737</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45737</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45737</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45737</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45737</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45737</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45737</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45737</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45737</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45737</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45737</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45737</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45737</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45737</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45737</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45737</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45737</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45737</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45737</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45737</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45737</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45737</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45737</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45737</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45737</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45737</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45737</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45737</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45737</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45737</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45737</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45737</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45737</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45737</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45737</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45737</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45737</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45737</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10851-2025</t>
        </is>
      </c>
      <c r="B689" s="1" t="n">
        <v>45722</v>
      </c>
      <c r="C689" s="1" t="n">
        <v>45737</v>
      </c>
      <c r="D689" t="inlineStr">
        <is>
          <t>NORRBOTTENS LÄN</t>
        </is>
      </c>
      <c r="E689" t="inlineStr">
        <is>
          <t>ARVIDSJAUR</t>
        </is>
      </c>
      <c r="G689" t="n">
        <v>2</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45737</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45737</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45737</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45737</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11538-2025</t>
        </is>
      </c>
      <c r="B694" s="1" t="n">
        <v>45726</v>
      </c>
      <c r="C694" s="1" t="n">
        <v>45737</v>
      </c>
      <c r="D694" t="inlineStr">
        <is>
          <t>NORRBOTTENS LÄN</t>
        </is>
      </c>
      <c r="E694" t="inlineStr">
        <is>
          <t>ARVIDSJAUR</t>
        </is>
      </c>
      <c r="F694" t="inlineStr">
        <is>
          <t>Allmännings- och besparingsskogar</t>
        </is>
      </c>
      <c r="G694" t="n">
        <v>15.3</v>
      </c>
      <c r="H694" t="n">
        <v>0</v>
      </c>
      <c r="I694" t="n">
        <v>0</v>
      </c>
      <c r="J694" t="n">
        <v>0</v>
      </c>
      <c r="K694" t="n">
        <v>0</v>
      </c>
      <c r="L694" t="n">
        <v>0</v>
      </c>
      <c r="M694" t="n">
        <v>0</v>
      </c>
      <c r="N694" t="n">
        <v>0</v>
      </c>
      <c r="O694" t="n">
        <v>0</v>
      </c>
      <c r="P694" t="n">
        <v>0</v>
      </c>
      <c r="Q694" t="n">
        <v>0</v>
      </c>
      <c r="R694" s="2" t="inlineStr"/>
    </row>
    <row r="695" ht="15" customHeight="1">
      <c r="A695" t="inlineStr">
        <is>
          <t>A 11537-2025</t>
        </is>
      </c>
      <c r="B695" s="1" t="n">
        <v>45726</v>
      </c>
      <c r="C695" s="1" t="n">
        <v>45737</v>
      </c>
      <c r="D695" t="inlineStr">
        <is>
          <t>NORRBOTTENS LÄN</t>
        </is>
      </c>
      <c r="E695" t="inlineStr">
        <is>
          <t>ARVIDSJAUR</t>
        </is>
      </c>
      <c r="F695" t="inlineStr">
        <is>
          <t>Allmännings- och besparingsskogar</t>
        </is>
      </c>
      <c r="G695" t="n">
        <v>9.1</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45737</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11591-2025</t>
        </is>
      </c>
      <c r="B697" s="1" t="n">
        <v>45726</v>
      </c>
      <c r="C697" s="1" t="n">
        <v>45737</v>
      </c>
      <c r="D697" t="inlineStr">
        <is>
          <t>NORRBOTTENS LÄN</t>
        </is>
      </c>
      <c r="E697" t="inlineStr">
        <is>
          <t>ARVIDSJAUR</t>
        </is>
      </c>
      <c r="F697" t="inlineStr">
        <is>
          <t>Allmännings- och besparingsskogar</t>
        </is>
      </c>
      <c r="G697" t="n">
        <v>10.9</v>
      </c>
      <c r="H697" t="n">
        <v>0</v>
      </c>
      <c r="I697" t="n">
        <v>0</v>
      </c>
      <c r="J697" t="n">
        <v>0</v>
      </c>
      <c r="K697" t="n">
        <v>0</v>
      </c>
      <c r="L697" t="n">
        <v>0</v>
      </c>
      <c r="M697" t="n">
        <v>0</v>
      </c>
      <c r="N697" t="n">
        <v>0</v>
      </c>
      <c r="O697" t="n">
        <v>0</v>
      </c>
      <c r="P697" t="n">
        <v>0</v>
      </c>
      <c r="Q697" t="n">
        <v>0</v>
      </c>
      <c r="R697" s="2" t="inlineStr"/>
    </row>
    <row r="698" ht="15" customHeight="1">
      <c r="A698" t="inlineStr">
        <is>
          <t>A 11494-2025</t>
        </is>
      </c>
      <c r="B698" s="1" t="n">
        <v>45726</v>
      </c>
      <c r="C698" s="1" t="n">
        <v>45737</v>
      </c>
      <c r="D698" t="inlineStr">
        <is>
          <t>NORRBOTTENS LÄN</t>
        </is>
      </c>
      <c r="E698" t="inlineStr">
        <is>
          <t>ARVIDSJAUR</t>
        </is>
      </c>
      <c r="F698" t="inlineStr">
        <is>
          <t>Allmännings- och besparingsskogar</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45737</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45737</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45737</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11492-2025</t>
        </is>
      </c>
      <c r="B702" s="1" t="n">
        <v>45726</v>
      </c>
      <c r="C702" s="1" t="n">
        <v>45737</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11536-2025</t>
        </is>
      </c>
      <c r="B703" s="1" t="n">
        <v>45726</v>
      </c>
      <c r="C703" s="1" t="n">
        <v>45737</v>
      </c>
      <c r="D703" t="inlineStr">
        <is>
          <t>NORRBOTTENS LÄN</t>
        </is>
      </c>
      <c r="E703" t="inlineStr">
        <is>
          <t>ARVIDSJAUR</t>
        </is>
      </c>
      <c r="F703" t="inlineStr">
        <is>
          <t>Allmännings- och besparingsskogar</t>
        </is>
      </c>
      <c r="G703" t="n">
        <v>1.9</v>
      </c>
      <c r="H703" t="n">
        <v>0</v>
      </c>
      <c r="I703" t="n">
        <v>0</v>
      </c>
      <c r="J703" t="n">
        <v>0</v>
      </c>
      <c r="K703" t="n">
        <v>0</v>
      </c>
      <c r="L703" t="n">
        <v>0</v>
      </c>
      <c r="M703" t="n">
        <v>0</v>
      </c>
      <c r="N703" t="n">
        <v>0</v>
      </c>
      <c r="O703" t="n">
        <v>0</v>
      </c>
      <c r="P703" t="n">
        <v>0</v>
      </c>
      <c r="Q703" t="n">
        <v>0</v>
      </c>
      <c r="R703" s="2" t="inlineStr"/>
    </row>
    <row r="704" ht="15" customHeight="1">
      <c r="A704" t="inlineStr">
        <is>
          <t>A 11540-2025</t>
        </is>
      </c>
      <c r="B704" s="1" t="n">
        <v>45726</v>
      </c>
      <c r="C704" s="1" t="n">
        <v>45737</v>
      </c>
      <c r="D704" t="inlineStr">
        <is>
          <t>NORRBOTTENS LÄN</t>
        </is>
      </c>
      <c r="E704" t="inlineStr">
        <is>
          <t>ARVIDSJAUR</t>
        </is>
      </c>
      <c r="F704" t="inlineStr">
        <is>
          <t>Allmännings- och besparingsskogar</t>
        </is>
      </c>
      <c r="G704" t="n">
        <v>4.7</v>
      </c>
      <c r="H704" t="n">
        <v>0</v>
      </c>
      <c r="I704" t="n">
        <v>0</v>
      </c>
      <c r="J704" t="n">
        <v>0</v>
      </c>
      <c r="K704" t="n">
        <v>0</v>
      </c>
      <c r="L704" t="n">
        <v>0</v>
      </c>
      <c r="M704" t="n">
        <v>0</v>
      </c>
      <c r="N704" t="n">
        <v>0</v>
      </c>
      <c r="O704" t="n">
        <v>0</v>
      </c>
      <c r="P704" t="n">
        <v>0</v>
      </c>
      <c r="Q704" t="n">
        <v>0</v>
      </c>
      <c r="R704" s="2" t="inlineStr"/>
    </row>
    <row r="705" ht="15" customHeight="1">
      <c r="A705" t="inlineStr">
        <is>
          <t>A 11574-2025</t>
        </is>
      </c>
      <c r="B705" s="1" t="n">
        <v>45726</v>
      </c>
      <c r="C705" s="1" t="n">
        <v>45737</v>
      </c>
      <c r="D705" t="inlineStr">
        <is>
          <t>NORRBOTTENS LÄN</t>
        </is>
      </c>
      <c r="E705" t="inlineStr">
        <is>
          <t>ARVIDSJAUR</t>
        </is>
      </c>
      <c r="F705" t="inlineStr">
        <is>
          <t>Allmännings- och besparingsskogar</t>
        </is>
      </c>
      <c r="G705" t="n">
        <v>3.6</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45737</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45737</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45737</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11571-2025</t>
        </is>
      </c>
      <c r="B709" s="1" t="n">
        <v>45726</v>
      </c>
      <c r="C709" s="1" t="n">
        <v>45737</v>
      </c>
      <c r="D709" t="inlineStr">
        <is>
          <t>NORRBOTTENS LÄN</t>
        </is>
      </c>
      <c r="E709" t="inlineStr">
        <is>
          <t>ARVIDSJAUR</t>
        </is>
      </c>
      <c r="F709" t="inlineStr">
        <is>
          <t>Allmännings- och besparingsskogar</t>
        </is>
      </c>
      <c r="G709" t="n">
        <v>1.3</v>
      </c>
      <c r="H709" t="n">
        <v>0</v>
      </c>
      <c r="I709" t="n">
        <v>0</v>
      </c>
      <c r="J709" t="n">
        <v>0</v>
      </c>
      <c r="K709" t="n">
        <v>0</v>
      </c>
      <c r="L709" t="n">
        <v>0</v>
      </c>
      <c r="M709" t="n">
        <v>0</v>
      </c>
      <c r="N709" t="n">
        <v>0</v>
      </c>
      <c r="O709" t="n">
        <v>0</v>
      </c>
      <c r="P709" t="n">
        <v>0</v>
      </c>
      <c r="Q709" t="n">
        <v>0</v>
      </c>
      <c r="R709" s="2" t="inlineStr"/>
    </row>
    <row r="710" ht="15" customHeight="1">
      <c r="A710" t="inlineStr">
        <is>
          <t>A 11615-2025</t>
        </is>
      </c>
      <c r="B710" s="1" t="n">
        <v>45726</v>
      </c>
      <c r="C710" s="1" t="n">
        <v>45737</v>
      </c>
      <c r="D710" t="inlineStr">
        <is>
          <t>NORRBOTTENS LÄN</t>
        </is>
      </c>
      <c r="E710" t="inlineStr">
        <is>
          <t>ARVIDSJAUR</t>
        </is>
      </c>
      <c r="F710" t="inlineStr">
        <is>
          <t>Allmännings- och besparingsskogar</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45737</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45737</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c r="A713" t="inlineStr">
        <is>
          <t>A 11998-2025</t>
        </is>
      </c>
      <c r="B713" s="1" t="n">
        <v>45728</v>
      </c>
      <c r="C713" s="1" t="n">
        <v>45737</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2025-03-21T17:09:42Z</dcterms:created>
  <dcterms:modified xmlns:dcterms="http://purl.org/dc/terms/" xmlns:xsi="http://www.w3.org/2001/XMLSchema-instance" xsi:type="dcterms:W3CDTF">2025-03-21T17:09:42Z</dcterms:modified>
</cp:coreProperties>
</file>