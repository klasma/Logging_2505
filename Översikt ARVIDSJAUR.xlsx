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45891</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45891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45891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45891</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45891</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45891</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45891</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45891</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20996-2025</t>
        </is>
      </c>
      <c r="B16" s="1" t="n">
        <v>45777</v>
      </c>
      <c r="C16" s="1" t="n">
        <v>45891</v>
      </c>
      <c r="D16" t="inlineStr">
        <is>
          <t>NORRBOTTENS LÄN</t>
        </is>
      </c>
      <c r="E16" t="inlineStr">
        <is>
          <t>ARVIDSJAUR</t>
        </is>
      </c>
      <c r="F16" t="inlineStr">
        <is>
          <t>Allmännings- och besparingsskogar</t>
        </is>
      </c>
      <c r="G16" t="n">
        <v>28.2</v>
      </c>
      <c r="H16" t="n">
        <v>5</v>
      </c>
      <c r="I16" t="n">
        <v>3</v>
      </c>
      <c r="J16" t="n">
        <v>2</v>
      </c>
      <c r="K16" t="n">
        <v>0</v>
      </c>
      <c r="L16" t="n">
        <v>0</v>
      </c>
      <c r="M16" t="n">
        <v>0</v>
      </c>
      <c r="N16" t="n">
        <v>0</v>
      </c>
      <c r="O16" t="n">
        <v>2</v>
      </c>
      <c r="P16" t="n">
        <v>0</v>
      </c>
      <c r="Q16" t="n">
        <v>8</v>
      </c>
      <c r="R16" s="2" t="inlineStr">
        <is>
          <t>Mörk kolflarnlav
Tretåig hackspett
Dropptaggsvamp
Grönpyrola
Spindelblomster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11534-2025</t>
        </is>
      </c>
      <c r="B17" s="1" t="n">
        <v>45726</v>
      </c>
      <c r="C17" s="1" t="n">
        <v>45891</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45891</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45891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45891</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45891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45891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45891</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45891</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45891</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45891</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45891</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45891</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45891</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45891</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45891</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45386-2024</t>
        </is>
      </c>
      <c r="B32" s="1" t="n">
        <v>45576.53655092593</v>
      </c>
      <c r="C32" s="1" t="n">
        <v>45891</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32599-2024</t>
        </is>
      </c>
      <c r="B33" s="1" t="n">
        <v>45513</v>
      </c>
      <c r="C33" s="1" t="n">
        <v>45891</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48368-2024</t>
        </is>
      </c>
      <c r="B34" s="1" t="n">
        <v>45590.57829861111</v>
      </c>
      <c r="C34" s="1" t="n">
        <v>45891</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45891</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45891</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38166-2023</t>
        </is>
      </c>
      <c r="B37" s="1" t="n">
        <v>45161</v>
      </c>
      <c r="C37" s="1" t="n">
        <v>45891</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54539-2024</t>
        </is>
      </c>
      <c r="B38" s="1" t="n">
        <v>45617</v>
      </c>
      <c r="C38" s="1" t="n">
        <v>45891</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57043-2024</t>
        </is>
      </c>
      <c r="B39" s="1" t="n">
        <v>45629.32916666667</v>
      </c>
      <c r="C39" s="1" t="n">
        <v>45891</v>
      </c>
      <c r="D39" t="inlineStr">
        <is>
          <t>NORRBOTTENS LÄN</t>
        </is>
      </c>
      <c r="E39" t="inlineStr">
        <is>
          <t>ARVIDSJAUR</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HYPERLINK("https://klasma.github.io/Logging_2505/artfynd/A 57043-2024 artfynd.xlsx", "A 57043-2024")</f>
        <v/>
      </c>
      <c r="T39">
        <f>HYPERLINK("https://klasma.github.io/Logging_2505/kartor/A 57043-2024 karta.png", "A 57043-2024")</f>
        <v/>
      </c>
      <c r="V39">
        <f>HYPERLINK("https://klasma.github.io/Logging_2505/klagomål/A 57043-2024 FSC-klagomål.docx", "A 57043-2024")</f>
        <v/>
      </c>
      <c r="W39">
        <f>HYPERLINK("https://klasma.github.io/Logging_2505/klagomålsmail/A 57043-2024 FSC-klagomål mail.docx", "A 57043-2024")</f>
        <v/>
      </c>
      <c r="X39">
        <f>HYPERLINK("https://klasma.github.io/Logging_2505/tillsyn/A 57043-2024 tillsynsbegäran.docx", "A 57043-2024")</f>
        <v/>
      </c>
      <c r="Y39">
        <f>HYPERLINK("https://klasma.github.io/Logging_2505/tillsynsmail/A 57043-2024 tillsynsbegäran mail.docx", "A 57043-2024")</f>
        <v/>
      </c>
    </row>
    <row r="40" ht="15" customHeight="1">
      <c r="A40" t="inlineStr">
        <is>
          <t>A 22837-2021</t>
        </is>
      </c>
      <c r="B40" s="1" t="n">
        <v>44326</v>
      </c>
      <c r="C40" s="1" t="n">
        <v>45891</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45891</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45891</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52459-2020</t>
        </is>
      </c>
      <c r="B43" s="1" t="n">
        <v>44116</v>
      </c>
      <c r="C43" s="1" t="n">
        <v>45891</v>
      </c>
      <c r="D43" t="inlineStr">
        <is>
          <t>NORRBOTTENS LÄN</t>
        </is>
      </c>
      <c r="E43" t="inlineStr">
        <is>
          <t>ARVIDSJAUR</t>
        </is>
      </c>
      <c r="G43" t="n">
        <v>1.1</v>
      </c>
      <c r="H43" t="n">
        <v>0</v>
      </c>
      <c r="I43" t="n">
        <v>0</v>
      </c>
      <c r="J43" t="n">
        <v>0</v>
      </c>
      <c r="K43" t="n">
        <v>0</v>
      </c>
      <c r="L43" t="n">
        <v>0</v>
      </c>
      <c r="M43" t="n">
        <v>0</v>
      </c>
      <c r="N43" t="n">
        <v>0</v>
      </c>
      <c r="O43" t="n">
        <v>0</v>
      </c>
      <c r="P43" t="n">
        <v>0</v>
      </c>
      <c r="Q43" t="n">
        <v>0</v>
      </c>
      <c r="R43" s="2" t="inlineStr"/>
    </row>
    <row r="44" ht="15" customHeight="1">
      <c r="A44" t="inlineStr">
        <is>
          <t>A 46077-2021</t>
        </is>
      </c>
      <c r="B44" s="1" t="n">
        <v>44442</v>
      </c>
      <c r="C44" s="1" t="n">
        <v>45891</v>
      </c>
      <c r="D44" t="inlineStr">
        <is>
          <t>NORRBOTTENS LÄN</t>
        </is>
      </c>
      <c r="E44" t="inlineStr">
        <is>
          <t>ARVIDSJAUR</t>
        </is>
      </c>
      <c r="F44" t="inlineStr">
        <is>
          <t>Sveaskog</t>
        </is>
      </c>
      <c r="G44" t="n">
        <v>1.2</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45891</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45891</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45891</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45891</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45891</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45891</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45891</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45891</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45891</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45891</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45891</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45891</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45891</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45891</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45891</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45891</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45891</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45891</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45891</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45891</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45891</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45891</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45891</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45891</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45891</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45891</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45891</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45891</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45891</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69576-2021</t>
        </is>
      </c>
      <c r="B74" s="1" t="n">
        <v>44532</v>
      </c>
      <c r="C74" s="1" t="n">
        <v>45891</v>
      </c>
      <c r="D74" t="inlineStr">
        <is>
          <t>NORRBOTTENS LÄN</t>
        </is>
      </c>
      <c r="E74" t="inlineStr">
        <is>
          <t>ARVIDSJAUR</t>
        </is>
      </c>
      <c r="F74" t="inlineStr">
        <is>
          <t>Övriga Aktiebolag</t>
        </is>
      </c>
      <c r="G74" t="n">
        <v>4.5</v>
      </c>
      <c r="H74" t="n">
        <v>0</v>
      </c>
      <c r="I74" t="n">
        <v>0</v>
      </c>
      <c r="J74" t="n">
        <v>0</v>
      </c>
      <c r="K74" t="n">
        <v>0</v>
      </c>
      <c r="L74" t="n">
        <v>0</v>
      </c>
      <c r="M74" t="n">
        <v>0</v>
      </c>
      <c r="N74" t="n">
        <v>0</v>
      </c>
      <c r="O74" t="n">
        <v>0</v>
      </c>
      <c r="P74" t="n">
        <v>0</v>
      </c>
      <c r="Q74" t="n">
        <v>0</v>
      </c>
      <c r="R74" s="2" t="inlineStr"/>
    </row>
    <row r="75" ht="15" customHeight="1">
      <c r="A75" t="inlineStr">
        <is>
          <t>A 46904-2020</t>
        </is>
      </c>
      <c r="B75" s="1" t="n">
        <v>44089</v>
      </c>
      <c r="C75" s="1" t="n">
        <v>45891</v>
      </c>
      <c r="D75" t="inlineStr">
        <is>
          <t>NORRBOTTENS LÄN</t>
        </is>
      </c>
      <c r="E75" t="inlineStr">
        <is>
          <t>ARVIDSJAUR</t>
        </is>
      </c>
      <c r="G75" t="n">
        <v>1.7</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45891</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23575-2022</t>
        </is>
      </c>
      <c r="B77" s="1" t="n">
        <v>44721</v>
      </c>
      <c r="C77" s="1" t="n">
        <v>45891</v>
      </c>
      <c r="D77" t="inlineStr">
        <is>
          <t>NORRBOTTENS LÄN</t>
        </is>
      </c>
      <c r="E77" t="inlineStr">
        <is>
          <t>ARVIDSJAUR</t>
        </is>
      </c>
      <c r="F77" t="inlineStr">
        <is>
          <t>Övriga Aktiebolag</t>
        </is>
      </c>
      <c r="G77" t="n">
        <v>13.8</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45891</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45891</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45891</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45891</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45891</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45891</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40357-2021</t>
        </is>
      </c>
      <c r="B84" s="1" t="n">
        <v>44419</v>
      </c>
      <c r="C84" s="1" t="n">
        <v>45891</v>
      </c>
      <c r="D84" t="inlineStr">
        <is>
          <t>NORRBOTTENS LÄN</t>
        </is>
      </c>
      <c r="E84" t="inlineStr">
        <is>
          <t>ARVIDSJAUR</t>
        </is>
      </c>
      <c r="G84" t="n">
        <v>4.3</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45891</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45891</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31446-2021</t>
        </is>
      </c>
      <c r="B87" s="1" t="n">
        <v>44369</v>
      </c>
      <c r="C87" s="1" t="n">
        <v>45891</v>
      </c>
      <c r="D87" t="inlineStr">
        <is>
          <t>NORRBOTTENS LÄN</t>
        </is>
      </c>
      <c r="E87" t="inlineStr">
        <is>
          <t>ARVIDSJAUR</t>
        </is>
      </c>
      <c r="F87" t="inlineStr">
        <is>
          <t>Sveaskog</t>
        </is>
      </c>
      <c r="G87" t="n">
        <v>5.7</v>
      </c>
      <c r="H87" t="n">
        <v>0</v>
      </c>
      <c r="I87" t="n">
        <v>0</v>
      </c>
      <c r="J87" t="n">
        <v>0</v>
      </c>
      <c r="K87" t="n">
        <v>0</v>
      </c>
      <c r="L87" t="n">
        <v>0</v>
      </c>
      <c r="M87" t="n">
        <v>0</v>
      </c>
      <c r="N87" t="n">
        <v>0</v>
      </c>
      <c r="O87" t="n">
        <v>0</v>
      </c>
      <c r="P87" t="n">
        <v>0</v>
      </c>
      <c r="Q87" t="n">
        <v>0</v>
      </c>
      <c r="R87" s="2" t="inlineStr"/>
    </row>
    <row r="88" ht="15" customHeight="1">
      <c r="A88" t="inlineStr">
        <is>
          <t>A 54842-2020</t>
        </is>
      </c>
      <c r="B88" s="1" t="n">
        <v>44126</v>
      </c>
      <c r="C88" s="1" t="n">
        <v>45891</v>
      </c>
      <c r="D88" t="inlineStr">
        <is>
          <t>NORRBOTTENS LÄN</t>
        </is>
      </c>
      <c r="E88" t="inlineStr">
        <is>
          <t>ARVIDSJAUR</t>
        </is>
      </c>
      <c r="G88" t="n">
        <v>4.1</v>
      </c>
      <c r="H88" t="n">
        <v>0</v>
      </c>
      <c r="I88" t="n">
        <v>0</v>
      </c>
      <c r="J88" t="n">
        <v>0</v>
      </c>
      <c r="K88" t="n">
        <v>0</v>
      </c>
      <c r="L88" t="n">
        <v>0</v>
      </c>
      <c r="M88" t="n">
        <v>0</v>
      </c>
      <c r="N88" t="n">
        <v>0</v>
      </c>
      <c r="O88" t="n">
        <v>0</v>
      </c>
      <c r="P88" t="n">
        <v>0</v>
      </c>
      <c r="Q88" t="n">
        <v>0</v>
      </c>
      <c r="R88" s="2" t="inlineStr"/>
    </row>
    <row r="89" ht="15" customHeight="1">
      <c r="A89" t="inlineStr">
        <is>
          <t>A 38360-2022</t>
        </is>
      </c>
      <c r="B89" s="1" t="n">
        <v>44812</v>
      </c>
      <c r="C89" s="1" t="n">
        <v>45891</v>
      </c>
      <c r="D89" t="inlineStr">
        <is>
          <t>NORRBOTTENS LÄN</t>
        </is>
      </c>
      <c r="E89" t="inlineStr">
        <is>
          <t>ARVIDSJAUR</t>
        </is>
      </c>
      <c r="F89" t="inlineStr">
        <is>
          <t>Sveaskog</t>
        </is>
      </c>
      <c r="G89" t="n">
        <v>21.2</v>
      </c>
      <c r="H89" t="n">
        <v>0</v>
      </c>
      <c r="I89" t="n">
        <v>0</v>
      </c>
      <c r="J89" t="n">
        <v>0</v>
      </c>
      <c r="K89" t="n">
        <v>0</v>
      </c>
      <c r="L89" t="n">
        <v>0</v>
      </c>
      <c r="M89" t="n">
        <v>0</v>
      </c>
      <c r="N89" t="n">
        <v>0</v>
      </c>
      <c r="O89" t="n">
        <v>0</v>
      </c>
      <c r="P89" t="n">
        <v>0</v>
      </c>
      <c r="Q89" t="n">
        <v>0</v>
      </c>
      <c r="R89" s="2" t="inlineStr"/>
    </row>
    <row r="90" ht="15" customHeight="1">
      <c r="A90" t="inlineStr">
        <is>
          <t>A 54609-2022</t>
        </is>
      </c>
      <c r="B90" s="1" t="n">
        <v>44883</v>
      </c>
      <c r="C90" s="1" t="n">
        <v>45891</v>
      </c>
      <c r="D90" t="inlineStr">
        <is>
          <t>NORRBOTTENS LÄN</t>
        </is>
      </c>
      <c r="E90" t="inlineStr">
        <is>
          <t>ARVIDSJAUR</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57454-2021</t>
        </is>
      </c>
      <c r="B91" s="1" t="n">
        <v>44483</v>
      </c>
      <c r="C91" s="1" t="n">
        <v>45891</v>
      </c>
      <c r="D91" t="inlineStr">
        <is>
          <t>NORRBOTTENS LÄN</t>
        </is>
      </c>
      <c r="E91" t="inlineStr">
        <is>
          <t>ARVIDSJAUR</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45891</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63638-2020</t>
        </is>
      </c>
      <c r="B93" s="1" t="n">
        <v>44162</v>
      </c>
      <c r="C93" s="1" t="n">
        <v>45891</v>
      </c>
      <c r="D93" t="inlineStr">
        <is>
          <t>NORRBOTTENS LÄN</t>
        </is>
      </c>
      <c r="E93" t="inlineStr">
        <is>
          <t>ARVIDSJAUR</t>
        </is>
      </c>
      <c r="G93" t="n">
        <v>5.1</v>
      </c>
      <c r="H93" t="n">
        <v>0</v>
      </c>
      <c r="I93" t="n">
        <v>0</v>
      </c>
      <c r="J93" t="n">
        <v>0</v>
      </c>
      <c r="K93" t="n">
        <v>0</v>
      </c>
      <c r="L93" t="n">
        <v>0</v>
      </c>
      <c r="M93" t="n">
        <v>0</v>
      </c>
      <c r="N93" t="n">
        <v>0</v>
      </c>
      <c r="O93" t="n">
        <v>0</v>
      </c>
      <c r="P93" t="n">
        <v>0</v>
      </c>
      <c r="Q93" t="n">
        <v>0</v>
      </c>
      <c r="R93" s="2" t="inlineStr"/>
    </row>
    <row r="94" ht="15" customHeight="1">
      <c r="A94" t="inlineStr">
        <is>
          <t>A 64377-2021</t>
        </is>
      </c>
      <c r="B94" s="1" t="n">
        <v>44511</v>
      </c>
      <c r="C94" s="1" t="n">
        <v>45891</v>
      </c>
      <c r="D94" t="inlineStr">
        <is>
          <t>NORRBOTTENS LÄN</t>
        </is>
      </c>
      <c r="E94" t="inlineStr">
        <is>
          <t>ARVIDSJAUR</t>
        </is>
      </c>
      <c r="G94" t="n">
        <v>6.9</v>
      </c>
      <c r="H94" t="n">
        <v>0</v>
      </c>
      <c r="I94" t="n">
        <v>0</v>
      </c>
      <c r="J94" t="n">
        <v>0</v>
      </c>
      <c r="K94" t="n">
        <v>0</v>
      </c>
      <c r="L94" t="n">
        <v>0</v>
      </c>
      <c r="M94" t="n">
        <v>0</v>
      </c>
      <c r="N94" t="n">
        <v>0</v>
      </c>
      <c r="O94" t="n">
        <v>0</v>
      </c>
      <c r="P94" t="n">
        <v>0</v>
      </c>
      <c r="Q94" t="n">
        <v>0</v>
      </c>
      <c r="R94" s="2" t="inlineStr"/>
    </row>
    <row r="95" ht="15" customHeight="1">
      <c r="A95" t="inlineStr">
        <is>
          <t>A 67384-2020</t>
        </is>
      </c>
      <c r="B95" s="1" t="n">
        <v>44179</v>
      </c>
      <c r="C95" s="1" t="n">
        <v>45891</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45391-2021</t>
        </is>
      </c>
      <c r="B96" s="1" t="n">
        <v>44440</v>
      </c>
      <c r="C96" s="1" t="n">
        <v>45891</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19237-2025</t>
        </is>
      </c>
      <c r="B97" s="1" t="n">
        <v>45769</v>
      </c>
      <c r="C97" s="1" t="n">
        <v>45891</v>
      </c>
      <c r="D97" t="inlineStr">
        <is>
          <t>NORRBOTTENS LÄN</t>
        </is>
      </c>
      <c r="E97" t="inlineStr">
        <is>
          <t>ARVIDSJAUR</t>
        </is>
      </c>
      <c r="F97" t="inlineStr">
        <is>
          <t>Sveaskog</t>
        </is>
      </c>
      <c r="G97" t="n">
        <v>3.9</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45891</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71695-2021</t>
        </is>
      </c>
      <c r="B99" s="1" t="n">
        <v>44543.43594907408</v>
      </c>
      <c r="C99" s="1" t="n">
        <v>45891</v>
      </c>
      <c r="D99" t="inlineStr">
        <is>
          <t>NORRBOTTENS LÄN</t>
        </is>
      </c>
      <c r="E99" t="inlineStr">
        <is>
          <t>ARVIDSJAUR</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31453-2021</t>
        </is>
      </c>
      <c r="B100" s="1" t="n">
        <v>44369</v>
      </c>
      <c r="C100" s="1" t="n">
        <v>45891</v>
      </c>
      <c r="D100" t="inlineStr">
        <is>
          <t>NORRBOTTENS LÄN</t>
        </is>
      </c>
      <c r="E100" t="inlineStr">
        <is>
          <t>ARVIDSJAUR</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58002-2021</t>
        </is>
      </c>
      <c r="B101" s="1" t="n">
        <v>44487</v>
      </c>
      <c r="C101" s="1" t="n">
        <v>45891</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45891</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58025-2023</t>
        </is>
      </c>
      <c r="B103" s="1" t="n">
        <v>45244</v>
      </c>
      <c r="C103" s="1" t="n">
        <v>45891</v>
      </c>
      <c r="D103" t="inlineStr">
        <is>
          <t>NORRBOTTENS LÄN</t>
        </is>
      </c>
      <c r="E103" t="inlineStr">
        <is>
          <t>ARVIDSJAUR</t>
        </is>
      </c>
      <c r="G103" t="n">
        <v>4.2</v>
      </c>
      <c r="H103" t="n">
        <v>0</v>
      </c>
      <c r="I103" t="n">
        <v>0</v>
      </c>
      <c r="J103" t="n">
        <v>0</v>
      </c>
      <c r="K103" t="n">
        <v>0</v>
      </c>
      <c r="L103" t="n">
        <v>0</v>
      </c>
      <c r="M103" t="n">
        <v>0</v>
      </c>
      <c r="N103" t="n">
        <v>0</v>
      </c>
      <c r="O103" t="n">
        <v>0</v>
      </c>
      <c r="P103" t="n">
        <v>0</v>
      </c>
      <c r="Q103" t="n">
        <v>0</v>
      </c>
      <c r="R103" s="2" t="inlineStr"/>
    </row>
    <row r="104" ht="15" customHeight="1">
      <c r="A104" t="inlineStr">
        <is>
          <t>A 46072-2021</t>
        </is>
      </c>
      <c r="B104" s="1" t="n">
        <v>44442</v>
      </c>
      <c r="C104" s="1" t="n">
        <v>45891</v>
      </c>
      <c r="D104" t="inlineStr">
        <is>
          <t>NORRBOTTENS LÄN</t>
        </is>
      </c>
      <c r="E104" t="inlineStr">
        <is>
          <t>ARVIDSJAUR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49204-2024</t>
        </is>
      </c>
      <c r="B105" s="1" t="n">
        <v>45595</v>
      </c>
      <c r="C105" s="1" t="n">
        <v>45891</v>
      </c>
      <c r="D105" t="inlineStr">
        <is>
          <t>NORRBOTTENS LÄN</t>
        </is>
      </c>
      <c r="E105" t="inlineStr">
        <is>
          <t>ARVIDSJAUR</t>
        </is>
      </c>
      <c r="G105" t="n">
        <v>6.9</v>
      </c>
      <c r="H105" t="n">
        <v>0</v>
      </c>
      <c r="I105" t="n">
        <v>0</v>
      </c>
      <c r="J105" t="n">
        <v>0</v>
      </c>
      <c r="K105" t="n">
        <v>0</v>
      </c>
      <c r="L105" t="n">
        <v>0</v>
      </c>
      <c r="M105" t="n">
        <v>0</v>
      </c>
      <c r="N105" t="n">
        <v>0</v>
      </c>
      <c r="O105" t="n">
        <v>0</v>
      </c>
      <c r="P105" t="n">
        <v>0</v>
      </c>
      <c r="Q105" t="n">
        <v>0</v>
      </c>
      <c r="R105" s="2" t="inlineStr"/>
    </row>
    <row r="106" ht="15" customHeight="1">
      <c r="A106" t="inlineStr">
        <is>
          <t>A 21270-2021</t>
        </is>
      </c>
      <c r="B106" s="1" t="n">
        <v>44320</v>
      </c>
      <c r="C106" s="1" t="n">
        <v>45891</v>
      </c>
      <c r="D106" t="inlineStr">
        <is>
          <t>NORRBOTTENS LÄN</t>
        </is>
      </c>
      <c r="E106" t="inlineStr">
        <is>
          <t>ARVIDSJAUR</t>
        </is>
      </c>
      <c r="G106" t="n">
        <v>0.9</v>
      </c>
      <c r="H106" t="n">
        <v>0</v>
      </c>
      <c r="I106" t="n">
        <v>0</v>
      </c>
      <c r="J106" t="n">
        <v>0</v>
      </c>
      <c r="K106" t="n">
        <v>0</v>
      </c>
      <c r="L106" t="n">
        <v>0</v>
      </c>
      <c r="M106" t="n">
        <v>0</v>
      </c>
      <c r="N106" t="n">
        <v>0</v>
      </c>
      <c r="O106" t="n">
        <v>0</v>
      </c>
      <c r="P106" t="n">
        <v>0</v>
      </c>
      <c r="Q106" t="n">
        <v>0</v>
      </c>
      <c r="R106" s="2" t="inlineStr"/>
    </row>
    <row r="107" ht="15" customHeight="1">
      <c r="A107" t="inlineStr">
        <is>
          <t>A 23736-2024</t>
        </is>
      </c>
      <c r="B107" s="1" t="n">
        <v>45454</v>
      </c>
      <c r="C107" s="1" t="n">
        <v>45891</v>
      </c>
      <c r="D107" t="inlineStr">
        <is>
          <t>NORRBOTTENS LÄN</t>
        </is>
      </c>
      <c r="E107" t="inlineStr">
        <is>
          <t>ARVIDSJAUR</t>
        </is>
      </c>
      <c r="G107" t="n">
        <v>1.2</v>
      </c>
      <c r="H107" t="n">
        <v>0</v>
      </c>
      <c r="I107" t="n">
        <v>0</v>
      </c>
      <c r="J107" t="n">
        <v>0</v>
      </c>
      <c r="K107" t="n">
        <v>0</v>
      </c>
      <c r="L107" t="n">
        <v>0</v>
      </c>
      <c r="M107" t="n">
        <v>0</v>
      </c>
      <c r="N107" t="n">
        <v>0</v>
      </c>
      <c r="O107" t="n">
        <v>0</v>
      </c>
      <c r="P107" t="n">
        <v>0</v>
      </c>
      <c r="Q107" t="n">
        <v>0</v>
      </c>
      <c r="R107" s="2" t="inlineStr"/>
    </row>
    <row r="108" ht="15" customHeight="1">
      <c r="A108" t="inlineStr">
        <is>
          <t>A 11030-2025</t>
        </is>
      </c>
      <c r="B108" s="1" t="n">
        <v>45723.47167824074</v>
      </c>
      <c r="C108" s="1" t="n">
        <v>45891</v>
      </c>
      <c r="D108" t="inlineStr">
        <is>
          <t>NORRBOTTENS LÄN</t>
        </is>
      </c>
      <c r="E108" t="inlineStr">
        <is>
          <t>ARVIDSJAUR</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48608-2024</t>
        </is>
      </c>
      <c r="B109" s="1" t="n">
        <v>45593.45075231481</v>
      </c>
      <c r="C109" s="1" t="n">
        <v>45891</v>
      </c>
      <c r="D109" t="inlineStr">
        <is>
          <t>NORRBOTTENS LÄN</t>
        </is>
      </c>
      <c r="E109" t="inlineStr">
        <is>
          <t>ARVIDSJAUR</t>
        </is>
      </c>
      <c r="F109" t="inlineStr">
        <is>
          <t>Sveaskog</t>
        </is>
      </c>
      <c r="G109" t="n">
        <v>16.6</v>
      </c>
      <c r="H109" t="n">
        <v>0</v>
      </c>
      <c r="I109" t="n">
        <v>0</v>
      </c>
      <c r="J109" t="n">
        <v>0</v>
      </c>
      <c r="K109" t="n">
        <v>0</v>
      </c>
      <c r="L109" t="n">
        <v>0</v>
      </c>
      <c r="M109" t="n">
        <v>0</v>
      </c>
      <c r="N109" t="n">
        <v>0</v>
      </c>
      <c r="O109" t="n">
        <v>0</v>
      </c>
      <c r="P109" t="n">
        <v>0</v>
      </c>
      <c r="Q109" t="n">
        <v>0</v>
      </c>
      <c r="R109" s="2" t="inlineStr"/>
    </row>
    <row r="110" ht="15" customHeight="1">
      <c r="A110" t="inlineStr">
        <is>
          <t>A 40500-2022</t>
        </is>
      </c>
      <c r="B110" s="1" t="n">
        <v>44819</v>
      </c>
      <c r="C110" s="1" t="n">
        <v>45891</v>
      </c>
      <c r="D110" t="inlineStr">
        <is>
          <t>NORRBOTTENS LÄN</t>
        </is>
      </c>
      <c r="E110" t="inlineStr">
        <is>
          <t>ARVIDSJAUR</t>
        </is>
      </c>
      <c r="F110" t="inlineStr">
        <is>
          <t>Allmännings- och besparingsskogar</t>
        </is>
      </c>
      <c r="G110" t="n">
        <v>3.5</v>
      </c>
      <c r="H110" t="n">
        <v>0</v>
      </c>
      <c r="I110" t="n">
        <v>0</v>
      </c>
      <c r="J110" t="n">
        <v>0</v>
      </c>
      <c r="K110" t="n">
        <v>0</v>
      </c>
      <c r="L110" t="n">
        <v>0</v>
      </c>
      <c r="M110" t="n">
        <v>0</v>
      </c>
      <c r="N110" t="n">
        <v>0</v>
      </c>
      <c r="O110" t="n">
        <v>0</v>
      </c>
      <c r="P110" t="n">
        <v>0</v>
      </c>
      <c r="Q110" t="n">
        <v>0</v>
      </c>
      <c r="R110" s="2" t="inlineStr"/>
    </row>
    <row r="111" ht="15" customHeight="1">
      <c r="A111" t="inlineStr">
        <is>
          <t>A 48291-2023</t>
        </is>
      </c>
      <c r="B111" s="1" t="n">
        <v>45201</v>
      </c>
      <c r="C111" s="1" t="n">
        <v>45891</v>
      </c>
      <c r="D111" t="inlineStr">
        <is>
          <t>NORRBOTTENS LÄN</t>
        </is>
      </c>
      <c r="E111" t="inlineStr">
        <is>
          <t>ARVIDSJAUR</t>
        </is>
      </c>
      <c r="G111" t="n">
        <v>0.9</v>
      </c>
      <c r="H111" t="n">
        <v>0</v>
      </c>
      <c r="I111" t="n">
        <v>0</v>
      </c>
      <c r="J111" t="n">
        <v>0</v>
      </c>
      <c r="K111" t="n">
        <v>0</v>
      </c>
      <c r="L111" t="n">
        <v>0</v>
      </c>
      <c r="M111" t="n">
        <v>0</v>
      </c>
      <c r="N111" t="n">
        <v>0</v>
      </c>
      <c r="O111" t="n">
        <v>0</v>
      </c>
      <c r="P111" t="n">
        <v>0</v>
      </c>
      <c r="Q111" t="n">
        <v>0</v>
      </c>
      <c r="R111" s="2" t="inlineStr"/>
    </row>
    <row r="112" ht="15" customHeight="1">
      <c r="A112" t="inlineStr">
        <is>
          <t>A 11615-2025</t>
        </is>
      </c>
      <c r="B112" s="1" t="n">
        <v>45726</v>
      </c>
      <c r="C112" s="1" t="n">
        <v>45891</v>
      </c>
      <c r="D112" t="inlineStr">
        <is>
          <t>NORRBOTTENS LÄN</t>
        </is>
      </c>
      <c r="E112" t="inlineStr">
        <is>
          <t>ARVIDSJAUR</t>
        </is>
      </c>
      <c r="F112" t="inlineStr">
        <is>
          <t>Allmännings- och besparingsskogar</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11623-2025</t>
        </is>
      </c>
      <c r="B113" s="1" t="n">
        <v>45726</v>
      </c>
      <c r="C113" s="1" t="n">
        <v>45891</v>
      </c>
      <c r="D113" t="inlineStr">
        <is>
          <t>NORRBOTTENS LÄN</t>
        </is>
      </c>
      <c r="E113" t="inlineStr">
        <is>
          <t>ARVIDSJAUR</t>
        </is>
      </c>
      <c r="F113" t="inlineStr">
        <is>
          <t>Allmännings- och besparingsskogar</t>
        </is>
      </c>
      <c r="G113" t="n">
        <v>1.3</v>
      </c>
      <c r="H113" t="n">
        <v>0</v>
      </c>
      <c r="I113" t="n">
        <v>0</v>
      </c>
      <c r="J113" t="n">
        <v>0</v>
      </c>
      <c r="K113" t="n">
        <v>0</v>
      </c>
      <c r="L113" t="n">
        <v>0</v>
      </c>
      <c r="M113" t="n">
        <v>0</v>
      </c>
      <c r="N113" t="n">
        <v>0</v>
      </c>
      <c r="O113" t="n">
        <v>0</v>
      </c>
      <c r="P113" t="n">
        <v>0</v>
      </c>
      <c r="Q113" t="n">
        <v>0</v>
      </c>
      <c r="R113" s="2" t="inlineStr"/>
    </row>
    <row r="114" ht="15" customHeight="1">
      <c r="A114" t="inlineStr">
        <is>
          <t>A 11626-2025</t>
        </is>
      </c>
      <c r="B114" s="1" t="n">
        <v>45726</v>
      </c>
      <c r="C114" s="1" t="n">
        <v>45891</v>
      </c>
      <c r="D114" t="inlineStr">
        <is>
          <t>NORRBOTTENS LÄN</t>
        </is>
      </c>
      <c r="E114" t="inlineStr">
        <is>
          <t>ARVIDSJAUR</t>
        </is>
      </c>
      <c r="F114" t="inlineStr">
        <is>
          <t>Allmännings- och besparingsskogar</t>
        </is>
      </c>
      <c r="G114" t="n">
        <v>11.3</v>
      </c>
      <c r="H114" t="n">
        <v>0</v>
      </c>
      <c r="I114" t="n">
        <v>0</v>
      </c>
      <c r="J114" t="n">
        <v>0</v>
      </c>
      <c r="K114" t="n">
        <v>0</v>
      </c>
      <c r="L114" t="n">
        <v>0</v>
      </c>
      <c r="M114" t="n">
        <v>0</v>
      </c>
      <c r="N114" t="n">
        <v>0</v>
      </c>
      <c r="O114" t="n">
        <v>0</v>
      </c>
      <c r="P114" t="n">
        <v>0</v>
      </c>
      <c r="Q114" t="n">
        <v>0</v>
      </c>
      <c r="R114" s="2" t="inlineStr"/>
    </row>
    <row r="115" ht="15" customHeight="1">
      <c r="A115" t="inlineStr">
        <is>
          <t>A 22328-2021</t>
        </is>
      </c>
      <c r="B115" s="1" t="n">
        <v>44321</v>
      </c>
      <c r="C115" s="1" t="n">
        <v>45891</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52407-2021</t>
        </is>
      </c>
      <c r="B116" s="1" t="n">
        <v>44463</v>
      </c>
      <c r="C116" s="1" t="n">
        <v>45891</v>
      </c>
      <c r="D116" t="inlineStr">
        <is>
          <t>NORRBOTTENS LÄN</t>
        </is>
      </c>
      <c r="E116" t="inlineStr">
        <is>
          <t>ARVIDSJAUR</t>
        </is>
      </c>
      <c r="G116" t="n">
        <v>10.3</v>
      </c>
      <c r="H116" t="n">
        <v>0</v>
      </c>
      <c r="I116" t="n">
        <v>0</v>
      </c>
      <c r="J116" t="n">
        <v>0</v>
      </c>
      <c r="K116" t="n">
        <v>0</v>
      </c>
      <c r="L116" t="n">
        <v>0</v>
      </c>
      <c r="M116" t="n">
        <v>0</v>
      </c>
      <c r="N116" t="n">
        <v>0</v>
      </c>
      <c r="O116" t="n">
        <v>0</v>
      </c>
      <c r="P116" t="n">
        <v>0</v>
      </c>
      <c r="Q116" t="n">
        <v>0</v>
      </c>
      <c r="R116" s="2" t="inlineStr"/>
    </row>
    <row r="117" ht="15" customHeight="1">
      <c r="A117" t="inlineStr">
        <is>
          <t>A 39439-2024</t>
        </is>
      </c>
      <c r="B117" s="1" t="n">
        <v>45551.60893518518</v>
      </c>
      <c r="C117" s="1" t="n">
        <v>45891</v>
      </c>
      <c r="D117" t="inlineStr">
        <is>
          <t>NORRBOTTENS LÄN</t>
        </is>
      </c>
      <c r="E117" t="inlineStr">
        <is>
          <t>ARVIDSJAUR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23583-2021</t>
        </is>
      </c>
      <c r="B118" s="1" t="n">
        <v>44334</v>
      </c>
      <c r="C118" s="1" t="n">
        <v>45891</v>
      </c>
      <c r="D118" t="inlineStr">
        <is>
          <t>NORRBOTTENS LÄN</t>
        </is>
      </c>
      <c r="E118" t="inlineStr">
        <is>
          <t>ARVIDSJAUR</t>
        </is>
      </c>
      <c r="G118" t="n">
        <v>1.7</v>
      </c>
      <c r="H118" t="n">
        <v>0</v>
      </c>
      <c r="I118" t="n">
        <v>0</v>
      </c>
      <c r="J118" t="n">
        <v>0</v>
      </c>
      <c r="K118" t="n">
        <v>0</v>
      </c>
      <c r="L118" t="n">
        <v>0</v>
      </c>
      <c r="M118" t="n">
        <v>0</v>
      </c>
      <c r="N118" t="n">
        <v>0</v>
      </c>
      <c r="O118" t="n">
        <v>0</v>
      </c>
      <c r="P118" t="n">
        <v>0</v>
      </c>
      <c r="Q118" t="n">
        <v>0</v>
      </c>
      <c r="R118" s="2" t="inlineStr"/>
    </row>
    <row r="119" ht="15" customHeight="1">
      <c r="A119" t="inlineStr">
        <is>
          <t>A 42674-2021</t>
        </is>
      </c>
      <c r="B119" s="1" t="n">
        <v>44428</v>
      </c>
      <c r="C119" s="1" t="n">
        <v>45891</v>
      </c>
      <c r="D119" t="inlineStr">
        <is>
          <t>NORRBOTTENS LÄN</t>
        </is>
      </c>
      <c r="E119" t="inlineStr">
        <is>
          <t>ARVIDSJAUR</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42694-2021</t>
        </is>
      </c>
      <c r="B120" s="1" t="n">
        <v>44428</v>
      </c>
      <c r="C120" s="1" t="n">
        <v>45891</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40836-2021</t>
        </is>
      </c>
      <c r="B121" s="1" t="n">
        <v>44421</v>
      </c>
      <c r="C121" s="1" t="n">
        <v>45891</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1355-2024</t>
        </is>
      </c>
      <c r="B122" s="1" t="n">
        <v>45303</v>
      </c>
      <c r="C122" s="1" t="n">
        <v>45891</v>
      </c>
      <c r="D122" t="inlineStr">
        <is>
          <t>NORRBOTTENS LÄN</t>
        </is>
      </c>
      <c r="E122" t="inlineStr">
        <is>
          <t>ARVIDSJAUR</t>
        </is>
      </c>
      <c r="G122" t="n">
        <v>1</v>
      </c>
      <c r="H122" t="n">
        <v>0</v>
      </c>
      <c r="I122" t="n">
        <v>0</v>
      </c>
      <c r="J122" t="n">
        <v>0</v>
      </c>
      <c r="K122" t="n">
        <v>0</v>
      </c>
      <c r="L122" t="n">
        <v>0</v>
      </c>
      <c r="M122" t="n">
        <v>0</v>
      </c>
      <c r="N122" t="n">
        <v>0</v>
      </c>
      <c r="O122" t="n">
        <v>0</v>
      </c>
      <c r="P122" t="n">
        <v>0</v>
      </c>
      <c r="Q122" t="n">
        <v>0</v>
      </c>
      <c r="R122" s="2" t="inlineStr"/>
    </row>
    <row r="123" ht="15" customHeight="1">
      <c r="A123" t="inlineStr">
        <is>
          <t>A 24810-2023</t>
        </is>
      </c>
      <c r="B123" s="1" t="n">
        <v>45084</v>
      </c>
      <c r="C123" s="1" t="n">
        <v>45891</v>
      </c>
      <c r="D123" t="inlineStr">
        <is>
          <t>NORRBOTTENS LÄN</t>
        </is>
      </c>
      <c r="E123" t="inlineStr">
        <is>
          <t>ARVIDSJAUR</t>
        </is>
      </c>
      <c r="G123" t="n">
        <v>5.2</v>
      </c>
      <c r="H123" t="n">
        <v>0</v>
      </c>
      <c r="I123" t="n">
        <v>0</v>
      </c>
      <c r="J123" t="n">
        <v>0</v>
      </c>
      <c r="K123" t="n">
        <v>0</v>
      </c>
      <c r="L123" t="n">
        <v>0</v>
      </c>
      <c r="M123" t="n">
        <v>0</v>
      </c>
      <c r="N123" t="n">
        <v>0</v>
      </c>
      <c r="O123" t="n">
        <v>0</v>
      </c>
      <c r="P123" t="n">
        <v>0</v>
      </c>
      <c r="Q123" t="n">
        <v>0</v>
      </c>
      <c r="R123" s="2" t="inlineStr"/>
    </row>
    <row r="124" ht="15" customHeight="1">
      <c r="A124" t="inlineStr">
        <is>
          <t>A 11998-2025</t>
        </is>
      </c>
      <c r="B124" s="1" t="n">
        <v>45728</v>
      </c>
      <c r="C124" s="1" t="n">
        <v>45891</v>
      </c>
      <c r="D124" t="inlineStr">
        <is>
          <t>NORRBOTTENS LÄN</t>
        </is>
      </c>
      <c r="E124" t="inlineStr">
        <is>
          <t>ARVIDSJAUR</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25790-2024</t>
        </is>
      </c>
      <c r="B125" s="1" t="n">
        <v>45467</v>
      </c>
      <c r="C125" s="1" t="n">
        <v>45891</v>
      </c>
      <c r="D125" t="inlineStr">
        <is>
          <t>NORRBOTTENS LÄN</t>
        </is>
      </c>
      <c r="E125" t="inlineStr">
        <is>
          <t>ARVIDSJAUR</t>
        </is>
      </c>
      <c r="F125" t="inlineStr">
        <is>
          <t>Sveaskog</t>
        </is>
      </c>
      <c r="G125" t="n">
        <v>5.6</v>
      </c>
      <c r="H125" t="n">
        <v>0</v>
      </c>
      <c r="I125" t="n">
        <v>0</v>
      </c>
      <c r="J125" t="n">
        <v>0</v>
      </c>
      <c r="K125" t="n">
        <v>0</v>
      </c>
      <c r="L125" t="n">
        <v>0</v>
      </c>
      <c r="M125" t="n">
        <v>0</v>
      </c>
      <c r="N125" t="n">
        <v>0</v>
      </c>
      <c r="O125" t="n">
        <v>0</v>
      </c>
      <c r="P125" t="n">
        <v>0</v>
      </c>
      <c r="Q125" t="n">
        <v>0</v>
      </c>
      <c r="R125" s="2" t="inlineStr"/>
    </row>
    <row r="126" ht="15" customHeight="1">
      <c r="A126" t="inlineStr">
        <is>
          <t>A 25913-2024</t>
        </is>
      </c>
      <c r="B126" s="1" t="n">
        <v>45467</v>
      </c>
      <c r="C126" s="1" t="n">
        <v>45891</v>
      </c>
      <c r="D126" t="inlineStr">
        <is>
          <t>NORRBOTTENS LÄN</t>
        </is>
      </c>
      <c r="E126" t="inlineStr">
        <is>
          <t>ARVIDSJAUR</t>
        </is>
      </c>
      <c r="G126" t="n">
        <v>4.8</v>
      </c>
      <c r="H126" t="n">
        <v>0</v>
      </c>
      <c r="I126" t="n">
        <v>0</v>
      </c>
      <c r="J126" t="n">
        <v>0</v>
      </c>
      <c r="K126" t="n">
        <v>0</v>
      </c>
      <c r="L126" t="n">
        <v>0</v>
      </c>
      <c r="M126" t="n">
        <v>0</v>
      </c>
      <c r="N126" t="n">
        <v>0</v>
      </c>
      <c r="O126" t="n">
        <v>0</v>
      </c>
      <c r="P126" t="n">
        <v>0</v>
      </c>
      <c r="Q126" t="n">
        <v>0</v>
      </c>
      <c r="R126" s="2" t="inlineStr"/>
    </row>
    <row r="127" ht="15" customHeight="1">
      <c r="A127" t="inlineStr">
        <is>
          <t>A 50889-2024</t>
        </is>
      </c>
      <c r="B127" s="1" t="n">
        <v>45602.6681712963</v>
      </c>
      <c r="C127" s="1" t="n">
        <v>45891</v>
      </c>
      <c r="D127" t="inlineStr">
        <is>
          <t>NORRBOTTENS LÄN</t>
        </is>
      </c>
      <c r="E127" t="inlineStr">
        <is>
          <t>ARVIDSJAUR</t>
        </is>
      </c>
      <c r="F127" t="inlineStr">
        <is>
          <t>Sveaskog</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24836-2024</t>
        </is>
      </c>
      <c r="B128" s="1" t="n">
        <v>45461</v>
      </c>
      <c r="C128" s="1" t="n">
        <v>45891</v>
      </c>
      <c r="D128" t="inlineStr">
        <is>
          <t>NORRBOTTENS LÄN</t>
        </is>
      </c>
      <c r="E128" t="inlineStr">
        <is>
          <t>ARVIDSJAUR</t>
        </is>
      </c>
      <c r="F128" t="inlineStr">
        <is>
          <t>Allmännings- och besparingsskogar</t>
        </is>
      </c>
      <c r="G128" t="n">
        <v>2</v>
      </c>
      <c r="H128" t="n">
        <v>0</v>
      </c>
      <c r="I128" t="n">
        <v>0</v>
      </c>
      <c r="J128" t="n">
        <v>0</v>
      </c>
      <c r="K128" t="n">
        <v>0</v>
      </c>
      <c r="L128" t="n">
        <v>0</v>
      </c>
      <c r="M128" t="n">
        <v>0</v>
      </c>
      <c r="N128" t="n">
        <v>0</v>
      </c>
      <c r="O128" t="n">
        <v>0</v>
      </c>
      <c r="P128" t="n">
        <v>0</v>
      </c>
      <c r="Q128" t="n">
        <v>0</v>
      </c>
      <c r="R128" s="2" t="inlineStr"/>
    </row>
    <row r="129" ht="15" customHeight="1">
      <c r="A129" t="inlineStr">
        <is>
          <t>A 59929-2020</t>
        </is>
      </c>
      <c r="B129" s="1" t="n">
        <v>44148</v>
      </c>
      <c r="C129" s="1" t="n">
        <v>45891</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27778-2023</t>
        </is>
      </c>
      <c r="B130" s="1" t="n">
        <v>45098</v>
      </c>
      <c r="C130" s="1" t="n">
        <v>45891</v>
      </c>
      <c r="D130" t="inlineStr">
        <is>
          <t>NORRBOTTENS LÄN</t>
        </is>
      </c>
      <c r="E130" t="inlineStr">
        <is>
          <t>ARVIDSJAUR</t>
        </is>
      </c>
      <c r="F130" t="inlineStr">
        <is>
          <t>Sveaskog</t>
        </is>
      </c>
      <c r="G130" t="n">
        <v>15.2</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45891</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22997-2024</t>
        </is>
      </c>
      <c r="B132" s="1" t="n">
        <v>45450</v>
      </c>
      <c r="C132" s="1" t="n">
        <v>45891</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61202-2022</t>
        </is>
      </c>
      <c r="B133" s="1" t="n">
        <v>44915</v>
      </c>
      <c r="C133" s="1" t="n">
        <v>45891</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38271-2024</t>
        </is>
      </c>
      <c r="B134" s="1" t="n">
        <v>45545</v>
      </c>
      <c r="C134" s="1" t="n">
        <v>45891</v>
      </c>
      <c r="D134" t="inlineStr">
        <is>
          <t>NORRBOTTENS LÄN</t>
        </is>
      </c>
      <c r="E134" t="inlineStr">
        <is>
          <t>ARVIDSJAUR</t>
        </is>
      </c>
      <c r="G134" t="n">
        <v>8.800000000000001</v>
      </c>
      <c r="H134" t="n">
        <v>0</v>
      </c>
      <c r="I134" t="n">
        <v>0</v>
      </c>
      <c r="J134" t="n">
        <v>0</v>
      </c>
      <c r="K134" t="n">
        <v>0</v>
      </c>
      <c r="L134" t="n">
        <v>0</v>
      </c>
      <c r="M134" t="n">
        <v>0</v>
      </c>
      <c r="N134" t="n">
        <v>0</v>
      </c>
      <c r="O134" t="n">
        <v>0</v>
      </c>
      <c r="P134" t="n">
        <v>0</v>
      </c>
      <c r="Q134" t="n">
        <v>0</v>
      </c>
      <c r="R134" s="2" t="inlineStr"/>
    </row>
    <row r="135" ht="15" customHeight="1">
      <c r="A135" t="inlineStr">
        <is>
          <t>A 11542-2025</t>
        </is>
      </c>
      <c r="B135" s="1" t="n">
        <v>45726</v>
      </c>
      <c r="C135" s="1" t="n">
        <v>45891</v>
      </c>
      <c r="D135" t="inlineStr">
        <is>
          <t>NORRBOTTENS LÄN</t>
        </is>
      </c>
      <c r="E135" t="inlineStr">
        <is>
          <t>ARVIDSJAUR</t>
        </is>
      </c>
      <c r="F135" t="inlineStr">
        <is>
          <t>Allmännings- och besparingsskogar</t>
        </is>
      </c>
      <c r="G135" t="n">
        <v>14.2</v>
      </c>
      <c r="H135" t="n">
        <v>0</v>
      </c>
      <c r="I135" t="n">
        <v>0</v>
      </c>
      <c r="J135" t="n">
        <v>0</v>
      </c>
      <c r="K135" t="n">
        <v>0</v>
      </c>
      <c r="L135" t="n">
        <v>0</v>
      </c>
      <c r="M135" t="n">
        <v>0</v>
      </c>
      <c r="N135" t="n">
        <v>0</v>
      </c>
      <c r="O135" t="n">
        <v>0</v>
      </c>
      <c r="P135" t="n">
        <v>0</v>
      </c>
      <c r="Q135" t="n">
        <v>0</v>
      </c>
      <c r="R135" s="2" t="inlineStr"/>
    </row>
    <row r="136" ht="15" customHeight="1">
      <c r="A136" t="inlineStr">
        <is>
          <t>A 48048-2022</t>
        </is>
      </c>
      <c r="B136" s="1" t="n">
        <v>44855</v>
      </c>
      <c r="C136" s="1" t="n">
        <v>45891</v>
      </c>
      <c r="D136" t="inlineStr">
        <is>
          <t>NORRBOTTENS LÄN</t>
        </is>
      </c>
      <c r="E136" t="inlineStr">
        <is>
          <t>ARVIDSJAUR</t>
        </is>
      </c>
      <c r="G136" t="n">
        <v>3.2</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45891</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45127-2021</t>
        </is>
      </c>
      <c r="B138" s="1" t="n">
        <v>44439</v>
      </c>
      <c r="C138" s="1" t="n">
        <v>45891</v>
      </c>
      <c r="D138" t="inlineStr">
        <is>
          <t>NORRBOTTENS LÄN</t>
        </is>
      </c>
      <c r="E138" t="inlineStr">
        <is>
          <t>ARVIDSJAUR</t>
        </is>
      </c>
      <c r="G138" t="n">
        <v>4.6</v>
      </c>
      <c r="H138" t="n">
        <v>0</v>
      </c>
      <c r="I138" t="n">
        <v>0</v>
      </c>
      <c r="J138" t="n">
        <v>0</v>
      </c>
      <c r="K138" t="n">
        <v>0</v>
      </c>
      <c r="L138" t="n">
        <v>0</v>
      </c>
      <c r="M138" t="n">
        <v>0</v>
      </c>
      <c r="N138" t="n">
        <v>0</v>
      </c>
      <c r="O138" t="n">
        <v>0</v>
      </c>
      <c r="P138" t="n">
        <v>0</v>
      </c>
      <c r="Q138" t="n">
        <v>0</v>
      </c>
      <c r="R138" s="2" t="inlineStr"/>
    </row>
    <row r="139" ht="15" customHeight="1">
      <c r="A139" t="inlineStr">
        <is>
          <t>A 58941-2022</t>
        </is>
      </c>
      <c r="B139" s="1" t="n">
        <v>44903</v>
      </c>
      <c r="C139" s="1" t="n">
        <v>45891</v>
      </c>
      <c r="D139" t="inlineStr">
        <is>
          <t>NORRBOTTENS LÄN</t>
        </is>
      </c>
      <c r="E139" t="inlineStr">
        <is>
          <t>ARVIDSJAUR</t>
        </is>
      </c>
      <c r="F139" t="inlineStr">
        <is>
          <t>Sveaskog</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56980-2024</t>
        </is>
      </c>
      <c r="B140" s="1" t="n">
        <v>45628</v>
      </c>
      <c r="C140" s="1" t="n">
        <v>45891</v>
      </c>
      <c r="D140" t="inlineStr">
        <is>
          <t>NORRBOTTENS LÄN</t>
        </is>
      </c>
      <c r="E140" t="inlineStr">
        <is>
          <t>ARVIDSJAUR</t>
        </is>
      </c>
      <c r="F140" t="inlineStr">
        <is>
          <t>Övriga Aktiebolag</t>
        </is>
      </c>
      <c r="G140" t="n">
        <v>5.1</v>
      </c>
      <c r="H140" t="n">
        <v>0</v>
      </c>
      <c r="I140" t="n">
        <v>0</v>
      </c>
      <c r="J140" t="n">
        <v>0</v>
      </c>
      <c r="K140" t="n">
        <v>0</v>
      </c>
      <c r="L140" t="n">
        <v>0</v>
      </c>
      <c r="M140" t="n">
        <v>0</v>
      </c>
      <c r="N140" t="n">
        <v>0</v>
      </c>
      <c r="O140" t="n">
        <v>0</v>
      </c>
      <c r="P140" t="n">
        <v>0</v>
      </c>
      <c r="Q140" t="n">
        <v>0</v>
      </c>
      <c r="R140" s="2" t="inlineStr"/>
    </row>
    <row r="141" ht="15" customHeight="1">
      <c r="A141" t="inlineStr">
        <is>
          <t>A 9621-2024</t>
        </is>
      </c>
      <c r="B141" s="1" t="n">
        <v>45361</v>
      </c>
      <c r="C141" s="1" t="n">
        <v>45891</v>
      </c>
      <c r="D141" t="inlineStr">
        <is>
          <t>NORRBOTTENS LÄN</t>
        </is>
      </c>
      <c r="E141" t="inlineStr">
        <is>
          <t>ARVIDSJAUR</t>
        </is>
      </c>
      <c r="G141" t="n">
        <v>0.4</v>
      </c>
      <c r="H141" t="n">
        <v>0</v>
      </c>
      <c r="I141" t="n">
        <v>0</v>
      </c>
      <c r="J141" t="n">
        <v>0</v>
      </c>
      <c r="K141" t="n">
        <v>0</v>
      </c>
      <c r="L141" t="n">
        <v>0</v>
      </c>
      <c r="M141" t="n">
        <v>0</v>
      </c>
      <c r="N141" t="n">
        <v>0</v>
      </c>
      <c r="O141" t="n">
        <v>0</v>
      </c>
      <c r="P141" t="n">
        <v>0</v>
      </c>
      <c r="Q141" t="n">
        <v>0</v>
      </c>
      <c r="R141" s="2" t="inlineStr"/>
    </row>
    <row r="142" ht="15" customHeight="1">
      <c r="A142" t="inlineStr">
        <is>
          <t>A 42870-2024</t>
        </is>
      </c>
      <c r="B142" s="1" t="n">
        <v>45566.66489583333</v>
      </c>
      <c r="C142" s="1" t="n">
        <v>45891</v>
      </c>
      <c r="D142" t="inlineStr">
        <is>
          <t>NORRBOTTENS LÄN</t>
        </is>
      </c>
      <c r="E142" t="inlineStr">
        <is>
          <t>ARVIDSJAUR</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41235-2022</t>
        </is>
      </c>
      <c r="B143" s="1" t="n">
        <v>44825</v>
      </c>
      <c r="C143" s="1" t="n">
        <v>45891</v>
      </c>
      <c r="D143" t="inlineStr">
        <is>
          <t>NORRBOTTENS LÄN</t>
        </is>
      </c>
      <c r="E143" t="inlineStr">
        <is>
          <t>ARVIDSJAUR</t>
        </is>
      </c>
      <c r="G143" t="n">
        <v>0.8</v>
      </c>
      <c r="H143" t="n">
        <v>0</v>
      </c>
      <c r="I143" t="n">
        <v>0</v>
      </c>
      <c r="J143" t="n">
        <v>0</v>
      </c>
      <c r="K143" t="n">
        <v>0</v>
      </c>
      <c r="L143" t="n">
        <v>0</v>
      </c>
      <c r="M143" t="n">
        <v>0</v>
      </c>
      <c r="N143" t="n">
        <v>0</v>
      </c>
      <c r="O143" t="n">
        <v>0</v>
      </c>
      <c r="P143" t="n">
        <v>0</v>
      </c>
      <c r="Q143" t="n">
        <v>0</v>
      </c>
      <c r="R143" s="2" t="inlineStr"/>
    </row>
    <row r="144" ht="15" customHeight="1">
      <c r="A144" t="inlineStr">
        <is>
          <t>A 10126-2024</t>
        </is>
      </c>
      <c r="B144" s="1" t="n">
        <v>45364</v>
      </c>
      <c r="C144" s="1" t="n">
        <v>45891</v>
      </c>
      <c r="D144" t="inlineStr">
        <is>
          <t>NORRBOTTENS LÄN</t>
        </is>
      </c>
      <c r="E144" t="inlineStr">
        <is>
          <t>ARVIDSJAUR</t>
        </is>
      </c>
      <c r="F144" t="inlineStr">
        <is>
          <t>Sveaskog</t>
        </is>
      </c>
      <c r="G144" t="n">
        <v>19.8</v>
      </c>
      <c r="H144" t="n">
        <v>0</v>
      </c>
      <c r="I144" t="n">
        <v>0</v>
      </c>
      <c r="J144" t="n">
        <v>0</v>
      </c>
      <c r="K144" t="n">
        <v>0</v>
      </c>
      <c r="L144" t="n">
        <v>0</v>
      </c>
      <c r="M144" t="n">
        <v>0</v>
      </c>
      <c r="N144" t="n">
        <v>0</v>
      </c>
      <c r="O144" t="n">
        <v>0</v>
      </c>
      <c r="P144" t="n">
        <v>0</v>
      </c>
      <c r="Q144" t="n">
        <v>0</v>
      </c>
      <c r="R144" s="2" t="inlineStr"/>
    </row>
    <row r="145" ht="15" customHeight="1">
      <c r="A145" t="inlineStr">
        <is>
          <t>A 39760-2022</t>
        </is>
      </c>
      <c r="B145" s="1" t="n">
        <v>44819</v>
      </c>
      <c r="C145" s="1" t="n">
        <v>45891</v>
      </c>
      <c r="D145" t="inlineStr">
        <is>
          <t>NORRBOTTENS LÄN</t>
        </is>
      </c>
      <c r="E145" t="inlineStr">
        <is>
          <t>ARVIDSJAUR</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2778-2023</t>
        </is>
      </c>
      <c r="B146" s="1" t="n">
        <v>44944</v>
      </c>
      <c r="C146" s="1" t="n">
        <v>45891</v>
      </c>
      <c r="D146" t="inlineStr">
        <is>
          <t>NORRBOTTENS LÄN</t>
        </is>
      </c>
      <c r="E146" t="inlineStr">
        <is>
          <t>ARVIDSJAUR</t>
        </is>
      </c>
      <c r="F146" t="inlineStr">
        <is>
          <t>Sveaskog</t>
        </is>
      </c>
      <c r="G146" t="n">
        <v>11.1</v>
      </c>
      <c r="H146" t="n">
        <v>0</v>
      </c>
      <c r="I146" t="n">
        <v>0</v>
      </c>
      <c r="J146" t="n">
        <v>0</v>
      </c>
      <c r="K146" t="n">
        <v>0</v>
      </c>
      <c r="L146" t="n">
        <v>0</v>
      </c>
      <c r="M146" t="n">
        <v>0</v>
      </c>
      <c r="N146" t="n">
        <v>0</v>
      </c>
      <c r="O146" t="n">
        <v>0</v>
      </c>
      <c r="P146" t="n">
        <v>0</v>
      </c>
      <c r="Q146" t="n">
        <v>0</v>
      </c>
      <c r="R146" s="2" t="inlineStr"/>
    </row>
    <row r="147" ht="15" customHeight="1">
      <c r="A147" t="inlineStr">
        <is>
          <t>A 3207-2024</t>
        </is>
      </c>
      <c r="B147" s="1" t="n">
        <v>45316</v>
      </c>
      <c r="C147" s="1" t="n">
        <v>45891</v>
      </c>
      <c r="D147" t="inlineStr">
        <is>
          <t>NORRBOTTENS LÄN</t>
        </is>
      </c>
      <c r="E147" t="inlineStr">
        <is>
          <t>ARVIDSJAUR</t>
        </is>
      </c>
      <c r="F147" t="inlineStr">
        <is>
          <t>Allmännings- och besparingsskogar</t>
        </is>
      </c>
      <c r="G147" t="n">
        <v>6.6</v>
      </c>
      <c r="H147" t="n">
        <v>0</v>
      </c>
      <c r="I147" t="n">
        <v>0</v>
      </c>
      <c r="J147" t="n">
        <v>0</v>
      </c>
      <c r="K147" t="n">
        <v>0</v>
      </c>
      <c r="L147" t="n">
        <v>0</v>
      </c>
      <c r="M147" t="n">
        <v>0</v>
      </c>
      <c r="N147" t="n">
        <v>0</v>
      </c>
      <c r="O147" t="n">
        <v>0</v>
      </c>
      <c r="P147" t="n">
        <v>0</v>
      </c>
      <c r="Q147" t="n">
        <v>0</v>
      </c>
      <c r="R147" s="2" t="inlineStr"/>
    </row>
    <row r="148" ht="15" customHeight="1">
      <c r="A148" t="inlineStr">
        <is>
          <t>A 31050-2024</t>
        </is>
      </c>
      <c r="B148" s="1" t="n">
        <v>45502.33652777778</v>
      </c>
      <c r="C148" s="1" t="n">
        <v>45891</v>
      </c>
      <c r="D148" t="inlineStr">
        <is>
          <t>NORRBOTTENS LÄN</t>
        </is>
      </c>
      <c r="E148" t="inlineStr">
        <is>
          <t>ARVIDSJAUR</t>
        </is>
      </c>
      <c r="G148" t="n">
        <v>0</v>
      </c>
      <c r="H148" t="n">
        <v>0</v>
      </c>
      <c r="I148" t="n">
        <v>0</v>
      </c>
      <c r="J148" t="n">
        <v>0</v>
      </c>
      <c r="K148" t="n">
        <v>0</v>
      </c>
      <c r="L148" t="n">
        <v>0</v>
      </c>
      <c r="M148" t="n">
        <v>0</v>
      </c>
      <c r="N148" t="n">
        <v>0</v>
      </c>
      <c r="O148" t="n">
        <v>0</v>
      </c>
      <c r="P148" t="n">
        <v>0</v>
      </c>
      <c r="Q148" t="n">
        <v>0</v>
      </c>
      <c r="R148" s="2" t="inlineStr"/>
    </row>
    <row r="149" ht="15" customHeight="1">
      <c r="A149" t="inlineStr">
        <is>
          <t>A 10243-2024</t>
        </is>
      </c>
      <c r="B149" s="1" t="n">
        <v>45365</v>
      </c>
      <c r="C149" s="1" t="n">
        <v>45891</v>
      </c>
      <c r="D149" t="inlineStr">
        <is>
          <t>NORRBOTTENS LÄN</t>
        </is>
      </c>
      <c r="E149" t="inlineStr">
        <is>
          <t>ARVIDSJAUR</t>
        </is>
      </c>
      <c r="F149" t="inlineStr">
        <is>
          <t>Sveaskog</t>
        </is>
      </c>
      <c r="G149" t="n">
        <v>7.5</v>
      </c>
      <c r="H149" t="n">
        <v>0</v>
      </c>
      <c r="I149" t="n">
        <v>0</v>
      </c>
      <c r="J149" t="n">
        <v>0</v>
      </c>
      <c r="K149" t="n">
        <v>0</v>
      </c>
      <c r="L149" t="n">
        <v>0</v>
      </c>
      <c r="M149" t="n">
        <v>0</v>
      </c>
      <c r="N149" t="n">
        <v>0</v>
      </c>
      <c r="O149" t="n">
        <v>0</v>
      </c>
      <c r="P149" t="n">
        <v>0</v>
      </c>
      <c r="Q149" t="n">
        <v>0</v>
      </c>
      <c r="R149" s="2" t="inlineStr"/>
    </row>
    <row r="150" ht="15" customHeight="1">
      <c r="A150" t="inlineStr">
        <is>
          <t>A 2286-2024</t>
        </is>
      </c>
      <c r="B150" s="1" t="n">
        <v>45310</v>
      </c>
      <c r="C150" s="1" t="n">
        <v>45891</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22688-2024</t>
        </is>
      </c>
      <c r="B151" s="1" t="n">
        <v>45448</v>
      </c>
      <c r="C151" s="1" t="n">
        <v>45891</v>
      </c>
      <c r="D151" t="inlineStr">
        <is>
          <t>NORRBOTTENS LÄN</t>
        </is>
      </c>
      <c r="E151" t="inlineStr">
        <is>
          <t>ARVIDSJAUR</t>
        </is>
      </c>
      <c r="G151" t="n">
        <v>6.4</v>
      </c>
      <c r="H151" t="n">
        <v>0</v>
      </c>
      <c r="I151" t="n">
        <v>0</v>
      </c>
      <c r="J151" t="n">
        <v>0</v>
      </c>
      <c r="K151" t="n">
        <v>0</v>
      </c>
      <c r="L151" t="n">
        <v>0</v>
      </c>
      <c r="M151" t="n">
        <v>0</v>
      </c>
      <c r="N151" t="n">
        <v>0</v>
      </c>
      <c r="O151" t="n">
        <v>0</v>
      </c>
      <c r="P151" t="n">
        <v>0</v>
      </c>
      <c r="Q151" t="n">
        <v>0</v>
      </c>
      <c r="R151" s="2" t="inlineStr"/>
    </row>
    <row r="152" ht="15" customHeight="1">
      <c r="A152" t="inlineStr">
        <is>
          <t>A 54524-2023</t>
        </is>
      </c>
      <c r="B152" s="1" t="n">
        <v>45226</v>
      </c>
      <c r="C152" s="1" t="n">
        <v>45891</v>
      </c>
      <c r="D152" t="inlineStr">
        <is>
          <t>NORRBOTTENS LÄN</t>
        </is>
      </c>
      <c r="E152" t="inlineStr">
        <is>
          <t>ARVIDSJAUR</t>
        </is>
      </c>
      <c r="G152" t="n">
        <v>1.4</v>
      </c>
      <c r="H152" t="n">
        <v>0</v>
      </c>
      <c r="I152" t="n">
        <v>0</v>
      </c>
      <c r="J152" t="n">
        <v>0</v>
      </c>
      <c r="K152" t="n">
        <v>0</v>
      </c>
      <c r="L152" t="n">
        <v>0</v>
      </c>
      <c r="M152" t="n">
        <v>0</v>
      </c>
      <c r="N152" t="n">
        <v>0</v>
      </c>
      <c r="O152" t="n">
        <v>0</v>
      </c>
      <c r="P152" t="n">
        <v>0</v>
      </c>
      <c r="Q152" t="n">
        <v>0</v>
      </c>
      <c r="R152" s="2" t="inlineStr"/>
    </row>
    <row r="153" ht="15" customHeight="1">
      <c r="A153" t="inlineStr">
        <is>
          <t>A 54529-2023</t>
        </is>
      </c>
      <c r="B153" s="1" t="n">
        <v>45226</v>
      </c>
      <c r="C153" s="1" t="n">
        <v>45891</v>
      </c>
      <c r="D153" t="inlineStr">
        <is>
          <t>NORRBOTTENS LÄN</t>
        </is>
      </c>
      <c r="E153" t="inlineStr">
        <is>
          <t>ARVIDSJAUR</t>
        </is>
      </c>
      <c r="G153" t="n">
        <v>1.4</v>
      </c>
      <c r="H153" t="n">
        <v>0</v>
      </c>
      <c r="I153" t="n">
        <v>0</v>
      </c>
      <c r="J153" t="n">
        <v>0</v>
      </c>
      <c r="K153" t="n">
        <v>0</v>
      </c>
      <c r="L153" t="n">
        <v>0</v>
      </c>
      <c r="M153" t="n">
        <v>0</v>
      </c>
      <c r="N153" t="n">
        <v>0</v>
      </c>
      <c r="O153" t="n">
        <v>0</v>
      </c>
      <c r="P153" t="n">
        <v>0</v>
      </c>
      <c r="Q153" t="n">
        <v>0</v>
      </c>
      <c r="R153" s="2" t="inlineStr"/>
    </row>
    <row r="154" ht="15" customHeight="1">
      <c r="A154" t="inlineStr">
        <is>
          <t>A 48614-2024</t>
        </is>
      </c>
      <c r="B154" s="1" t="n">
        <v>45593</v>
      </c>
      <c r="C154" s="1" t="n">
        <v>45891</v>
      </c>
      <c r="D154" t="inlineStr">
        <is>
          <t>NORRBOTTENS LÄN</t>
        </is>
      </c>
      <c r="E154" t="inlineStr">
        <is>
          <t>ARVIDSJAUR</t>
        </is>
      </c>
      <c r="G154" t="n">
        <v>13.4</v>
      </c>
      <c r="H154" t="n">
        <v>0</v>
      </c>
      <c r="I154" t="n">
        <v>0</v>
      </c>
      <c r="J154" t="n">
        <v>0</v>
      </c>
      <c r="K154" t="n">
        <v>0</v>
      </c>
      <c r="L154" t="n">
        <v>0</v>
      </c>
      <c r="M154" t="n">
        <v>0</v>
      </c>
      <c r="N154" t="n">
        <v>0</v>
      </c>
      <c r="O154" t="n">
        <v>0</v>
      </c>
      <c r="P154" t="n">
        <v>0</v>
      </c>
      <c r="Q154" t="n">
        <v>0</v>
      </c>
      <c r="R154" s="2" t="inlineStr"/>
    </row>
    <row r="155" ht="15" customHeight="1">
      <c r="A155" t="inlineStr">
        <is>
          <t>A 51631-2023</t>
        </is>
      </c>
      <c r="B155" s="1" t="n">
        <v>45222.53628472222</v>
      </c>
      <c r="C155" s="1" t="n">
        <v>45891</v>
      </c>
      <c r="D155" t="inlineStr">
        <is>
          <t>NORRBOTTENS LÄN</t>
        </is>
      </c>
      <c r="E155" t="inlineStr">
        <is>
          <t>ARVIDSJAUR</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2309-2023</t>
        </is>
      </c>
      <c r="B156" s="1" t="n">
        <v>44942</v>
      </c>
      <c r="C156" s="1" t="n">
        <v>45891</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20393-2025</t>
        </is>
      </c>
      <c r="B157" s="1" t="n">
        <v>45775.44886574074</v>
      </c>
      <c r="C157" s="1" t="n">
        <v>45891</v>
      </c>
      <c r="D157" t="inlineStr">
        <is>
          <t>NORRBOTTENS LÄN</t>
        </is>
      </c>
      <c r="E157" t="inlineStr">
        <is>
          <t>ARVIDSJAUR</t>
        </is>
      </c>
      <c r="G157" t="n">
        <v>7.6</v>
      </c>
      <c r="H157" t="n">
        <v>0</v>
      </c>
      <c r="I157" t="n">
        <v>0</v>
      </c>
      <c r="J157" t="n">
        <v>0</v>
      </c>
      <c r="K157" t="n">
        <v>0</v>
      </c>
      <c r="L157" t="n">
        <v>0</v>
      </c>
      <c r="M157" t="n">
        <v>0</v>
      </c>
      <c r="N157" t="n">
        <v>0</v>
      </c>
      <c r="O157" t="n">
        <v>0</v>
      </c>
      <c r="P157" t="n">
        <v>0</v>
      </c>
      <c r="Q157" t="n">
        <v>0</v>
      </c>
      <c r="R157" s="2" t="inlineStr"/>
    </row>
    <row r="158" ht="15" customHeight="1">
      <c r="A158" t="inlineStr">
        <is>
          <t>A 52837-2024</t>
        </is>
      </c>
      <c r="B158" s="1" t="n">
        <v>45610</v>
      </c>
      <c r="C158" s="1" t="n">
        <v>45891</v>
      </c>
      <c r="D158" t="inlineStr">
        <is>
          <t>NORRBOTTENS LÄN</t>
        </is>
      </c>
      <c r="E158" t="inlineStr">
        <is>
          <t>ARVIDSJAUR</t>
        </is>
      </c>
      <c r="G158" t="n">
        <v>6.5</v>
      </c>
      <c r="H158" t="n">
        <v>0</v>
      </c>
      <c r="I158" t="n">
        <v>0</v>
      </c>
      <c r="J158" t="n">
        <v>0</v>
      </c>
      <c r="K158" t="n">
        <v>0</v>
      </c>
      <c r="L158" t="n">
        <v>0</v>
      </c>
      <c r="M158" t="n">
        <v>0</v>
      </c>
      <c r="N158" t="n">
        <v>0</v>
      </c>
      <c r="O158" t="n">
        <v>0</v>
      </c>
      <c r="P158" t="n">
        <v>0</v>
      </c>
      <c r="Q158" t="n">
        <v>0</v>
      </c>
      <c r="R158" s="2" t="inlineStr"/>
    </row>
    <row r="159" ht="15" customHeight="1">
      <c r="A159" t="inlineStr">
        <is>
          <t>A 39328-2023</t>
        </is>
      </c>
      <c r="B159" s="1" t="n">
        <v>45166</v>
      </c>
      <c r="C159" s="1" t="n">
        <v>45891</v>
      </c>
      <c r="D159" t="inlineStr">
        <is>
          <t>NORRBOTTENS LÄN</t>
        </is>
      </c>
      <c r="E159" t="inlineStr">
        <is>
          <t>ARVIDSJAUR</t>
        </is>
      </c>
      <c r="F159" t="inlineStr">
        <is>
          <t>Sveaskog</t>
        </is>
      </c>
      <c r="G159" t="n">
        <v>23</v>
      </c>
      <c r="H159" t="n">
        <v>0</v>
      </c>
      <c r="I159" t="n">
        <v>0</v>
      </c>
      <c r="J159" t="n">
        <v>0</v>
      </c>
      <c r="K159" t="n">
        <v>0</v>
      </c>
      <c r="L159" t="n">
        <v>0</v>
      </c>
      <c r="M159" t="n">
        <v>0</v>
      </c>
      <c r="N159" t="n">
        <v>0</v>
      </c>
      <c r="O159" t="n">
        <v>0</v>
      </c>
      <c r="P159" t="n">
        <v>0</v>
      </c>
      <c r="Q159" t="n">
        <v>0</v>
      </c>
      <c r="R159" s="2" t="inlineStr"/>
    </row>
    <row r="160" ht="15" customHeight="1">
      <c r="A160" t="inlineStr">
        <is>
          <t>A 55938-2024</t>
        </is>
      </c>
      <c r="B160" s="1" t="n">
        <v>45622</v>
      </c>
      <c r="C160" s="1" t="n">
        <v>45891</v>
      </c>
      <c r="D160" t="inlineStr">
        <is>
          <t>NORRBOTTENS LÄN</t>
        </is>
      </c>
      <c r="E160" t="inlineStr">
        <is>
          <t>ARVIDSJAUR</t>
        </is>
      </c>
      <c r="G160" t="n">
        <v>1.5</v>
      </c>
      <c r="H160" t="n">
        <v>0</v>
      </c>
      <c r="I160" t="n">
        <v>0</v>
      </c>
      <c r="J160" t="n">
        <v>0</v>
      </c>
      <c r="K160" t="n">
        <v>0</v>
      </c>
      <c r="L160" t="n">
        <v>0</v>
      </c>
      <c r="M160" t="n">
        <v>0</v>
      </c>
      <c r="N160" t="n">
        <v>0</v>
      </c>
      <c r="O160" t="n">
        <v>0</v>
      </c>
      <c r="P160" t="n">
        <v>0</v>
      </c>
      <c r="Q160" t="n">
        <v>0</v>
      </c>
      <c r="R160" s="2" t="inlineStr"/>
    </row>
    <row r="161" ht="15" customHeight="1">
      <c r="A161" t="inlineStr">
        <is>
          <t>A 29677-2024</t>
        </is>
      </c>
      <c r="B161" s="1" t="n">
        <v>45484</v>
      </c>
      <c r="C161" s="1" t="n">
        <v>45891</v>
      </c>
      <c r="D161" t="inlineStr">
        <is>
          <t>NORRBOTTENS LÄN</t>
        </is>
      </c>
      <c r="E161" t="inlineStr">
        <is>
          <t>ARVIDSJAUR</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12023-2025</t>
        </is>
      </c>
      <c r="B162" s="1" t="n">
        <v>45728</v>
      </c>
      <c r="C162" s="1" t="n">
        <v>45891</v>
      </c>
      <c r="D162" t="inlineStr">
        <is>
          <t>NORRBOTTENS LÄN</t>
        </is>
      </c>
      <c r="E162" t="inlineStr">
        <is>
          <t>ARVIDSJAUR</t>
        </is>
      </c>
      <c r="F162" t="inlineStr">
        <is>
          <t>Allmännings- och besparingsskogar</t>
        </is>
      </c>
      <c r="G162" t="n">
        <v>1.2</v>
      </c>
      <c r="H162" t="n">
        <v>0</v>
      </c>
      <c r="I162" t="n">
        <v>0</v>
      </c>
      <c r="J162" t="n">
        <v>0</v>
      </c>
      <c r="K162" t="n">
        <v>0</v>
      </c>
      <c r="L162" t="n">
        <v>0</v>
      </c>
      <c r="M162" t="n">
        <v>0</v>
      </c>
      <c r="N162" t="n">
        <v>0</v>
      </c>
      <c r="O162" t="n">
        <v>0</v>
      </c>
      <c r="P162" t="n">
        <v>0</v>
      </c>
      <c r="Q162" t="n">
        <v>0</v>
      </c>
      <c r="R162" s="2" t="inlineStr"/>
    </row>
    <row r="163" ht="15" customHeight="1">
      <c r="A163" t="inlineStr">
        <is>
          <t>A 36764-2024</t>
        </is>
      </c>
      <c r="B163" s="1" t="n">
        <v>45538</v>
      </c>
      <c r="C163" s="1" t="n">
        <v>45891</v>
      </c>
      <c r="D163" t="inlineStr">
        <is>
          <t>NORRBOTTENS LÄN</t>
        </is>
      </c>
      <c r="E163" t="inlineStr">
        <is>
          <t>ARVIDSJAUR</t>
        </is>
      </c>
      <c r="G163" t="n">
        <v>2.9</v>
      </c>
      <c r="H163" t="n">
        <v>0</v>
      </c>
      <c r="I163" t="n">
        <v>0</v>
      </c>
      <c r="J163" t="n">
        <v>0</v>
      </c>
      <c r="K163" t="n">
        <v>0</v>
      </c>
      <c r="L163" t="n">
        <v>0</v>
      </c>
      <c r="M163" t="n">
        <v>0</v>
      </c>
      <c r="N163" t="n">
        <v>0</v>
      </c>
      <c r="O163" t="n">
        <v>0</v>
      </c>
      <c r="P163" t="n">
        <v>0</v>
      </c>
      <c r="Q163" t="n">
        <v>0</v>
      </c>
      <c r="R163" s="2" t="inlineStr"/>
    </row>
    <row r="164" ht="15" customHeight="1">
      <c r="A164" t="inlineStr">
        <is>
          <t>A 45794-2024</t>
        </is>
      </c>
      <c r="B164" s="1" t="n">
        <v>45579.6725</v>
      </c>
      <c r="C164" s="1" t="n">
        <v>45891</v>
      </c>
      <c r="D164" t="inlineStr">
        <is>
          <t>NORRBOTTENS LÄN</t>
        </is>
      </c>
      <c r="E164" t="inlineStr">
        <is>
          <t>ARVIDSJAUR</t>
        </is>
      </c>
      <c r="F164" t="inlineStr">
        <is>
          <t>Sveaskog</t>
        </is>
      </c>
      <c r="G164" t="n">
        <v>37.7</v>
      </c>
      <c r="H164" t="n">
        <v>0</v>
      </c>
      <c r="I164" t="n">
        <v>0</v>
      </c>
      <c r="J164" t="n">
        <v>0</v>
      </c>
      <c r="K164" t="n">
        <v>0</v>
      </c>
      <c r="L164" t="n">
        <v>0</v>
      </c>
      <c r="M164" t="n">
        <v>0</v>
      </c>
      <c r="N164" t="n">
        <v>0</v>
      </c>
      <c r="O164" t="n">
        <v>0</v>
      </c>
      <c r="P164" t="n">
        <v>0</v>
      </c>
      <c r="Q164" t="n">
        <v>0</v>
      </c>
      <c r="R164" s="2" t="inlineStr"/>
    </row>
    <row r="165" ht="15" customHeight="1">
      <c r="A165" t="inlineStr">
        <is>
          <t>A 27944-2024</t>
        </is>
      </c>
      <c r="B165" s="1" t="n">
        <v>45476</v>
      </c>
      <c r="C165" s="1" t="n">
        <v>45891</v>
      </c>
      <c r="D165" t="inlineStr">
        <is>
          <t>NORRBOTTENS LÄN</t>
        </is>
      </c>
      <c r="E165" t="inlineStr">
        <is>
          <t>ARVIDSJAUR</t>
        </is>
      </c>
      <c r="F165" t="inlineStr">
        <is>
          <t>Sveaskog</t>
        </is>
      </c>
      <c r="G165" t="n">
        <v>1.1</v>
      </c>
      <c r="H165" t="n">
        <v>0</v>
      </c>
      <c r="I165" t="n">
        <v>0</v>
      </c>
      <c r="J165" t="n">
        <v>0</v>
      </c>
      <c r="K165" t="n">
        <v>0</v>
      </c>
      <c r="L165" t="n">
        <v>0</v>
      </c>
      <c r="M165" t="n">
        <v>0</v>
      </c>
      <c r="N165" t="n">
        <v>0</v>
      </c>
      <c r="O165" t="n">
        <v>0</v>
      </c>
      <c r="P165" t="n">
        <v>0</v>
      </c>
      <c r="Q165" t="n">
        <v>0</v>
      </c>
      <c r="R165" s="2" t="inlineStr"/>
    </row>
    <row r="166" ht="15" customHeight="1">
      <c r="A166" t="inlineStr">
        <is>
          <t>A 42695-2023</t>
        </is>
      </c>
      <c r="B166" s="1" t="n">
        <v>45176</v>
      </c>
      <c r="C166" s="1" t="n">
        <v>45891</v>
      </c>
      <c r="D166" t="inlineStr">
        <is>
          <t>NORRBOTTENS LÄN</t>
        </is>
      </c>
      <c r="E166" t="inlineStr">
        <is>
          <t>ARVIDSJAUR</t>
        </is>
      </c>
      <c r="G166" t="n">
        <v>2.7</v>
      </c>
      <c r="H166" t="n">
        <v>0</v>
      </c>
      <c r="I166" t="n">
        <v>0</v>
      </c>
      <c r="J166" t="n">
        <v>0</v>
      </c>
      <c r="K166" t="n">
        <v>0</v>
      </c>
      <c r="L166" t="n">
        <v>0</v>
      </c>
      <c r="M166" t="n">
        <v>0</v>
      </c>
      <c r="N166" t="n">
        <v>0</v>
      </c>
      <c r="O166" t="n">
        <v>0</v>
      </c>
      <c r="P166" t="n">
        <v>0</v>
      </c>
      <c r="Q166" t="n">
        <v>0</v>
      </c>
      <c r="R166" s="2" t="inlineStr"/>
    </row>
    <row r="167" ht="15" customHeight="1">
      <c r="A167" t="inlineStr">
        <is>
          <t>A 55557-2023</t>
        </is>
      </c>
      <c r="B167" s="1" t="n">
        <v>45232</v>
      </c>
      <c r="C167" s="1" t="n">
        <v>45891</v>
      </c>
      <c r="D167" t="inlineStr">
        <is>
          <t>NORRBOTTENS LÄN</t>
        </is>
      </c>
      <c r="E167" t="inlineStr">
        <is>
          <t>ARVIDSJAUR</t>
        </is>
      </c>
      <c r="G167" t="n">
        <v>6.3</v>
      </c>
      <c r="H167" t="n">
        <v>0</v>
      </c>
      <c r="I167" t="n">
        <v>0</v>
      </c>
      <c r="J167" t="n">
        <v>0</v>
      </c>
      <c r="K167" t="n">
        <v>0</v>
      </c>
      <c r="L167" t="n">
        <v>0</v>
      </c>
      <c r="M167" t="n">
        <v>0</v>
      </c>
      <c r="N167" t="n">
        <v>0</v>
      </c>
      <c r="O167" t="n">
        <v>0</v>
      </c>
      <c r="P167" t="n">
        <v>0</v>
      </c>
      <c r="Q167" t="n">
        <v>0</v>
      </c>
      <c r="R167" s="2" t="inlineStr"/>
    </row>
    <row r="168" ht="15" customHeight="1">
      <c r="A168" t="inlineStr">
        <is>
          <t>A 36403-2023</t>
        </is>
      </c>
      <c r="B168" s="1" t="n">
        <v>45152</v>
      </c>
      <c r="C168" s="1" t="n">
        <v>45891</v>
      </c>
      <c r="D168" t="inlineStr">
        <is>
          <t>NORRBOTTENS LÄN</t>
        </is>
      </c>
      <c r="E168" t="inlineStr">
        <is>
          <t>ARVIDSJAUR</t>
        </is>
      </c>
      <c r="F168" t="inlineStr">
        <is>
          <t>Sveaskog</t>
        </is>
      </c>
      <c r="G168" t="n">
        <v>5.6</v>
      </c>
      <c r="H168" t="n">
        <v>0</v>
      </c>
      <c r="I168" t="n">
        <v>0</v>
      </c>
      <c r="J168" t="n">
        <v>0</v>
      </c>
      <c r="K168" t="n">
        <v>0</v>
      </c>
      <c r="L168" t="n">
        <v>0</v>
      </c>
      <c r="M168" t="n">
        <v>0</v>
      </c>
      <c r="N168" t="n">
        <v>0</v>
      </c>
      <c r="O168" t="n">
        <v>0</v>
      </c>
      <c r="P168" t="n">
        <v>0</v>
      </c>
      <c r="Q168" t="n">
        <v>0</v>
      </c>
      <c r="R168" s="2" t="inlineStr"/>
    </row>
    <row r="169" ht="15" customHeight="1">
      <c r="A169" t="inlineStr">
        <is>
          <t>A 8626-2023</t>
        </is>
      </c>
      <c r="B169" s="1" t="n">
        <v>44977</v>
      </c>
      <c r="C169" s="1" t="n">
        <v>45891</v>
      </c>
      <c r="D169" t="inlineStr">
        <is>
          <t>NORRBOTTENS LÄN</t>
        </is>
      </c>
      <c r="E169" t="inlineStr">
        <is>
          <t>ARVIDSJAUR</t>
        </is>
      </c>
      <c r="G169" t="n">
        <v>3.4</v>
      </c>
      <c r="H169" t="n">
        <v>0</v>
      </c>
      <c r="I169" t="n">
        <v>0</v>
      </c>
      <c r="J169" t="n">
        <v>0</v>
      </c>
      <c r="K169" t="n">
        <v>0</v>
      </c>
      <c r="L169" t="n">
        <v>0</v>
      </c>
      <c r="M169" t="n">
        <v>0</v>
      </c>
      <c r="N169" t="n">
        <v>0</v>
      </c>
      <c r="O169" t="n">
        <v>0</v>
      </c>
      <c r="P169" t="n">
        <v>0</v>
      </c>
      <c r="Q169" t="n">
        <v>0</v>
      </c>
      <c r="R169" s="2" t="inlineStr"/>
    </row>
    <row r="170" ht="15" customHeight="1">
      <c r="A170" t="inlineStr">
        <is>
          <t>A 36090-2023</t>
        </is>
      </c>
      <c r="B170" s="1" t="n">
        <v>45149</v>
      </c>
      <c r="C170" s="1" t="n">
        <v>45891</v>
      </c>
      <c r="D170" t="inlineStr">
        <is>
          <t>NORRBOTTENS LÄN</t>
        </is>
      </c>
      <c r="E170" t="inlineStr">
        <is>
          <t>ARVIDSJAUR</t>
        </is>
      </c>
      <c r="F170" t="inlineStr">
        <is>
          <t>Sveaskog</t>
        </is>
      </c>
      <c r="G170" t="n">
        <v>0.5</v>
      </c>
      <c r="H170" t="n">
        <v>0</v>
      </c>
      <c r="I170" t="n">
        <v>0</v>
      </c>
      <c r="J170" t="n">
        <v>0</v>
      </c>
      <c r="K170" t="n">
        <v>0</v>
      </c>
      <c r="L170" t="n">
        <v>0</v>
      </c>
      <c r="M170" t="n">
        <v>0</v>
      </c>
      <c r="N170" t="n">
        <v>0</v>
      </c>
      <c r="O170" t="n">
        <v>0</v>
      </c>
      <c r="P170" t="n">
        <v>0</v>
      </c>
      <c r="Q170" t="n">
        <v>0</v>
      </c>
      <c r="R170" s="2" t="inlineStr"/>
    </row>
    <row r="171" ht="15" customHeight="1">
      <c r="A171" t="inlineStr">
        <is>
          <t>A 29681-2024</t>
        </is>
      </c>
      <c r="B171" s="1" t="n">
        <v>45484.94334490741</v>
      </c>
      <c r="C171" s="1" t="n">
        <v>45891</v>
      </c>
      <c r="D171" t="inlineStr">
        <is>
          <t>NORRBOTTENS LÄN</t>
        </is>
      </c>
      <c r="E171" t="inlineStr">
        <is>
          <t>ARVIDSJAUR</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26835-2024</t>
        </is>
      </c>
      <c r="B172" s="1" t="n">
        <v>45470.57364583333</v>
      </c>
      <c r="C172" s="1" t="n">
        <v>45891</v>
      </c>
      <c r="D172" t="inlineStr">
        <is>
          <t>NORRBOTTENS LÄN</t>
        </is>
      </c>
      <c r="E172" t="inlineStr">
        <is>
          <t>ARVIDSJAUR</t>
        </is>
      </c>
      <c r="G172" t="n">
        <v>1.5</v>
      </c>
      <c r="H172" t="n">
        <v>0</v>
      </c>
      <c r="I172" t="n">
        <v>0</v>
      </c>
      <c r="J172" t="n">
        <v>0</v>
      </c>
      <c r="K172" t="n">
        <v>0</v>
      </c>
      <c r="L172" t="n">
        <v>0</v>
      </c>
      <c r="M172" t="n">
        <v>0</v>
      </c>
      <c r="N172" t="n">
        <v>0</v>
      </c>
      <c r="O172" t="n">
        <v>0</v>
      </c>
      <c r="P172" t="n">
        <v>0</v>
      </c>
      <c r="Q172" t="n">
        <v>0</v>
      </c>
      <c r="R172" s="2" t="inlineStr"/>
    </row>
    <row r="173" ht="15" customHeight="1">
      <c r="A173" t="inlineStr">
        <is>
          <t>A 2908-2024</t>
        </is>
      </c>
      <c r="B173" s="1" t="n">
        <v>45315</v>
      </c>
      <c r="C173" s="1" t="n">
        <v>45891</v>
      </c>
      <c r="D173" t="inlineStr">
        <is>
          <t>NORRBOTTENS LÄN</t>
        </is>
      </c>
      <c r="E173" t="inlineStr">
        <is>
          <t>ARVIDSJAUR</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row>
    <row r="174" ht="15" customHeight="1">
      <c r="A174" t="inlineStr">
        <is>
          <t>A 18780-2024</t>
        </is>
      </c>
      <c r="B174" s="1" t="n">
        <v>45426</v>
      </c>
      <c r="C174" s="1" t="n">
        <v>45891</v>
      </c>
      <c r="D174" t="inlineStr">
        <is>
          <t>NORRBOTTENS LÄN</t>
        </is>
      </c>
      <c r="E174" t="inlineStr">
        <is>
          <t>ARVIDSJAUR</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44557-2023</t>
        </is>
      </c>
      <c r="B175" s="1" t="n">
        <v>45189.53853009259</v>
      </c>
      <c r="C175" s="1" t="n">
        <v>45891</v>
      </c>
      <c r="D175" t="inlineStr">
        <is>
          <t>NORRBOTTENS LÄN</t>
        </is>
      </c>
      <c r="E175" t="inlineStr">
        <is>
          <t>ARVIDSJAUR</t>
        </is>
      </c>
      <c r="F175" t="inlineStr">
        <is>
          <t>Sveaskog</t>
        </is>
      </c>
      <c r="G175" t="n">
        <v>3.8</v>
      </c>
      <c r="H175" t="n">
        <v>0</v>
      </c>
      <c r="I175" t="n">
        <v>0</v>
      </c>
      <c r="J175" t="n">
        <v>0</v>
      </c>
      <c r="K175" t="n">
        <v>0</v>
      </c>
      <c r="L175" t="n">
        <v>0</v>
      </c>
      <c r="M175" t="n">
        <v>0</v>
      </c>
      <c r="N175" t="n">
        <v>0</v>
      </c>
      <c r="O175" t="n">
        <v>0</v>
      </c>
      <c r="P175" t="n">
        <v>0</v>
      </c>
      <c r="Q175" t="n">
        <v>0</v>
      </c>
      <c r="R175" s="2" t="inlineStr"/>
    </row>
    <row r="176" ht="15" customHeight="1">
      <c r="A176" t="inlineStr">
        <is>
          <t>A 26841-2024</t>
        </is>
      </c>
      <c r="B176" s="1" t="n">
        <v>45470.57751157408</v>
      </c>
      <c r="C176" s="1" t="n">
        <v>45891</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49207-2024</t>
        </is>
      </c>
      <c r="B177" s="1" t="n">
        <v>45595</v>
      </c>
      <c r="C177" s="1" t="n">
        <v>45891</v>
      </c>
      <c r="D177" t="inlineStr">
        <is>
          <t>NORRBOTTENS LÄN</t>
        </is>
      </c>
      <c r="E177" t="inlineStr">
        <is>
          <t>ARVIDSJAUR</t>
        </is>
      </c>
      <c r="G177" t="n">
        <v>2.5</v>
      </c>
      <c r="H177" t="n">
        <v>0</v>
      </c>
      <c r="I177" t="n">
        <v>0</v>
      </c>
      <c r="J177" t="n">
        <v>0</v>
      </c>
      <c r="K177" t="n">
        <v>0</v>
      </c>
      <c r="L177" t="n">
        <v>0</v>
      </c>
      <c r="M177" t="n">
        <v>0</v>
      </c>
      <c r="N177" t="n">
        <v>0</v>
      </c>
      <c r="O177" t="n">
        <v>0</v>
      </c>
      <c r="P177" t="n">
        <v>0</v>
      </c>
      <c r="Q177" t="n">
        <v>0</v>
      </c>
      <c r="R177" s="2" t="inlineStr"/>
    </row>
    <row r="178" ht="15" customHeight="1">
      <c r="A178" t="inlineStr">
        <is>
          <t>A 33134-2023</t>
        </is>
      </c>
      <c r="B178" s="1" t="n">
        <v>45114</v>
      </c>
      <c r="C178" s="1" t="n">
        <v>45891</v>
      </c>
      <c r="D178" t="inlineStr">
        <is>
          <t>NORRBOTTENS LÄN</t>
        </is>
      </c>
      <c r="E178" t="inlineStr">
        <is>
          <t>ARVIDSJAUR</t>
        </is>
      </c>
      <c r="G178" t="n">
        <v>16.3</v>
      </c>
      <c r="H178" t="n">
        <v>0</v>
      </c>
      <c r="I178" t="n">
        <v>0</v>
      </c>
      <c r="J178" t="n">
        <v>0</v>
      </c>
      <c r="K178" t="n">
        <v>0</v>
      </c>
      <c r="L178" t="n">
        <v>0</v>
      </c>
      <c r="M178" t="n">
        <v>0</v>
      </c>
      <c r="N178" t="n">
        <v>0</v>
      </c>
      <c r="O178" t="n">
        <v>0</v>
      </c>
      <c r="P178" t="n">
        <v>0</v>
      </c>
      <c r="Q178" t="n">
        <v>0</v>
      </c>
      <c r="R178" s="2" t="inlineStr"/>
    </row>
    <row r="179" ht="15" customHeight="1">
      <c r="A179" t="inlineStr">
        <is>
          <t>A 52145-2024</t>
        </is>
      </c>
      <c r="B179" s="1" t="n">
        <v>45608.51888888889</v>
      </c>
      <c r="C179" s="1" t="n">
        <v>45891</v>
      </c>
      <c r="D179" t="inlineStr">
        <is>
          <t>NORRBOTTENS LÄN</t>
        </is>
      </c>
      <c r="E179" t="inlineStr">
        <is>
          <t>ARVIDSJAUR</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48461-2024</t>
        </is>
      </c>
      <c r="B180" s="1" t="n">
        <v>45590</v>
      </c>
      <c r="C180" s="1" t="n">
        <v>45891</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39925-2024</t>
        </is>
      </c>
      <c r="B181" s="1" t="n">
        <v>45553</v>
      </c>
      <c r="C181" s="1" t="n">
        <v>45891</v>
      </c>
      <c r="D181" t="inlineStr">
        <is>
          <t>NORRBOTTENS LÄN</t>
        </is>
      </c>
      <c r="E181" t="inlineStr">
        <is>
          <t>ARVIDSJAUR</t>
        </is>
      </c>
      <c r="G181" t="n">
        <v>6.9</v>
      </c>
      <c r="H181" t="n">
        <v>0</v>
      </c>
      <c r="I181" t="n">
        <v>0</v>
      </c>
      <c r="J181" t="n">
        <v>0</v>
      </c>
      <c r="K181" t="n">
        <v>0</v>
      </c>
      <c r="L181" t="n">
        <v>0</v>
      </c>
      <c r="M181" t="n">
        <v>0</v>
      </c>
      <c r="N181" t="n">
        <v>0</v>
      </c>
      <c r="O181" t="n">
        <v>0</v>
      </c>
      <c r="P181" t="n">
        <v>0</v>
      </c>
      <c r="Q181" t="n">
        <v>0</v>
      </c>
      <c r="R181" s="2" t="inlineStr"/>
    </row>
    <row r="182" ht="15" customHeight="1">
      <c r="A182" t="inlineStr">
        <is>
          <t>A 60466-2022</t>
        </is>
      </c>
      <c r="B182" s="1" t="n">
        <v>44911</v>
      </c>
      <c r="C182" s="1" t="n">
        <v>45891</v>
      </c>
      <c r="D182" t="inlineStr">
        <is>
          <t>NORRBOTTENS LÄN</t>
        </is>
      </c>
      <c r="E182" t="inlineStr">
        <is>
          <t>ARVIDSJAUR</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60516-2022</t>
        </is>
      </c>
      <c r="B183" s="1" t="n">
        <v>44911</v>
      </c>
      <c r="C183" s="1" t="n">
        <v>45891</v>
      </c>
      <c r="D183" t="inlineStr">
        <is>
          <t>NORRBOTTENS LÄN</t>
        </is>
      </c>
      <c r="E183" t="inlineStr">
        <is>
          <t>ARVIDSJAUR</t>
        </is>
      </c>
      <c r="F183" t="inlineStr">
        <is>
          <t>Sveaskog</t>
        </is>
      </c>
      <c r="G183" t="n">
        <v>7.2</v>
      </c>
      <c r="H183" t="n">
        <v>0</v>
      </c>
      <c r="I183" t="n">
        <v>0</v>
      </c>
      <c r="J183" t="n">
        <v>0</v>
      </c>
      <c r="K183" t="n">
        <v>0</v>
      </c>
      <c r="L183" t="n">
        <v>0</v>
      </c>
      <c r="M183" t="n">
        <v>0</v>
      </c>
      <c r="N183" t="n">
        <v>0</v>
      </c>
      <c r="O183" t="n">
        <v>0</v>
      </c>
      <c r="P183" t="n">
        <v>0</v>
      </c>
      <c r="Q183" t="n">
        <v>0</v>
      </c>
      <c r="R183" s="2" t="inlineStr"/>
    </row>
    <row r="184" ht="15" customHeight="1">
      <c r="A184" t="inlineStr">
        <is>
          <t>A 36815-2024</t>
        </is>
      </c>
      <c r="B184" s="1" t="n">
        <v>45538</v>
      </c>
      <c r="C184" s="1" t="n">
        <v>45891</v>
      </c>
      <c r="D184" t="inlineStr">
        <is>
          <t>NORRBOTTENS LÄN</t>
        </is>
      </c>
      <c r="E184" t="inlineStr">
        <is>
          <t>ARVIDSJAUR</t>
        </is>
      </c>
      <c r="G184" t="n">
        <v>6</v>
      </c>
      <c r="H184" t="n">
        <v>0</v>
      </c>
      <c r="I184" t="n">
        <v>0</v>
      </c>
      <c r="J184" t="n">
        <v>0</v>
      </c>
      <c r="K184" t="n">
        <v>0</v>
      </c>
      <c r="L184" t="n">
        <v>0</v>
      </c>
      <c r="M184" t="n">
        <v>0</v>
      </c>
      <c r="N184" t="n">
        <v>0</v>
      </c>
      <c r="O184" t="n">
        <v>0</v>
      </c>
      <c r="P184" t="n">
        <v>0</v>
      </c>
      <c r="Q184" t="n">
        <v>0</v>
      </c>
      <c r="R184" s="2" t="inlineStr"/>
    </row>
    <row r="185" ht="15" customHeight="1">
      <c r="A185" t="inlineStr">
        <is>
          <t>A 49170-2024</t>
        </is>
      </c>
      <c r="B185" s="1" t="n">
        <v>45595.305</v>
      </c>
      <c r="C185" s="1" t="n">
        <v>45891</v>
      </c>
      <c r="D185" t="inlineStr">
        <is>
          <t>NORRBOTTENS LÄN</t>
        </is>
      </c>
      <c r="E185" t="inlineStr">
        <is>
          <t>ARVIDSJAUR</t>
        </is>
      </c>
      <c r="F185" t="inlineStr">
        <is>
          <t>Sveaskog</t>
        </is>
      </c>
      <c r="G185" t="n">
        <v>10.6</v>
      </c>
      <c r="H185" t="n">
        <v>0</v>
      </c>
      <c r="I185" t="n">
        <v>0</v>
      </c>
      <c r="J185" t="n">
        <v>0</v>
      </c>
      <c r="K185" t="n">
        <v>0</v>
      </c>
      <c r="L185" t="n">
        <v>0</v>
      </c>
      <c r="M185" t="n">
        <v>0</v>
      </c>
      <c r="N185" t="n">
        <v>0</v>
      </c>
      <c r="O185" t="n">
        <v>0</v>
      </c>
      <c r="P185" t="n">
        <v>0</v>
      </c>
      <c r="Q185" t="n">
        <v>0</v>
      </c>
      <c r="R185" s="2" t="inlineStr"/>
    </row>
    <row r="186" ht="15" customHeight="1">
      <c r="A186" t="inlineStr">
        <is>
          <t>A 54341-2024</t>
        </is>
      </c>
      <c r="B186" s="1" t="n">
        <v>45617</v>
      </c>
      <c r="C186" s="1" t="n">
        <v>45891</v>
      </c>
      <c r="D186" t="inlineStr">
        <is>
          <t>NORRBOTTENS LÄN</t>
        </is>
      </c>
      <c r="E186" t="inlineStr">
        <is>
          <t>ARVIDSJAUR</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41313-2021</t>
        </is>
      </c>
      <c r="B187" s="1" t="n">
        <v>44424</v>
      </c>
      <c r="C187" s="1" t="n">
        <v>45891</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61133-2022</t>
        </is>
      </c>
      <c r="B188" s="1" t="n">
        <v>44915.44876157407</v>
      </c>
      <c r="C188" s="1" t="n">
        <v>45891</v>
      </c>
      <c r="D188" t="inlineStr">
        <is>
          <t>NORRBOTTENS LÄN</t>
        </is>
      </c>
      <c r="E188" t="inlineStr">
        <is>
          <t>ARVIDSJAUR</t>
        </is>
      </c>
      <c r="F188" t="inlineStr">
        <is>
          <t>Sveaskog</t>
        </is>
      </c>
      <c r="G188" t="n">
        <v>7.6</v>
      </c>
      <c r="H188" t="n">
        <v>0</v>
      </c>
      <c r="I188" t="n">
        <v>0</v>
      </c>
      <c r="J188" t="n">
        <v>0</v>
      </c>
      <c r="K188" t="n">
        <v>0</v>
      </c>
      <c r="L188" t="n">
        <v>0</v>
      </c>
      <c r="M188" t="n">
        <v>0</v>
      </c>
      <c r="N188" t="n">
        <v>0</v>
      </c>
      <c r="O188" t="n">
        <v>0</v>
      </c>
      <c r="P188" t="n">
        <v>0</v>
      </c>
      <c r="Q188" t="n">
        <v>0</v>
      </c>
      <c r="R188" s="2" t="inlineStr"/>
    </row>
    <row r="189" ht="15" customHeight="1">
      <c r="A189" t="inlineStr">
        <is>
          <t>A 3034-2024</t>
        </is>
      </c>
      <c r="B189" s="1" t="n">
        <v>45316</v>
      </c>
      <c r="C189" s="1" t="n">
        <v>45891</v>
      </c>
      <c r="D189" t="inlineStr">
        <is>
          <t>NORRBOTTENS LÄN</t>
        </is>
      </c>
      <c r="E189" t="inlineStr">
        <is>
          <t>ARVIDSJAUR</t>
        </is>
      </c>
      <c r="F189" t="inlineStr">
        <is>
          <t>Allmännings- och besparingsskogar</t>
        </is>
      </c>
      <c r="G189" t="n">
        <v>3.9</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45891</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40937-2024</t>
        </is>
      </c>
      <c r="B191" s="1" t="n">
        <v>45558.6424537037</v>
      </c>
      <c r="C191" s="1" t="n">
        <v>45891</v>
      </c>
      <c r="D191" t="inlineStr">
        <is>
          <t>NORRBOTTENS LÄN</t>
        </is>
      </c>
      <c r="E191" t="inlineStr">
        <is>
          <t>ARVIDSJAUR</t>
        </is>
      </c>
      <c r="F191" t="inlineStr">
        <is>
          <t>Sveaskog</t>
        </is>
      </c>
      <c r="G191" t="n">
        <v>22.6</v>
      </c>
      <c r="H191" t="n">
        <v>0</v>
      </c>
      <c r="I191" t="n">
        <v>0</v>
      </c>
      <c r="J191" t="n">
        <v>0</v>
      </c>
      <c r="K191" t="n">
        <v>0</v>
      </c>
      <c r="L191" t="n">
        <v>0</v>
      </c>
      <c r="M191" t="n">
        <v>0</v>
      </c>
      <c r="N191" t="n">
        <v>0</v>
      </c>
      <c r="O191" t="n">
        <v>0</v>
      </c>
      <c r="P191" t="n">
        <v>0</v>
      </c>
      <c r="Q191" t="n">
        <v>0</v>
      </c>
      <c r="R191" s="2" t="inlineStr"/>
    </row>
    <row r="192" ht="15" customHeight="1">
      <c r="A192" t="inlineStr">
        <is>
          <t>A 39591-2023</t>
        </is>
      </c>
      <c r="B192" s="1" t="n">
        <v>45167</v>
      </c>
      <c r="C192" s="1" t="n">
        <v>45891</v>
      </c>
      <c r="D192" t="inlineStr">
        <is>
          <t>NORRBOTTENS LÄN</t>
        </is>
      </c>
      <c r="E192" t="inlineStr">
        <is>
          <t>ARVIDSJAUR</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27742-2024</t>
        </is>
      </c>
      <c r="B193" s="1" t="n">
        <v>45475.46423611111</v>
      </c>
      <c r="C193" s="1" t="n">
        <v>45891</v>
      </c>
      <c r="D193" t="inlineStr">
        <is>
          <t>NORRBOTTENS LÄN</t>
        </is>
      </c>
      <c r="E193" t="inlineStr">
        <is>
          <t>ARVIDSJAUR</t>
        </is>
      </c>
      <c r="G193" t="n">
        <v>16.8</v>
      </c>
      <c r="H193" t="n">
        <v>0</v>
      </c>
      <c r="I193" t="n">
        <v>0</v>
      </c>
      <c r="J193" t="n">
        <v>0</v>
      </c>
      <c r="K193" t="n">
        <v>0</v>
      </c>
      <c r="L193" t="n">
        <v>0</v>
      </c>
      <c r="M193" t="n">
        <v>0</v>
      </c>
      <c r="N193" t="n">
        <v>0</v>
      </c>
      <c r="O193" t="n">
        <v>0</v>
      </c>
      <c r="P193" t="n">
        <v>0</v>
      </c>
      <c r="Q193" t="n">
        <v>0</v>
      </c>
      <c r="R193" s="2" t="inlineStr"/>
    </row>
    <row r="194" ht="15" customHeight="1">
      <c r="A194" t="inlineStr">
        <is>
          <t>A 30343-2023</t>
        </is>
      </c>
      <c r="B194" s="1" t="n">
        <v>45111</v>
      </c>
      <c r="C194" s="1" t="n">
        <v>45891</v>
      </c>
      <c r="D194" t="inlineStr">
        <is>
          <t>NORRBOTTENS LÄN</t>
        </is>
      </c>
      <c r="E194" t="inlineStr">
        <is>
          <t>ARVIDSJAUR</t>
        </is>
      </c>
      <c r="F194" t="inlineStr">
        <is>
          <t>Sveaskog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33084-2024</t>
        </is>
      </c>
      <c r="B195" s="1" t="n">
        <v>45517</v>
      </c>
      <c r="C195" s="1" t="n">
        <v>45891</v>
      </c>
      <c r="D195" t="inlineStr">
        <is>
          <t>NORRBOTTENS LÄN</t>
        </is>
      </c>
      <c r="E195" t="inlineStr">
        <is>
          <t>ARVIDSJAUR</t>
        </is>
      </c>
      <c r="G195" t="n">
        <v>0.5</v>
      </c>
      <c r="H195" t="n">
        <v>0</v>
      </c>
      <c r="I195" t="n">
        <v>0</v>
      </c>
      <c r="J195" t="n">
        <v>0</v>
      </c>
      <c r="K195" t="n">
        <v>0</v>
      </c>
      <c r="L195" t="n">
        <v>0</v>
      </c>
      <c r="M195" t="n">
        <v>0</v>
      </c>
      <c r="N195" t="n">
        <v>0</v>
      </c>
      <c r="O195" t="n">
        <v>0</v>
      </c>
      <c r="P195" t="n">
        <v>0</v>
      </c>
      <c r="Q195" t="n">
        <v>0</v>
      </c>
      <c r="R195" s="2" t="inlineStr"/>
    </row>
    <row r="196" ht="15" customHeight="1">
      <c r="A196" t="inlineStr">
        <is>
          <t>A 50043-2024</t>
        </is>
      </c>
      <c r="B196" s="1" t="n">
        <v>45597</v>
      </c>
      <c r="C196" s="1" t="n">
        <v>45891</v>
      </c>
      <c r="D196" t="inlineStr">
        <is>
          <t>NORRBOTTENS LÄN</t>
        </is>
      </c>
      <c r="E196" t="inlineStr">
        <is>
          <t>ARVIDSJAUR</t>
        </is>
      </c>
      <c r="G196" t="n">
        <v>10.4</v>
      </c>
      <c r="H196" t="n">
        <v>0</v>
      </c>
      <c r="I196" t="n">
        <v>0</v>
      </c>
      <c r="J196" t="n">
        <v>0</v>
      </c>
      <c r="K196" t="n">
        <v>0</v>
      </c>
      <c r="L196" t="n">
        <v>0</v>
      </c>
      <c r="M196" t="n">
        <v>0</v>
      </c>
      <c r="N196" t="n">
        <v>0</v>
      </c>
      <c r="O196" t="n">
        <v>0</v>
      </c>
      <c r="P196" t="n">
        <v>0</v>
      </c>
      <c r="Q196" t="n">
        <v>0</v>
      </c>
      <c r="R196" s="2" t="inlineStr"/>
    </row>
    <row r="197" ht="15" customHeight="1">
      <c r="A197" t="inlineStr">
        <is>
          <t>A 4937-2024</t>
        </is>
      </c>
      <c r="B197" s="1" t="n">
        <v>45329</v>
      </c>
      <c r="C197" s="1" t="n">
        <v>45891</v>
      </c>
      <c r="D197" t="inlineStr">
        <is>
          <t>NORRBOTTENS LÄN</t>
        </is>
      </c>
      <c r="E197" t="inlineStr">
        <is>
          <t>ARVIDSJAUR</t>
        </is>
      </c>
      <c r="F197" t="inlineStr">
        <is>
          <t>Sveaskog</t>
        </is>
      </c>
      <c r="G197" t="n">
        <v>0.4</v>
      </c>
      <c r="H197" t="n">
        <v>0</v>
      </c>
      <c r="I197" t="n">
        <v>0</v>
      </c>
      <c r="J197" t="n">
        <v>0</v>
      </c>
      <c r="K197" t="n">
        <v>0</v>
      </c>
      <c r="L197" t="n">
        <v>0</v>
      </c>
      <c r="M197" t="n">
        <v>0</v>
      </c>
      <c r="N197" t="n">
        <v>0</v>
      </c>
      <c r="O197" t="n">
        <v>0</v>
      </c>
      <c r="P197" t="n">
        <v>0</v>
      </c>
      <c r="Q197" t="n">
        <v>0</v>
      </c>
      <c r="R197" s="2" t="inlineStr"/>
    </row>
    <row r="198" ht="15" customHeight="1">
      <c r="A198" t="inlineStr">
        <is>
          <t>A 2392-2025</t>
        </is>
      </c>
      <c r="B198" s="1" t="n">
        <v>45674</v>
      </c>
      <c r="C198" s="1" t="n">
        <v>45891</v>
      </c>
      <c r="D198" t="inlineStr">
        <is>
          <t>NORRBOTTENS LÄN</t>
        </is>
      </c>
      <c r="E198" t="inlineStr">
        <is>
          <t>ARVIDSJAUR</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21704-2024</t>
        </is>
      </c>
      <c r="B199" s="1" t="n">
        <v>45442</v>
      </c>
      <c r="C199" s="1" t="n">
        <v>45891</v>
      </c>
      <c r="D199" t="inlineStr">
        <is>
          <t>NORRBOTTENS LÄN</t>
        </is>
      </c>
      <c r="E199" t="inlineStr">
        <is>
          <t>ARVIDSJAUR</t>
        </is>
      </c>
      <c r="G199" t="n">
        <v>3.1</v>
      </c>
      <c r="H199" t="n">
        <v>0</v>
      </c>
      <c r="I199" t="n">
        <v>0</v>
      </c>
      <c r="J199" t="n">
        <v>0</v>
      </c>
      <c r="K199" t="n">
        <v>0</v>
      </c>
      <c r="L199" t="n">
        <v>0</v>
      </c>
      <c r="M199" t="n">
        <v>0</v>
      </c>
      <c r="N199" t="n">
        <v>0</v>
      </c>
      <c r="O199" t="n">
        <v>0</v>
      </c>
      <c r="P199" t="n">
        <v>0</v>
      </c>
      <c r="Q199" t="n">
        <v>0</v>
      </c>
      <c r="R199" s="2" t="inlineStr"/>
    </row>
    <row r="200" ht="15" customHeight="1">
      <c r="A200" t="inlineStr">
        <is>
          <t>A 42842-2024</t>
        </is>
      </c>
      <c r="B200" s="1" t="n">
        <v>45566</v>
      </c>
      <c r="C200" s="1" t="n">
        <v>45891</v>
      </c>
      <c r="D200" t="inlineStr">
        <is>
          <t>NORRBOTTENS LÄN</t>
        </is>
      </c>
      <c r="E200" t="inlineStr">
        <is>
          <t>ARVIDSJAUR</t>
        </is>
      </c>
      <c r="F200" t="inlineStr">
        <is>
          <t>Sveaskog</t>
        </is>
      </c>
      <c r="G200" t="n">
        <v>4.8</v>
      </c>
      <c r="H200" t="n">
        <v>0</v>
      </c>
      <c r="I200" t="n">
        <v>0</v>
      </c>
      <c r="J200" t="n">
        <v>0</v>
      </c>
      <c r="K200" t="n">
        <v>0</v>
      </c>
      <c r="L200" t="n">
        <v>0</v>
      </c>
      <c r="M200" t="n">
        <v>0</v>
      </c>
      <c r="N200" t="n">
        <v>0</v>
      </c>
      <c r="O200" t="n">
        <v>0</v>
      </c>
      <c r="P200" t="n">
        <v>0</v>
      </c>
      <c r="Q200" t="n">
        <v>0</v>
      </c>
      <c r="R200" s="2" t="inlineStr"/>
    </row>
    <row r="201" ht="15" customHeight="1">
      <c r="A201" t="inlineStr">
        <is>
          <t>A 42862-2024</t>
        </is>
      </c>
      <c r="B201" s="1" t="n">
        <v>45566</v>
      </c>
      <c r="C201" s="1" t="n">
        <v>45891</v>
      </c>
      <c r="D201" t="inlineStr">
        <is>
          <t>NORRBOTTENS LÄN</t>
        </is>
      </c>
      <c r="E201" t="inlineStr">
        <is>
          <t>ARVIDSJAUR</t>
        </is>
      </c>
      <c r="F201" t="inlineStr">
        <is>
          <t>Sveaskog</t>
        </is>
      </c>
      <c r="G201" t="n">
        <v>26.6</v>
      </c>
      <c r="H201" t="n">
        <v>0</v>
      </c>
      <c r="I201" t="n">
        <v>0</v>
      </c>
      <c r="J201" t="n">
        <v>0</v>
      </c>
      <c r="K201" t="n">
        <v>0</v>
      </c>
      <c r="L201" t="n">
        <v>0</v>
      </c>
      <c r="M201" t="n">
        <v>0</v>
      </c>
      <c r="N201" t="n">
        <v>0</v>
      </c>
      <c r="O201" t="n">
        <v>0</v>
      </c>
      <c r="P201" t="n">
        <v>0</v>
      </c>
      <c r="Q201" t="n">
        <v>0</v>
      </c>
      <c r="R201" s="2" t="inlineStr"/>
    </row>
    <row r="202" ht="15" customHeight="1">
      <c r="A202" t="inlineStr">
        <is>
          <t>A 54218-2024</t>
        </is>
      </c>
      <c r="B202" s="1" t="n">
        <v>45616</v>
      </c>
      <c r="C202" s="1" t="n">
        <v>45891</v>
      </c>
      <c r="D202" t="inlineStr">
        <is>
          <t>NORRBOTTENS LÄN</t>
        </is>
      </c>
      <c r="E202" t="inlineStr">
        <is>
          <t>ARVIDSJAUR</t>
        </is>
      </c>
      <c r="G202" t="n">
        <v>4.4</v>
      </c>
      <c r="H202" t="n">
        <v>0</v>
      </c>
      <c r="I202" t="n">
        <v>0</v>
      </c>
      <c r="J202" t="n">
        <v>0</v>
      </c>
      <c r="K202" t="n">
        <v>0</v>
      </c>
      <c r="L202" t="n">
        <v>0</v>
      </c>
      <c r="M202" t="n">
        <v>0</v>
      </c>
      <c r="N202" t="n">
        <v>0</v>
      </c>
      <c r="O202" t="n">
        <v>0</v>
      </c>
      <c r="P202" t="n">
        <v>0</v>
      </c>
      <c r="Q202" t="n">
        <v>0</v>
      </c>
      <c r="R202" s="2" t="inlineStr"/>
    </row>
    <row r="203" ht="15" customHeight="1">
      <c r="A203" t="inlineStr">
        <is>
          <t>A 30752-2023</t>
        </is>
      </c>
      <c r="B203" s="1" t="n">
        <v>45103</v>
      </c>
      <c r="C203" s="1" t="n">
        <v>45891</v>
      </c>
      <c r="D203" t="inlineStr">
        <is>
          <t>NORRBOTTENS LÄN</t>
        </is>
      </c>
      <c r="E203" t="inlineStr">
        <is>
          <t>ARVIDSJAUR</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36791-2024</t>
        </is>
      </c>
      <c r="B204" s="1" t="n">
        <v>45538</v>
      </c>
      <c r="C204" s="1" t="n">
        <v>45891</v>
      </c>
      <c r="D204" t="inlineStr">
        <is>
          <t>NORRBOTTENS LÄN</t>
        </is>
      </c>
      <c r="E204" t="inlineStr">
        <is>
          <t>ARVIDSJAUR</t>
        </is>
      </c>
      <c r="G204" t="n">
        <v>1.5</v>
      </c>
      <c r="H204" t="n">
        <v>0</v>
      </c>
      <c r="I204" t="n">
        <v>0</v>
      </c>
      <c r="J204" t="n">
        <v>0</v>
      </c>
      <c r="K204" t="n">
        <v>0</v>
      </c>
      <c r="L204" t="n">
        <v>0</v>
      </c>
      <c r="M204" t="n">
        <v>0</v>
      </c>
      <c r="N204" t="n">
        <v>0</v>
      </c>
      <c r="O204" t="n">
        <v>0</v>
      </c>
      <c r="P204" t="n">
        <v>0</v>
      </c>
      <c r="Q204" t="n">
        <v>0</v>
      </c>
      <c r="R204" s="2" t="inlineStr"/>
    </row>
    <row r="205" ht="15" customHeight="1">
      <c r="A205" t="inlineStr">
        <is>
          <t>A 50111-2024</t>
        </is>
      </c>
      <c r="B205" s="1" t="n">
        <v>45600</v>
      </c>
      <c r="C205" s="1" t="n">
        <v>45891</v>
      </c>
      <c r="D205" t="inlineStr">
        <is>
          <t>NORRBOTTENS LÄN</t>
        </is>
      </c>
      <c r="E205" t="inlineStr">
        <is>
          <t>ARVIDSJAUR</t>
        </is>
      </c>
      <c r="F205" t="inlineStr">
        <is>
          <t>Sveaskog</t>
        </is>
      </c>
      <c r="G205" t="n">
        <v>4</v>
      </c>
      <c r="H205" t="n">
        <v>0</v>
      </c>
      <c r="I205" t="n">
        <v>0</v>
      </c>
      <c r="J205" t="n">
        <v>0</v>
      </c>
      <c r="K205" t="n">
        <v>0</v>
      </c>
      <c r="L205" t="n">
        <v>0</v>
      </c>
      <c r="M205" t="n">
        <v>0</v>
      </c>
      <c r="N205" t="n">
        <v>0</v>
      </c>
      <c r="O205" t="n">
        <v>0</v>
      </c>
      <c r="P205" t="n">
        <v>0</v>
      </c>
      <c r="Q205" t="n">
        <v>0</v>
      </c>
      <c r="R205" s="2" t="inlineStr"/>
    </row>
    <row r="206" ht="15" customHeight="1">
      <c r="A206" t="inlineStr">
        <is>
          <t>A 39845-2023</t>
        </is>
      </c>
      <c r="B206" s="1" t="n">
        <v>45166</v>
      </c>
      <c r="C206" s="1" t="n">
        <v>45891</v>
      </c>
      <c r="D206" t="inlineStr">
        <is>
          <t>NORRBOTTENS LÄN</t>
        </is>
      </c>
      <c r="E206" t="inlineStr">
        <is>
          <t>ARVIDSJAUR</t>
        </is>
      </c>
      <c r="G206" t="n">
        <v>1.1</v>
      </c>
      <c r="H206" t="n">
        <v>0</v>
      </c>
      <c r="I206" t="n">
        <v>0</v>
      </c>
      <c r="J206" t="n">
        <v>0</v>
      </c>
      <c r="K206" t="n">
        <v>0</v>
      </c>
      <c r="L206" t="n">
        <v>0</v>
      </c>
      <c r="M206" t="n">
        <v>0</v>
      </c>
      <c r="N206" t="n">
        <v>0</v>
      </c>
      <c r="O206" t="n">
        <v>0</v>
      </c>
      <c r="P206" t="n">
        <v>0</v>
      </c>
      <c r="Q206" t="n">
        <v>0</v>
      </c>
      <c r="R206" s="2" t="inlineStr"/>
    </row>
    <row r="207" ht="15" customHeight="1">
      <c r="A207" t="inlineStr">
        <is>
          <t>A 26684-2024</t>
        </is>
      </c>
      <c r="B207" s="1" t="n">
        <v>45470.35256944445</v>
      </c>
      <c r="C207" s="1" t="n">
        <v>45891</v>
      </c>
      <c r="D207" t="inlineStr">
        <is>
          <t>NORRBOTTENS LÄN</t>
        </is>
      </c>
      <c r="E207" t="inlineStr">
        <is>
          <t>ARVIDSJAUR</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26689-2024</t>
        </is>
      </c>
      <c r="B208" s="1" t="n">
        <v>45470.35973379629</v>
      </c>
      <c r="C208" s="1" t="n">
        <v>45891</v>
      </c>
      <c r="D208" t="inlineStr">
        <is>
          <t>NORRBOTTENS LÄN</t>
        </is>
      </c>
      <c r="E208" t="inlineStr">
        <is>
          <t>ARVIDSJAUR</t>
        </is>
      </c>
      <c r="F208" t="inlineStr">
        <is>
          <t>Sveaskog</t>
        </is>
      </c>
      <c r="G208" t="n">
        <v>11.8</v>
      </c>
      <c r="H208" t="n">
        <v>0</v>
      </c>
      <c r="I208" t="n">
        <v>0</v>
      </c>
      <c r="J208" t="n">
        <v>0</v>
      </c>
      <c r="K208" t="n">
        <v>0</v>
      </c>
      <c r="L208" t="n">
        <v>0</v>
      </c>
      <c r="M208" t="n">
        <v>0</v>
      </c>
      <c r="N208" t="n">
        <v>0</v>
      </c>
      <c r="O208" t="n">
        <v>0</v>
      </c>
      <c r="P208" t="n">
        <v>0</v>
      </c>
      <c r="Q208" t="n">
        <v>0</v>
      </c>
      <c r="R208" s="2" t="inlineStr"/>
    </row>
    <row r="209" ht="15" customHeight="1">
      <c r="A209" t="inlineStr">
        <is>
          <t>A 38472-2024</t>
        </is>
      </c>
      <c r="B209" s="1" t="n">
        <v>45546</v>
      </c>
      <c r="C209" s="1" t="n">
        <v>45891</v>
      </c>
      <c r="D209" t="inlineStr">
        <is>
          <t>NORRBOTTENS LÄN</t>
        </is>
      </c>
      <c r="E209" t="inlineStr">
        <is>
          <t>ARVIDSJAUR</t>
        </is>
      </c>
      <c r="G209" t="n">
        <v>3.6</v>
      </c>
      <c r="H209" t="n">
        <v>0</v>
      </c>
      <c r="I209" t="n">
        <v>0</v>
      </c>
      <c r="J209" t="n">
        <v>0</v>
      </c>
      <c r="K209" t="n">
        <v>0</v>
      </c>
      <c r="L209" t="n">
        <v>0</v>
      </c>
      <c r="M209" t="n">
        <v>0</v>
      </c>
      <c r="N209" t="n">
        <v>0</v>
      </c>
      <c r="O209" t="n">
        <v>0</v>
      </c>
      <c r="P209" t="n">
        <v>0</v>
      </c>
      <c r="Q209" t="n">
        <v>0</v>
      </c>
      <c r="R209" s="2" t="inlineStr"/>
    </row>
    <row r="210" ht="15" customHeight="1">
      <c r="A210" t="inlineStr">
        <is>
          <t>A 11535-2025</t>
        </is>
      </c>
      <c r="B210" s="1" t="n">
        <v>45726</v>
      </c>
      <c r="C210" s="1" t="n">
        <v>45891</v>
      </c>
      <c r="D210" t="inlineStr">
        <is>
          <t>NORRBOTTENS LÄN</t>
        </is>
      </c>
      <c r="E210" t="inlineStr">
        <is>
          <t>ARVIDSJAUR</t>
        </is>
      </c>
      <c r="F210" t="inlineStr">
        <is>
          <t>Allmännings- och besparingsskogar</t>
        </is>
      </c>
      <c r="G210" t="n">
        <v>10.3</v>
      </c>
      <c r="H210" t="n">
        <v>0</v>
      </c>
      <c r="I210" t="n">
        <v>0</v>
      </c>
      <c r="J210" t="n">
        <v>0</v>
      </c>
      <c r="K210" t="n">
        <v>0</v>
      </c>
      <c r="L210" t="n">
        <v>0</v>
      </c>
      <c r="M210" t="n">
        <v>0</v>
      </c>
      <c r="N210" t="n">
        <v>0</v>
      </c>
      <c r="O210" t="n">
        <v>0</v>
      </c>
      <c r="P210" t="n">
        <v>0</v>
      </c>
      <c r="Q210" t="n">
        <v>0</v>
      </c>
      <c r="R210" s="2" t="inlineStr"/>
    </row>
    <row r="211" ht="15" customHeight="1">
      <c r="A211" t="inlineStr">
        <is>
          <t>A 11539-2025</t>
        </is>
      </c>
      <c r="B211" s="1" t="n">
        <v>45726</v>
      </c>
      <c r="C211" s="1" t="n">
        <v>45891</v>
      </c>
      <c r="D211" t="inlineStr">
        <is>
          <t>NORRBOTTENS LÄN</t>
        </is>
      </c>
      <c r="E211" t="inlineStr">
        <is>
          <t>ARVIDSJAUR</t>
        </is>
      </c>
      <c r="F211" t="inlineStr">
        <is>
          <t>Allmännings- och besparingsskogar</t>
        </is>
      </c>
      <c r="G211" t="n">
        <v>14.3</v>
      </c>
      <c r="H211" t="n">
        <v>0</v>
      </c>
      <c r="I211" t="n">
        <v>0</v>
      </c>
      <c r="J211" t="n">
        <v>0</v>
      </c>
      <c r="K211" t="n">
        <v>0</v>
      </c>
      <c r="L211" t="n">
        <v>0</v>
      </c>
      <c r="M211" t="n">
        <v>0</v>
      </c>
      <c r="N211" t="n">
        <v>0</v>
      </c>
      <c r="O211" t="n">
        <v>0</v>
      </c>
      <c r="P211" t="n">
        <v>0</v>
      </c>
      <c r="Q211" t="n">
        <v>0</v>
      </c>
      <c r="R211" s="2" t="inlineStr"/>
    </row>
    <row r="212" ht="15" customHeight="1">
      <c r="A212" t="inlineStr">
        <is>
          <t>A 32605-2024</t>
        </is>
      </c>
      <c r="B212" s="1" t="n">
        <v>45513</v>
      </c>
      <c r="C212" s="1" t="n">
        <v>45891</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40937-2023</t>
        </is>
      </c>
      <c r="B213" s="1" t="n">
        <v>45173</v>
      </c>
      <c r="C213" s="1" t="n">
        <v>45891</v>
      </c>
      <c r="D213" t="inlineStr">
        <is>
          <t>NORRBOTTENS LÄN</t>
        </is>
      </c>
      <c r="E213" t="inlineStr">
        <is>
          <t>ARVIDSJAUR</t>
        </is>
      </c>
      <c r="F213" t="inlineStr">
        <is>
          <t>Övriga Aktiebolag</t>
        </is>
      </c>
      <c r="G213" t="n">
        <v>2.9</v>
      </c>
      <c r="H213" t="n">
        <v>0</v>
      </c>
      <c r="I213" t="n">
        <v>0</v>
      </c>
      <c r="J213" t="n">
        <v>0</v>
      </c>
      <c r="K213" t="n">
        <v>0</v>
      </c>
      <c r="L213" t="n">
        <v>0</v>
      </c>
      <c r="M213" t="n">
        <v>0</v>
      </c>
      <c r="N213" t="n">
        <v>0</v>
      </c>
      <c r="O213" t="n">
        <v>0</v>
      </c>
      <c r="P213" t="n">
        <v>0</v>
      </c>
      <c r="Q213" t="n">
        <v>0</v>
      </c>
      <c r="R213" s="2" t="inlineStr"/>
    </row>
    <row r="214" ht="15" customHeight="1">
      <c r="A214" t="inlineStr">
        <is>
          <t>A 11620-2025</t>
        </is>
      </c>
      <c r="B214" s="1" t="n">
        <v>45726</v>
      </c>
      <c r="C214" s="1" t="n">
        <v>45891</v>
      </c>
      <c r="D214" t="inlineStr">
        <is>
          <t>NORRBOTTENS LÄN</t>
        </is>
      </c>
      <c r="E214" t="inlineStr">
        <is>
          <t>ARVIDSJAUR</t>
        </is>
      </c>
      <c r="F214" t="inlineStr">
        <is>
          <t>Allmännings- och besparingsskogar</t>
        </is>
      </c>
      <c r="G214" t="n">
        <v>14.1</v>
      </c>
      <c r="H214" t="n">
        <v>0</v>
      </c>
      <c r="I214" t="n">
        <v>0</v>
      </c>
      <c r="J214" t="n">
        <v>0</v>
      </c>
      <c r="K214" t="n">
        <v>0</v>
      </c>
      <c r="L214" t="n">
        <v>0</v>
      </c>
      <c r="M214" t="n">
        <v>0</v>
      </c>
      <c r="N214" t="n">
        <v>0</v>
      </c>
      <c r="O214" t="n">
        <v>0</v>
      </c>
      <c r="P214" t="n">
        <v>0</v>
      </c>
      <c r="Q214" t="n">
        <v>0</v>
      </c>
      <c r="R214" s="2" t="inlineStr"/>
    </row>
    <row r="215" ht="15" customHeight="1">
      <c r="A215" t="inlineStr">
        <is>
          <t>A 40940-2024</t>
        </is>
      </c>
      <c r="B215" s="1" t="n">
        <v>45558.64387731482</v>
      </c>
      <c r="C215" s="1" t="n">
        <v>45891</v>
      </c>
      <c r="D215" t="inlineStr">
        <is>
          <t>NORRBOTTENS LÄN</t>
        </is>
      </c>
      <c r="E215" t="inlineStr">
        <is>
          <t>ARVIDSJAUR</t>
        </is>
      </c>
      <c r="F215" t="inlineStr">
        <is>
          <t>Sveaskog</t>
        </is>
      </c>
      <c r="G215" t="n">
        <v>15.4</v>
      </c>
      <c r="H215" t="n">
        <v>0</v>
      </c>
      <c r="I215" t="n">
        <v>0</v>
      </c>
      <c r="J215" t="n">
        <v>0</v>
      </c>
      <c r="K215" t="n">
        <v>0</v>
      </c>
      <c r="L215" t="n">
        <v>0</v>
      </c>
      <c r="M215" t="n">
        <v>0</v>
      </c>
      <c r="N215" t="n">
        <v>0</v>
      </c>
      <c r="O215" t="n">
        <v>0</v>
      </c>
      <c r="P215" t="n">
        <v>0</v>
      </c>
      <c r="Q215" t="n">
        <v>0</v>
      </c>
      <c r="R215" s="2" t="inlineStr"/>
    </row>
    <row r="216" ht="15" customHeight="1">
      <c r="A216" t="inlineStr">
        <is>
          <t>A 7327-2025</t>
        </is>
      </c>
      <c r="B216" s="1" t="n">
        <v>45702</v>
      </c>
      <c r="C216" s="1" t="n">
        <v>45891</v>
      </c>
      <c r="D216" t="inlineStr">
        <is>
          <t>NORRBOTTENS LÄN</t>
        </is>
      </c>
      <c r="E216" t="inlineStr">
        <is>
          <t>ARVIDSJAUR</t>
        </is>
      </c>
      <c r="G216" t="n">
        <v>1.6</v>
      </c>
      <c r="H216" t="n">
        <v>0</v>
      </c>
      <c r="I216" t="n">
        <v>0</v>
      </c>
      <c r="J216" t="n">
        <v>0</v>
      </c>
      <c r="K216" t="n">
        <v>0</v>
      </c>
      <c r="L216" t="n">
        <v>0</v>
      </c>
      <c r="M216" t="n">
        <v>0</v>
      </c>
      <c r="N216" t="n">
        <v>0</v>
      </c>
      <c r="O216" t="n">
        <v>0</v>
      </c>
      <c r="P216" t="n">
        <v>0</v>
      </c>
      <c r="Q216" t="n">
        <v>0</v>
      </c>
      <c r="R216" s="2" t="inlineStr"/>
    </row>
    <row r="217" ht="15" customHeight="1">
      <c r="A217" t="inlineStr">
        <is>
          <t>A 10832-2025</t>
        </is>
      </c>
      <c r="B217" s="1" t="n">
        <v>45722</v>
      </c>
      <c r="C217" s="1" t="n">
        <v>45891</v>
      </c>
      <c r="D217" t="inlineStr">
        <is>
          <t>NORRBOTTENS LÄN</t>
        </is>
      </c>
      <c r="E217" t="inlineStr">
        <is>
          <t>ARVIDSJAUR</t>
        </is>
      </c>
      <c r="G217" t="n">
        <v>1</v>
      </c>
      <c r="H217" t="n">
        <v>0</v>
      </c>
      <c r="I217" t="n">
        <v>0</v>
      </c>
      <c r="J217" t="n">
        <v>0</v>
      </c>
      <c r="K217" t="n">
        <v>0</v>
      </c>
      <c r="L217" t="n">
        <v>0</v>
      </c>
      <c r="M217" t="n">
        <v>0</v>
      </c>
      <c r="N217" t="n">
        <v>0</v>
      </c>
      <c r="O217" t="n">
        <v>0</v>
      </c>
      <c r="P217" t="n">
        <v>0</v>
      </c>
      <c r="Q217" t="n">
        <v>0</v>
      </c>
      <c r="R217" s="2" t="inlineStr"/>
    </row>
    <row r="218" ht="15" customHeight="1">
      <c r="A218" t="inlineStr">
        <is>
          <t>A 10852-2025</t>
        </is>
      </c>
      <c r="B218" s="1" t="n">
        <v>45722</v>
      </c>
      <c r="C218" s="1" t="n">
        <v>45891</v>
      </c>
      <c r="D218" t="inlineStr">
        <is>
          <t>NORRBOTTENS LÄN</t>
        </is>
      </c>
      <c r="E218" t="inlineStr">
        <is>
          <t>ARVIDSJAUR</t>
        </is>
      </c>
      <c r="F218" t="inlineStr">
        <is>
          <t>Sveaskog</t>
        </is>
      </c>
      <c r="G218" t="n">
        <v>7</v>
      </c>
      <c r="H218" t="n">
        <v>0</v>
      </c>
      <c r="I218" t="n">
        <v>0</v>
      </c>
      <c r="J218" t="n">
        <v>0</v>
      </c>
      <c r="K218" t="n">
        <v>0</v>
      </c>
      <c r="L218" t="n">
        <v>0</v>
      </c>
      <c r="M218" t="n">
        <v>0</v>
      </c>
      <c r="N218" t="n">
        <v>0</v>
      </c>
      <c r="O218" t="n">
        <v>0</v>
      </c>
      <c r="P218" t="n">
        <v>0</v>
      </c>
      <c r="Q218" t="n">
        <v>0</v>
      </c>
      <c r="R218" s="2" t="inlineStr"/>
    </row>
    <row r="219" ht="15" customHeight="1">
      <c r="A219" t="inlineStr">
        <is>
          <t>A 54336-2024</t>
        </is>
      </c>
      <c r="B219" s="1" t="n">
        <v>45617.38408564815</v>
      </c>
      <c r="C219" s="1" t="n">
        <v>45891</v>
      </c>
      <c r="D219" t="inlineStr">
        <is>
          <t>NORRBOTTENS LÄN</t>
        </is>
      </c>
      <c r="E219" t="inlineStr">
        <is>
          <t>ARVIDSJAUR</t>
        </is>
      </c>
      <c r="F219" t="inlineStr">
        <is>
          <t>Sveaskog</t>
        </is>
      </c>
      <c r="G219" t="n">
        <v>5.5</v>
      </c>
      <c r="H219" t="n">
        <v>0</v>
      </c>
      <c r="I219" t="n">
        <v>0</v>
      </c>
      <c r="J219" t="n">
        <v>0</v>
      </c>
      <c r="K219" t="n">
        <v>0</v>
      </c>
      <c r="L219" t="n">
        <v>0</v>
      </c>
      <c r="M219" t="n">
        <v>0</v>
      </c>
      <c r="N219" t="n">
        <v>0</v>
      </c>
      <c r="O219" t="n">
        <v>0</v>
      </c>
      <c r="P219" t="n">
        <v>0</v>
      </c>
      <c r="Q219" t="n">
        <v>0</v>
      </c>
      <c r="R219" s="2" t="inlineStr"/>
    </row>
    <row r="220" ht="15" customHeight="1">
      <c r="A220" t="inlineStr">
        <is>
          <t>A 10130-2024</t>
        </is>
      </c>
      <c r="B220" s="1" t="n">
        <v>45364</v>
      </c>
      <c r="C220" s="1" t="n">
        <v>45891</v>
      </c>
      <c r="D220" t="inlineStr">
        <is>
          <t>NORRBOTTENS LÄN</t>
        </is>
      </c>
      <c r="E220" t="inlineStr">
        <is>
          <t>ARVIDSJAUR</t>
        </is>
      </c>
      <c r="F220" t="inlineStr">
        <is>
          <t>Sveaskog</t>
        </is>
      </c>
      <c r="G220" t="n">
        <v>22.5</v>
      </c>
      <c r="H220" t="n">
        <v>0</v>
      </c>
      <c r="I220" t="n">
        <v>0</v>
      </c>
      <c r="J220" t="n">
        <v>0</v>
      </c>
      <c r="K220" t="n">
        <v>0</v>
      </c>
      <c r="L220" t="n">
        <v>0</v>
      </c>
      <c r="M220" t="n">
        <v>0</v>
      </c>
      <c r="N220" t="n">
        <v>0</v>
      </c>
      <c r="O220" t="n">
        <v>0</v>
      </c>
      <c r="P220" t="n">
        <v>0</v>
      </c>
      <c r="Q220" t="n">
        <v>0</v>
      </c>
      <c r="R220" s="2" t="inlineStr"/>
    </row>
    <row r="221" ht="15" customHeight="1">
      <c r="A221" t="inlineStr">
        <is>
          <t>A 11537-2025</t>
        </is>
      </c>
      <c r="B221" s="1" t="n">
        <v>45726</v>
      </c>
      <c r="C221" s="1" t="n">
        <v>45891</v>
      </c>
      <c r="D221" t="inlineStr">
        <is>
          <t>NORRBOTTENS LÄN</t>
        </is>
      </c>
      <c r="E221" t="inlineStr">
        <is>
          <t>ARVIDSJAUR</t>
        </is>
      </c>
      <c r="F221" t="inlineStr">
        <is>
          <t>Allmännings- och besparingsskogar</t>
        </is>
      </c>
      <c r="G221" t="n">
        <v>9.1</v>
      </c>
      <c r="H221" t="n">
        <v>0</v>
      </c>
      <c r="I221" t="n">
        <v>0</v>
      </c>
      <c r="J221" t="n">
        <v>0</v>
      </c>
      <c r="K221" t="n">
        <v>0</v>
      </c>
      <c r="L221" t="n">
        <v>0</v>
      </c>
      <c r="M221" t="n">
        <v>0</v>
      </c>
      <c r="N221" t="n">
        <v>0</v>
      </c>
      <c r="O221" t="n">
        <v>0</v>
      </c>
      <c r="P221" t="n">
        <v>0</v>
      </c>
      <c r="Q221" t="n">
        <v>0</v>
      </c>
      <c r="R221" s="2" t="inlineStr"/>
    </row>
    <row r="222" ht="15" customHeight="1">
      <c r="A222" t="inlineStr">
        <is>
          <t>A 11571-2025</t>
        </is>
      </c>
      <c r="B222" s="1" t="n">
        <v>45726</v>
      </c>
      <c r="C222" s="1" t="n">
        <v>45891</v>
      </c>
      <c r="D222" t="inlineStr">
        <is>
          <t>NORRBOTTENS LÄN</t>
        </is>
      </c>
      <c r="E222" t="inlineStr">
        <is>
          <t>ARVIDSJAUR</t>
        </is>
      </c>
      <c r="F222" t="inlineStr">
        <is>
          <t>Allmännings- och besparingsskogar</t>
        </is>
      </c>
      <c r="G222" t="n">
        <v>1.3</v>
      </c>
      <c r="H222" t="n">
        <v>0</v>
      </c>
      <c r="I222" t="n">
        <v>0</v>
      </c>
      <c r="J222" t="n">
        <v>0</v>
      </c>
      <c r="K222" t="n">
        <v>0</v>
      </c>
      <c r="L222" t="n">
        <v>0</v>
      </c>
      <c r="M222" t="n">
        <v>0</v>
      </c>
      <c r="N222" t="n">
        <v>0</v>
      </c>
      <c r="O222" t="n">
        <v>0</v>
      </c>
      <c r="P222" t="n">
        <v>0</v>
      </c>
      <c r="Q222" t="n">
        <v>0</v>
      </c>
      <c r="R222" s="2" t="inlineStr"/>
    </row>
    <row r="223" ht="15" customHeight="1">
      <c r="A223" t="inlineStr">
        <is>
          <t>A 36400-2022</t>
        </is>
      </c>
      <c r="B223" s="1" t="n">
        <v>44804</v>
      </c>
      <c r="C223" s="1" t="n">
        <v>45891</v>
      </c>
      <c r="D223" t="inlineStr">
        <is>
          <t>NORRBOTTENS LÄN</t>
        </is>
      </c>
      <c r="E223" t="inlineStr">
        <is>
          <t>ARVIDSJAUR</t>
        </is>
      </c>
      <c r="G223" t="n">
        <v>0.8</v>
      </c>
      <c r="H223" t="n">
        <v>0</v>
      </c>
      <c r="I223" t="n">
        <v>0</v>
      </c>
      <c r="J223" t="n">
        <v>0</v>
      </c>
      <c r="K223" t="n">
        <v>0</v>
      </c>
      <c r="L223" t="n">
        <v>0</v>
      </c>
      <c r="M223" t="n">
        <v>0</v>
      </c>
      <c r="N223" t="n">
        <v>0</v>
      </c>
      <c r="O223" t="n">
        <v>0</v>
      </c>
      <c r="P223" t="n">
        <v>0</v>
      </c>
      <c r="Q223" t="n">
        <v>0</v>
      </c>
      <c r="R223" s="2" t="inlineStr"/>
    </row>
    <row r="224" ht="15" customHeight="1">
      <c r="A224" t="inlineStr">
        <is>
          <t>A 3165-2024</t>
        </is>
      </c>
      <c r="B224" s="1" t="n">
        <v>45316</v>
      </c>
      <c r="C224" s="1" t="n">
        <v>45891</v>
      </c>
      <c r="D224" t="inlineStr">
        <is>
          <t>NORRBOTTENS LÄN</t>
        </is>
      </c>
      <c r="E224" t="inlineStr">
        <is>
          <t>ARVIDSJAUR</t>
        </is>
      </c>
      <c r="F224" t="inlineStr">
        <is>
          <t>Allmännings- och besparingsskogar</t>
        </is>
      </c>
      <c r="G224" t="n">
        <v>6.9</v>
      </c>
      <c r="H224" t="n">
        <v>0</v>
      </c>
      <c r="I224" t="n">
        <v>0</v>
      </c>
      <c r="J224" t="n">
        <v>0</v>
      </c>
      <c r="K224" t="n">
        <v>0</v>
      </c>
      <c r="L224" t="n">
        <v>0</v>
      </c>
      <c r="M224" t="n">
        <v>0</v>
      </c>
      <c r="N224" t="n">
        <v>0</v>
      </c>
      <c r="O224" t="n">
        <v>0</v>
      </c>
      <c r="P224" t="n">
        <v>0</v>
      </c>
      <c r="Q224" t="n">
        <v>0</v>
      </c>
      <c r="R224" s="2" t="inlineStr"/>
    </row>
    <row r="225" ht="15" customHeight="1">
      <c r="A225" t="inlineStr">
        <is>
          <t>A 23592-2024</t>
        </is>
      </c>
      <c r="B225" s="1" t="n">
        <v>45454</v>
      </c>
      <c r="C225" s="1" t="n">
        <v>45891</v>
      </c>
      <c r="D225" t="inlineStr">
        <is>
          <t>NORRBOTTENS LÄN</t>
        </is>
      </c>
      <c r="E225" t="inlineStr">
        <is>
          <t>ARVIDSJAUR</t>
        </is>
      </c>
      <c r="G225" t="n">
        <v>2.4</v>
      </c>
      <c r="H225" t="n">
        <v>0</v>
      </c>
      <c r="I225" t="n">
        <v>0</v>
      </c>
      <c r="J225" t="n">
        <v>0</v>
      </c>
      <c r="K225" t="n">
        <v>0</v>
      </c>
      <c r="L225" t="n">
        <v>0</v>
      </c>
      <c r="M225" t="n">
        <v>0</v>
      </c>
      <c r="N225" t="n">
        <v>0</v>
      </c>
      <c r="O225" t="n">
        <v>0</v>
      </c>
      <c r="P225" t="n">
        <v>0</v>
      </c>
      <c r="Q225" t="n">
        <v>0</v>
      </c>
      <c r="R225" s="2" t="inlineStr"/>
    </row>
    <row r="226" ht="15" customHeight="1">
      <c r="A226" t="inlineStr">
        <is>
          <t>A 49141-2022</t>
        </is>
      </c>
      <c r="B226" s="1" t="n">
        <v>44860</v>
      </c>
      <c r="C226" s="1" t="n">
        <v>45891</v>
      </c>
      <c r="D226" t="inlineStr">
        <is>
          <t>NORRBOTTENS LÄN</t>
        </is>
      </c>
      <c r="E226" t="inlineStr">
        <is>
          <t>ARVIDSJAUR</t>
        </is>
      </c>
      <c r="G226" t="n">
        <v>4</v>
      </c>
      <c r="H226" t="n">
        <v>0</v>
      </c>
      <c r="I226" t="n">
        <v>0</v>
      </c>
      <c r="J226" t="n">
        <v>0</v>
      </c>
      <c r="K226" t="n">
        <v>0</v>
      </c>
      <c r="L226" t="n">
        <v>0</v>
      </c>
      <c r="M226" t="n">
        <v>0</v>
      </c>
      <c r="N226" t="n">
        <v>0</v>
      </c>
      <c r="O226" t="n">
        <v>0</v>
      </c>
      <c r="P226" t="n">
        <v>0</v>
      </c>
      <c r="Q226" t="n">
        <v>0</v>
      </c>
      <c r="R226" s="2" t="inlineStr"/>
    </row>
    <row r="227" ht="15" customHeight="1">
      <c r="A227" t="inlineStr">
        <is>
          <t>A 48364-2024</t>
        </is>
      </c>
      <c r="B227" s="1" t="n">
        <v>45590.57606481481</v>
      </c>
      <c r="C227" s="1" t="n">
        <v>45891</v>
      </c>
      <c r="D227" t="inlineStr">
        <is>
          <t>NORRBOTTENS LÄN</t>
        </is>
      </c>
      <c r="E227" t="inlineStr">
        <is>
          <t>ARVIDSJAUR</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11076-2021</t>
        </is>
      </c>
      <c r="B228" s="1" t="n">
        <v>44259</v>
      </c>
      <c r="C228" s="1" t="n">
        <v>45891</v>
      </c>
      <c r="D228" t="inlineStr">
        <is>
          <t>NORRBOTTENS LÄN</t>
        </is>
      </c>
      <c r="E228" t="inlineStr">
        <is>
          <t>ARVIDSJAUR</t>
        </is>
      </c>
      <c r="G228" t="n">
        <v>5.1</v>
      </c>
      <c r="H228" t="n">
        <v>0</v>
      </c>
      <c r="I228" t="n">
        <v>0</v>
      </c>
      <c r="J228" t="n">
        <v>0</v>
      </c>
      <c r="K228" t="n">
        <v>0</v>
      </c>
      <c r="L228" t="n">
        <v>0</v>
      </c>
      <c r="M228" t="n">
        <v>0</v>
      </c>
      <c r="N228" t="n">
        <v>0</v>
      </c>
      <c r="O228" t="n">
        <v>0</v>
      </c>
      <c r="P228" t="n">
        <v>0</v>
      </c>
      <c r="Q228" t="n">
        <v>0</v>
      </c>
      <c r="R228" s="2" t="inlineStr"/>
    </row>
    <row r="229" ht="15" customHeight="1">
      <c r="A229" t="inlineStr">
        <is>
          <t>A 24184-2025</t>
        </is>
      </c>
      <c r="B229" s="1" t="n">
        <v>45796</v>
      </c>
      <c r="C229" s="1" t="n">
        <v>45891</v>
      </c>
      <c r="D229" t="inlineStr">
        <is>
          <t>NORRBOTTENS LÄN</t>
        </is>
      </c>
      <c r="E229" t="inlineStr">
        <is>
          <t>ARVIDSJAUR</t>
        </is>
      </c>
      <c r="G229" t="n">
        <v>0.9</v>
      </c>
      <c r="H229" t="n">
        <v>0</v>
      </c>
      <c r="I229" t="n">
        <v>0</v>
      </c>
      <c r="J229" t="n">
        <v>0</v>
      </c>
      <c r="K229" t="n">
        <v>0</v>
      </c>
      <c r="L229" t="n">
        <v>0</v>
      </c>
      <c r="M229" t="n">
        <v>0</v>
      </c>
      <c r="N229" t="n">
        <v>0</v>
      </c>
      <c r="O229" t="n">
        <v>0</v>
      </c>
      <c r="P229" t="n">
        <v>0</v>
      </c>
      <c r="Q229" t="n">
        <v>0</v>
      </c>
      <c r="R229" s="2" t="inlineStr"/>
    </row>
    <row r="230" ht="15" customHeight="1">
      <c r="A230" t="inlineStr">
        <is>
          <t>A 37649-2024</t>
        </is>
      </c>
      <c r="B230" s="1" t="n">
        <v>45541</v>
      </c>
      <c r="C230" s="1" t="n">
        <v>45891</v>
      </c>
      <c r="D230" t="inlineStr">
        <is>
          <t>NORRBOTTENS LÄN</t>
        </is>
      </c>
      <c r="E230" t="inlineStr">
        <is>
          <t>ARVIDSJAUR</t>
        </is>
      </c>
      <c r="F230" t="inlineStr">
        <is>
          <t>Allmännings- och besparingsskogar</t>
        </is>
      </c>
      <c r="G230" t="n">
        <v>6.1</v>
      </c>
      <c r="H230" t="n">
        <v>0</v>
      </c>
      <c r="I230" t="n">
        <v>0</v>
      </c>
      <c r="J230" t="n">
        <v>0</v>
      </c>
      <c r="K230" t="n">
        <v>0</v>
      </c>
      <c r="L230" t="n">
        <v>0</v>
      </c>
      <c r="M230" t="n">
        <v>0</v>
      </c>
      <c r="N230" t="n">
        <v>0</v>
      </c>
      <c r="O230" t="n">
        <v>0</v>
      </c>
      <c r="P230" t="n">
        <v>0</v>
      </c>
      <c r="Q230" t="n">
        <v>0</v>
      </c>
      <c r="R230" s="2" t="inlineStr"/>
      <c r="U230">
        <f>HYPERLINK("https://klasma.github.io/Logging_2505/knärot/A 37649-2024 karta knärot.png", "A 37649-2024")</f>
        <v/>
      </c>
      <c r="V230">
        <f>HYPERLINK("https://klasma.github.io/Logging_2505/klagomål/A 37649-2024 FSC-klagomål.docx", "A 37649-2024")</f>
        <v/>
      </c>
      <c r="W230">
        <f>HYPERLINK("https://klasma.github.io/Logging_2505/klagomålsmail/A 37649-2024 FSC-klagomål mail.docx", "A 37649-2024")</f>
        <v/>
      </c>
      <c r="X230">
        <f>HYPERLINK("https://klasma.github.io/Logging_2505/tillsyn/A 37649-2024 tillsynsbegäran.docx", "A 37649-2024")</f>
        <v/>
      </c>
      <c r="Y230">
        <f>HYPERLINK("https://klasma.github.io/Logging_2505/tillsynsmail/A 37649-2024 tillsynsbegäran mail.docx", "A 37649-2024")</f>
        <v/>
      </c>
    </row>
    <row r="231" ht="15" customHeight="1">
      <c r="A231" t="inlineStr">
        <is>
          <t>A 41659-2024</t>
        </is>
      </c>
      <c r="B231" s="1" t="n">
        <v>45560</v>
      </c>
      <c r="C231" s="1" t="n">
        <v>45891</v>
      </c>
      <c r="D231" t="inlineStr">
        <is>
          <t>NORRBOTTENS LÄN</t>
        </is>
      </c>
      <c r="E231" t="inlineStr">
        <is>
          <t>ARVIDSJAUR</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10851-2025</t>
        </is>
      </c>
      <c r="B232" s="1" t="n">
        <v>45722</v>
      </c>
      <c r="C232" s="1" t="n">
        <v>45891</v>
      </c>
      <c r="D232" t="inlineStr">
        <is>
          <t>NORRBOTTENS LÄN</t>
        </is>
      </c>
      <c r="E232" t="inlineStr">
        <is>
          <t>ARVIDSJAUR</t>
        </is>
      </c>
      <c r="G232" t="n">
        <v>2</v>
      </c>
      <c r="H232" t="n">
        <v>0</v>
      </c>
      <c r="I232" t="n">
        <v>0</v>
      </c>
      <c r="J232" t="n">
        <v>0</v>
      </c>
      <c r="K232" t="n">
        <v>0</v>
      </c>
      <c r="L232" t="n">
        <v>0</v>
      </c>
      <c r="M232" t="n">
        <v>0</v>
      </c>
      <c r="N232" t="n">
        <v>0</v>
      </c>
      <c r="O232" t="n">
        <v>0</v>
      </c>
      <c r="P232" t="n">
        <v>0</v>
      </c>
      <c r="Q232" t="n">
        <v>0</v>
      </c>
      <c r="R232" s="2" t="inlineStr"/>
    </row>
    <row r="233" ht="15" customHeight="1">
      <c r="A233" t="inlineStr">
        <is>
          <t>A 36483-2022</t>
        </is>
      </c>
      <c r="B233" s="1" t="n">
        <v>44804</v>
      </c>
      <c r="C233" s="1" t="n">
        <v>45891</v>
      </c>
      <c r="D233" t="inlineStr">
        <is>
          <t>NORRBOTTENS LÄN</t>
        </is>
      </c>
      <c r="E233" t="inlineStr">
        <is>
          <t>ARVIDSJAUR</t>
        </is>
      </c>
      <c r="G233" t="n">
        <v>2.9</v>
      </c>
      <c r="H233" t="n">
        <v>0</v>
      </c>
      <c r="I233" t="n">
        <v>0</v>
      </c>
      <c r="J233" t="n">
        <v>0</v>
      </c>
      <c r="K233" t="n">
        <v>0</v>
      </c>
      <c r="L233" t="n">
        <v>0</v>
      </c>
      <c r="M233" t="n">
        <v>0</v>
      </c>
      <c r="N233" t="n">
        <v>0</v>
      </c>
      <c r="O233" t="n">
        <v>0</v>
      </c>
      <c r="P233" t="n">
        <v>0</v>
      </c>
      <c r="Q233" t="n">
        <v>0</v>
      </c>
      <c r="R233" s="2" t="inlineStr"/>
    </row>
    <row r="234" ht="15" customHeight="1">
      <c r="A234" t="inlineStr">
        <is>
          <t>A 26591-2023</t>
        </is>
      </c>
      <c r="B234" s="1" t="n">
        <v>45090</v>
      </c>
      <c r="C234" s="1" t="n">
        <v>45891</v>
      </c>
      <c r="D234" t="inlineStr">
        <is>
          <t>NORRBOTTENS LÄN</t>
        </is>
      </c>
      <c r="E234" t="inlineStr">
        <is>
          <t>ARVIDSJAUR</t>
        </is>
      </c>
      <c r="G234" t="n">
        <v>0.5</v>
      </c>
      <c r="H234" t="n">
        <v>0</v>
      </c>
      <c r="I234" t="n">
        <v>0</v>
      </c>
      <c r="J234" t="n">
        <v>0</v>
      </c>
      <c r="K234" t="n">
        <v>0</v>
      </c>
      <c r="L234" t="n">
        <v>0</v>
      </c>
      <c r="M234" t="n">
        <v>0</v>
      </c>
      <c r="N234" t="n">
        <v>0</v>
      </c>
      <c r="O234" t="n">
        <v>0</v>
      </c>
      <c r="P234" t="n">
        <v>0</v>
      </c>
      <c r="Q234" t="n">
        <v>0</v>
      </c>
      <c r="R234" s="2" t="inlineStr"/>
    </row>
    <row r="235" ht="15" customHeight="1">
      <c r="A235" t="inlineStr">
        <is>
          <t>A 24506-2025</t>
        </is>
      </c>
      <c r="B235" s="1" t="n">
        <v>45798</v>
      </c>
      <c r="C235" s="1" t="n">
        <v>45891</v>
      </c>
      <c r="D235" t="inlineStr">
        <is>
          <t>NORRBOTTENS LÄN</t>
        </is>
      </c>
      <c r="E235" t="inlineStr">
        <is>
          <t>ARVIDSJAUR</t>
        </is>
      </c>
      <c r="F235" t="inlineStr">
        <is>
          <t>Sveaskog</t>
        </is>
      </c>
      <c r="G235" t="n">
        <v>16.6</v>
      </c>
      <c r="H235" t="n">
        <v>0</v>
      </c>
      <c r="I235" t="n">
        <v>0</v>
      </c>
      <c r="J235" t="n">
        <v>0</v>
      </c>
      <c r="K235" t="n">
        <v>0</v>
      </c>
      <c r="L235" t="n">
        <v>0</v>
      </c>
      <c r="M235" t="n">
        <v>0</v>
      </c>
      <c r="N235" t="n">
        <v>0</v>
      </c>
      <c r="O235" t="n">
        <v>0</v>
      </c>
      <c r="P235" t="n">
        <v>0</v>
      </c>
      <c r="Q235" t="n">
        <v>0</v>
      </c>
      <c r="R235" s="2" t="inlineStr"/>
    </row>
    <row r="236" ht="15" customHeight="1">
      <c r="A236" t="inlineStr">
        <is>
          <t>A 48892-2024</t>
        </is>
      </c>
      <c r="B236" s="1" t="n">
        <v>45594</v>
      </c>
      <c r="C236" s="1" t="n">
        <v>45891</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2773-2025</t>
        </is>
      </c>
      <c r="B237" s="1" t="n">
        <v>45677.51043981482</v>
      </c>
      <c r="C237" s="1" t="n">
        <v>45891</v>
      </c>
      <c r="D237" t="inlineStr">
        <is>
          <t>NORRBOTTENS LÄN</t>
        </is>
      </c>
      <c r="E237" t="inlineStr">
        <is>
          <t>ARVIDSJAUR</t>
        </is>
      </c>
      <c r="G237" t="n">
        <v>2.8</v>
      </c>
      <c r="H237" t="n">
        <v>0</v>
      </c>
      <c r="I237" t="n">
        <v>0</v>
      </c>
      <c r="J237" t="n">
        <v>0</v>
      </c>
      <c r="K237" t="n">
        <v>0</v>
      </c>
      <c r="L237" t="n">
        <v>0</v>
      </c>
      <c r="M237" t="n">
        <v>0</v>
      </c>
      <c r="N237" t="n">
        <v>0</v>
      </c>
      <c r="O237" t="n">
        <v>0</v>
      </c>
      <c r="P237" t="n">
        <v>0</v>
      </c>
      <c r="Q237" t="n">
        <v>0</v>
      </c>
      <c r="R237" s="2" t="inlineStr"/>
    </row>
    <row r="238" ht="15" customHeight="1">
      <c r="A238" t="inlineStr">
        <is>
          <t>A 22996-2024</t>
        </is>
      </c>
      <c r="B238" s="1" t="n">
        <v>45450</v>
      </c>
      <c r="C238" s="1" t="n">
        <v>45891</v>
      </c>
      <c r="D238" t="inlineStr">
        <is>
          <t>NORRBOTTENS LÄN</t>
        </is>
      </c>
      <c r="E238" t="inlineStr">
        <is>
          <t>ARVIDSJAUR</t>
        </is>
      </c>
      <c r="F238" t="inlineStr">
        <is>
          <t>Sveaskog</t>
        </is>
      </c>
      <c r="G238" t="n">
        <v>8.9</v>
      </c>
      <c r="H238" t="n">
        <v>0</v>
      </c>
      <c r="I238" t="n">
        <v>0</v>
      </c>
      <c r="J238" t="n">
        <v>0</v>
      </c>
      <c r="K238" t="n">
        <v>0</v>
      </c>
      <c r="L238" t="n">
        <v>0</v>
      </c>
      <c r="M238" t="n">
        <v>0</v>
      </c>
      <c r="N238" t="n">
        <v>0</v>
      </c>
      <c r="O238" t="n">
        <v>0</v>
      </c>
      <c r="P238" t="n">
        <v>0</v>
      </c>
      <c r="Q238" t="n">
        <v>0</v>
      </c>
      <c r="R238" s="2" t="inlineStr"/>
    </row>
    <row r="239" ht="15" customHeight="1">
      <c r="A239" t="inlineStr">
        <is>
          <t>A 8483-2021</t>
        </is>
      </c>
      <c r="B239" s="1" t="n">
        <v>44244</v>
      </c>
      <c r="C239" s="1" t="n">
        <v>45891</v>
      </c>
      <c r="D239" t="inlineStr">
        <is>
          <t>NORRBOTTENS LÄN</t>
        </is>
      </c>
      <c r="E239" t="inlineStr">
        <is>
          <t>ARVIDSJAUR</t>
        </is>
      </c>
      <c r="G239" t="n">
        <v>33.1</v>
      </c>
      <c r="H239" t="n">
        <v>0</v>
      </c>
      <c r="I239" t="n">
        <v>0</v>
      </c>
      <c r="J239" t="n">
        <v>0</v>
      </c>
      <c r="K239" t="n">
        <v>0</v>
      </c>
      <c r="L239" t="n">
        <v>0</v>
      </c>
      <c r="M239" t="n">
        <v>0</v>
      </c>
      <c r="N239" t="n">
        <v>0</v>
      </c>
      <c r="O239" t="n">
        <v>0</v>
      </c>
      <c r="P239" t="n">
        <v>0</v>
      </c>
      <c r="Q239" t="n">
        <v>0</v>
      </c>
      <c r="R239" s="2" t="inlineStr"/>
    </row>
    <row r="240" ht="15" customHeight="1">
      <c r="A240" t="inlineStr">
        <is>
          <t>A 24923-2025</t>
        </is>
      </c>
      <c r="B240" s="1" t="n">
        <v>45799.55270833334</v>
      </c>
      <c r="C240" s="1" t="n">
        <v>45891</v>
      </c>
      <c r="D240" t="inlineStr">
        <is>
          <t>NORRBOTTENS LÄN</t>
        </is>
      </c>
      <c r="E240" t="inlineStr">
        <is>
          <t>ARVIDSJAUR</t>
        </is>
      </c>
      <c r="G240" t="n">
        <v>4.3</v>
      </c>
      <c r="H240" t="n">
        <v>0</v>
      </c>
      <c r="I240" t="n">
        <v>0</v>
      </c>
      <c r="J240" t="n">
        <v>0</v>
      </c>
      <c r="K240" t="n">
        <v>0</v>
      </c>
      <c r="L240" t="n">
        <v>0</v>
      </c>
      <c r="M240" t="n">
        <v>0</v>
      </c>
      <c r="N240" t="n">
        <v>0</v>
      </c>
      <c r="O240" t="n">
        <v>0</v>
      </c>
      <c r="P240" t="n">
        <v>0</v>
      </c>
      <c r="Q240" t="n">
        <v>0</v>
      </c>
      <c r="R240" s="2" t="inlineStr"/>
    </row>
    <row r="241" ht="15" customHeight="1">
      <c r="A241" t="inlineStr">
        <is>
          <t>A 22696-2024</t>
        </is>
      </c>
      <c r="B241" s="1" t="n">
        <v>45448</v>
      </c>
      <c r="C241" s="1" t="n">
        <v>45891</v>
      </c>
      <c r="D241" t="inlineStr">
        <is>
          <t>NORRBOTTENS LÄN</t>
        </is>
      </c>
      <c r="E241" t="inlineStr">
        <is>
          <t>ARVIDSJAUR</t>
        </is>
      </c>
      <c r="F241" t="inlineStr">
        <is>
          <t>Sveaskog</t>
        </is>
      </c>
      <c r="G241" t="n">
        <v>23.1</v>
      </c>
      <c r="H241" t="n">
        <v>0</v>
      </c>
      <c r="I241" t="n">
        <v>0</v>
      </c>
      <c r="J241" t="n">
        <v>0</v>
      </c>
      <c r="K241" t="n">
        <v>0</v>
      </c>
      <c r="L241" t="n">
        <v>0</v>
      </c>
      <c r="M241" t="n">
        <v>0</v>
      </c>
      <c r="N241" t="n">
        <v>0</v>
      </c>
      <c r="O241" t="n">
        <v>0</v>
      </c>
      <c r="P241" t="n">
        <v>0</v>
      </c>
      <c r="Q241" t="n">
        <v>0</v>
      </c>
      <c r="R241" s="2" t="inlineStr"/>
    </row>
    <row r="242" ht="15" customHeight="1">
      <c r="A242" t="inlineStr">
        <is>
          <t>A 34998-2023</t>
        </is>
      </c>
      <c r="B242" s="1" t="n">
        <v>45142</v>
      </c>
      <c r="C242" s="1" t="n">
        <v>45891</v>
      </c>
      <c r="D242" t="inlineStr">
        <is>
          <t>NORRBOTTENS LÄN</t>
        </is>
      </c>
      <c r="E242" t="inlineStr">
        <is>
          <t>ARVIDSJAUR</t>
        </is>
      </c>
      <c r="G242" t="n">
        <v>10.3</v>
      </c>
      <c r="H242" t="n">
        <v>0</v>
      </c>
      <c r="I242" t="n">
        <v>0</v>
      </c>
      <c r="J242" t="n">
        <v>0</v>
      </c>
      <c r="K242" t="n">
        <v>0</v>
      </c>
      <c r="L242" t="n">
        <v>0</v>
      </c>
      <c r="M242" t="n">
        <v>0</v>
      </c>
      <c r="N242" t="n">
        <v>0</v>
      </c>
      <c r="O242" t="n">
        <v>0</v>
      </c>
      <c r="P242" t="n">
        <v>0</v>
      </c>
      <c r="Q242" t="n">
        <v>0</v>
      </c>
      <c r="R242" s="2" t="inlineStr"/>
    </row>
    <row r="243" ht="15" customHeight="1">
      <c r="A243" t="inlineStr">
        <is>
          <t>A 39436-2024</t>
        </is>
      </c>
      <c r="B243" s="1" t="n">
        <v>45551</v>
      </c>
      <c r="C243" s="1" t="n">
        <v>45891</v>
      </c>
      <c r="D243" t="inlineStr">
        <is>
          <t>NORRBOTTENS LÄN</t>
        </is>
      </c>
      <c r="E243" t="inlineStr">
        <is>
          <t>ARVIDSJAUR</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24922-2025</t>
        </is>
      </c>
      <c r="B244" s="1" t="n">
        <v>45799.55261574074</v>
      </c>
      <c r="C244" s="1" t="n">
        <v>45891</v>
      </c>
      <c r="D244" t="inlineStr">
        <is>
          <t>NORRBOTTENS LÄN</t>
        </is>
      </c>
      <c r="E244" t="inlineStr">
        <is>
          <t>ARVIDSJAUR</t>
        </is>
      </c>
      <c r="G244" t="n">
        <v>3.2</v>
      </c>
      <c r="H244" t="n">
        <v>0</v>
      </c>
      <c r="I244" t="n">
        <v>0</v>
      </c>
      <c r="J244" t="n">
        <v>0</v>
      </c>
      <c r="K244" t="n">
        <v>0</v>
      </c>
      <c r="L244" t="n">
        <v>0</v>
      </c>
      <c r="M244" t="n">
        <v>0</v>
      </c>
      <c r="N244" t="n">
        <v>0</v>
      </c>
      <c r="O244" t="n">
        <v>0</v>
      </c>
      <c r="P244" t="n">
        <v>0</v>
      </c>
      <c r="Q244" t="n">
        <v>0</v>
      </c>
      <c r="R244" s="2" t="inlineStr"/>
    </row>
    <row r="245" ht="15" customHeight="1">
      <c r="A245" t="inlineStr">
        <is>
          <t>A 25395-2022</t>
        </is>
      </c>
      <c r="B245" s="1" t="n">
        <v>44732</v>
      </c>
      <c r="C245" s="1" t="n">
        <v>45891</v>
      </c>
      <c r="D245" t="inlineStr">
        <is>
          <t>NORRBOTTENS LÄN</t>
        </is>
      </c>
      <c r="E245" t="inlineStr">
        <is>
          <t>ARVIDSJAUR</t>
        </is>
      </c>
      <c r="G245" t="n">
        <v>6</v>
      </c>
      <c r="H245" t="n">
        <v>0</v>
      </c>
      <c r="I245" t="n">
        <v>0</v>
      </c>
      <c r="J245" t="n">
        <v>0</v>
      </c>
      <c r="K245" t="n">
        <v>0</v>
      </c>
      <c r="L245" t="n">
        <v>0</v>
      </c>
      <c r="M245" t="n">
        <v>0</v>
      </c>
      <c r="N245" t="n">
        <v>0</v>
      </c>
      <c r="O245" t="n">
        <v>0</v>
      </c>
      <c r="P245" t="n">
        <v>0</v>
      </c>
      <c r="Q245" t="n">
        <v>0</v>
      </c>
      <c r="R245" s="2" t="inlineStr"/>
    </row>
    <row r="246" ht="15" customHeight="1">
      <c r="A246" t="inlineStr">
        <is>
          <t>A 53878-2024</t>
        </is>
      </c>
      <c r="B246" s="1" t="n">
        <v>45614</v>
      </c>
      <c r="C246" s="1" t="n">
        <v>45891</v>
      </c>
      <c r="D246" t="inlineStr">
        <is>
          <t>NORRBOTTENS LÄN</t>
        </is>
      </c>
      <c r="E246" t="inlineStr">
        <is>
          <t>ARVIDSJAUR</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50119-2024</t>
        </is>
      </c>
      <c r="B247" s="1" t="n">
        <v>45600.41550925926</v>
      </c>
      <c r="C247" s="1" t="n">
        <v>45891</v>
      </c>
      <c r="D247" t="inlineStr">
        <is>
          <t>NORRBOTTENS LÄN</t>
        </is>
      </c>
      <c r="E247" t="inlineStr">
        <is>
          <t>ARVIDSJAUR</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30756-2023</t>
        </is>
      </c>
      <c r="B248" s="1" t="n">
        <v>45103</v>
      </c>
      <c r="C248" s="1" t="n">
        <v>45891</v>
      </c>
      <c r="D248" t="inlineStr">
        <is>
          <t>NORRBOTTENS LÄN</t>
        </is>
      </c>
      <c r="E248" t="inlineStr">
        <is>
          <t>ARVIDSJAUR</t>
        </is>
      </c>
      <c r="G248" t="n">
        <v>1.9</v>
      </c>
      <c r="H248" t="n">
        <v>0</v>
      </c>
      <c r="I248" t="n">
        <v>0</v>
      </c>
      <c r="J248" t="n">
        <v>0</v>
      </c>
      <c r="K248" t="n">
        <v>0</v>
      </c>
      <c r="L248" t="n">
        <v>0</v>
      </c>
      <c r="M248" t="n">
        <v>0</v>
      </c>
      <c r="N248" t="n">
        <v>0</v>
      </c>
      <c r="O248" t="n">
        <v>0</v>
      </c>
      <c r="P248" t="n">
        <v>0</v>
      </c>
      <c r="Q248" t="n">
        <v>0</v>
      </c>
      <c r="R248" s="2" t="inlineStr"/>
    </row>
    <row r="249" ht="15" customHeight="1">
      <c r="A249" t="inlineStr">
        <is>
          <t>A 26217-2025</t>
        </is>
      </c>
      <c r="B249" s="1" t="n">
        <v>45805.54646990741</v>
      </c>
      <c r="C249" s="1" t="n">
        <v>45891</v>
      </c>
      <c r="D249" t="inlineStr">
        <is>
          <t>NORRBOTTENS LÄN</t>
        </is>
      </c>
      <c r="E249" t="inlineStr">
        <is>
          <t>ARVIDSJAUR</t>
        </is>
      </c>
      <c r="F249" t="inlineStr">
        <is>
          <t>Sveaskog</t>
        </is>
      </c>
      <c r="G249" t="n">
        <v>9.5</v>
      </c>
      <c r="H249" t="n">
        <v>0</v>
      </c>
      <c r="I249" t="n">
        <v>0</v>
      </c>
      <c r="J249" t="n">
        <v>0</v>
      </c>
      <c r="K249" t="n">
        <v>0</v>
      </c>
      <c r="L249" t="n">
        <v>0</v>
      </c>
      <c r="M249" t="n">
        <v>0</v>
      </c>
      <c r="N249" t="n">
        <v>0</v>
      </c>
      <c r="O249" t="n">
        <v>0</v>
      </c>
      <c r="P249" t="n">
        <v>0</v>
      </c>
      <c r="Q249" t="n">
        <v>0</v>
      </c>
      <c r="R249" s="2" t="inlineStr"/>
    </row>
    <row r="250" ht="15" customHeight="1">
      <c r="A250" t="inlineStr">
        <is>
          <t>A 48363-2024</t>
        </is>
      </c>
      <c r="B250" s="1" t="n">
        <v>45590.57452546297</v>
      </c>
      <c r="C250" s="1" t="n">
        <v>45891</v>
      </c>
      <c r="D250" t="inlineStr">
        <is>
          <t>NORRBOTTENS LÄN</t>
        </is>
      </c>
      <c r="E250" t="inlineStr">
        <is>
          <t>ARVIDSJAUR</t>
        </is>
      </c>
      <c r="F250" t="inlineStr">
        <is>
          <t>Sveaskog</t>
        </is>
      </c>
      <c r="G250" t="n">
        <v>3.5</v>
      </c>
      <c r="H250" t="n">
        <v>0</v>
      </c>
      <c r="I250" t="n">
        <v>0</v>
      </c>
      <c r="J250" t="n">
        <v>0</v>
      </c>
      <c r="K250" t="n">
        <v>0</v>
      </c>
      <c r="L250" t="n">
        <v>0</v>
      </c>
      <c r="M250" t="n">
        <v>0</v>
      </c>
      <c r="N250" t="n">
        <v>0</v>
      </c>
      <c r="O250" t="n">
        <v>0</v>
      </c>
      <c r="P250" t="n">
        <v>0</v>
      </c>
      <c r="Q250" t="n">
        <v>0</v>
      </c>
      <c r="R250" s="2" t="inlineStr"/>
    </row>
    <row r="251" ht="15" customHeight="1">
      <c r="A251" t="inlineStr">
        <is>
          <t>A 45769-2021</t>
        </is>
      </c>
      <c r="B251" s="1" t="n">
        <v>44441</v>
      </c>
      <c r="C251" s="1" t="n">
        <v>45891</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32268-2023</t>
        </is>
      </c>
      <c r="B252" s="1" t="n">
        <v>45120</v>
      </c>
      <c r="C252" s="1" t="n">
        <v>45891</v>
      </c>
      <c r="D252" t="inlineStr">
        <is>
          <t>NORRBOTTENS LÄN</t>
        </is>
      </c>
      <c r="E252" t="inlineStr">
        <is>
          <t>ARVIDSJAUR</t>
        </is>
      </c>
      <c r="F252" t="inlineStr">
        <is>
          <t>Sveaskog</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26211-2025</t>
        </is>
      </c>
      <c r="B253" s="1" t="n">
        <v>45805.54035879629</v>
      </c>
      <c r="C253" s="1" t="n">
        <v>45891</v>
      </c>
      <c r="D253" t="inlineStr">
        <is>
          <t>NORRBOTTENS LÄN</t>
        </is>
      </c>
      <c r="E253" t="inlineStr">
        <is>
          <t>ARVIDSJAUR</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26218-2025</t>
        </is>
      </c>
      <c r="B254" s="1" t="n">
        <v>45805.54811342592</v>
      </c>
      <c r="C254" s="1" t="n">
        <v>45891</v>
      </c>
      <c r="D254" t="inlineStr">
        <is>
          <t>NORRBOTTENS LÄN</t>
        </is>
      </c>
      <c r="E254" t="inlineStr">
        <is>
          <t>ARVIDSJAUR</t>
        </is>
      </c>
      <c r="F254" t="inlineStr">
        <is>
          <t>Sveaskog</t>
        </is>
      </c>
      <c r="G254" t="n">
        <v>6.6</v>
      </c>
      <c r="H254" t="n">
        <v>0</v>
      </c>
      <c r="I254" t="n">
        <v>0</v>
      </c>
      <c r="J254" t="n">
        <v>0</v>
      </c>
      <c r="K254" t="n">
        <v>0</v>
      </c>
      <c r="L254" t="n">
        <v>0</v>
      </c>
      <c r="M254" t="n">
        <v>0</v>
      </c>
      <c r="N254" t="n">
        <v>0</v>
      </c>
      <c r="O254" t="n">
        <v>0</v>
      </c>
      <c r="P254" t="n">
        <v>0</v>
      </c>
      <c r="Q254" t="n">
        <v>0</v>
      </c>
      <c r="R254" s="2" t="inlineStr"/>
    </row>
    <row r="255" ht="15" customHeight="1">
      <c r="A255" t="inlineStr">
        <is>
          <t>A 20403-2022</t>
        </is>
      </c>
      <c r="B255" s="1" t="n">
        <v>44699</v>
      </c>
      <c r="C255" s="1" t="n">
        <v>45891</v>
      </c>
      <c r="D255" t="inlineStr">
        <is>
          <t>NORRBOTTENS LÄN</t>
        </is>
      </c>
      <c r="E255" t="inlineStr">
        <is>
          <t>ARVIDSJAUR</t>
        </is>
      </c>
      <c r="G255" t="n">
        <v>1.7</v>
      </c>
      <c r="H255" t="n">
        <v>0</v>
      </c>
      <c r="I255" t="n">
        <v>0</v>
      </c>
      <c r="J255" t="n">
        <v>0</v>
      </c>
      <c r="K255" t="n">
        <v>0</v>
      </c>
      <c r="L255" t="n">
        <v>0</v>
      </c>
      <c r="M255" t="n">
        <v>0</v>
      </c>
      <c r="N255" t="n">
        <v>0</v>
      </c>
      <c r="O255" t="n">
        <v>0</v>
      </c>
      <c r="P255" t="n">
        <v>0</v>
      </c>
      <c r="Q255" t="n">
        <v>0</v>
      </c>
      <c r="R255" s="2" t="inlineStr"/>
    </row>
    <row r="256" ht="15" customHeight="1">
      <c r="A256" t="inlineStr">
        <is>
          <t>A 23580-2021</t>
        </is>
      </c>
      <c r="B256" s="1" t="n">
        <v>44334</v>
      </c>
      <c r="C256" s="1" t="n">
        <v>45891</v>
      </c>
      <c r="D256" t="inlineStr">
        <is>
          <t>NORRBOTTENS LÄN</t>
        </is>
      </c>
      <c r="E256" t="inlineStr">
        <is>
          <t>ARVIDSJAUR</t>
        </is>
      </c>
      <c r="G256" t="n">
        <v>0.7</v>
      </c>
      <c r="H256" t="n">
        <v>0</v>
      </c>
      <c r="I256" t="n">
        <v>0</v>
      </c>
      <c r="J256" t="n">
        <v>0</v>
      </c>
      <c r="K256" t="n">
        <v>0</v>
      </c>
      <c r="L256" t="n">
        <v>0</v>
      </c>
      <c r="M256" t="n">
        <v>0</v>
      </c>
      <c r="N256" t="n">
        <v>0</v>
      </c>
      <c r="O256" t="n">
        <v>0</v>
      </c>
      <c r="P256" t="n">
        <v>0</v>
      </c>
      <c r="Q256" t="n">
        <v>0</v>
      </c>
      <c r="R256" s="2" t="inlineStr"/>
    </row>
    <row r="257" ht="15" customHeight="1">
      <c r="A257" t="inlineStr">
        <is>
          <t>A 46181-2021</t>
        </is>
      </c>
      <c r="B257" s="1" t="n">
        <v>44441</v>
      </c>
      <c r="C257" s="1" t="n">
        <v>45891</v>
      </c>
      <c r="D257" t="inlineStr">
        <is>
          <t>NORRBOTTENS LÄN</t>
        </is>
      </c>
      <c r="E257" t="inlineStr">
        <is>
          <t>ARVIDSJAUR</t>
        </is>
      </c>
      <c r="G257" t="n">
        <v>6.5</v>
      </c>
      <c r="H257" t="n">
        <v>0</v>
      </c>
      <c r="I257" t="n">
        <v>0</v>
      </c>
      <c r="J257" t="n">
        <v>0</v>
      </c>
      <c r="K257" t="n">
        <v>0</v>
      </c>
      <c r="L257" t="n">
        <v>0</v>
      </c>
      <c r="M257" t="n">
        <v>0</v>
      </c>
      <c r="N257" t="n">
        <v>0</v>
      </c>
      <c r="O257" t="n">
        <v>0</v>
      </c>
      <c r="P257" t="n">
        <v>0</v>
      </c>
      <c r="Q257" t="n">
        <v>0</v>
      </c>
      <c r="R257" s="2" t="inlineStr"/>
    </row>
    <row r="258" ht="15" customHeight="1">
      <c r="A258" t="inlineStr">
        <is>
          <t>A 26213-2025</t>
        </is>
      </c>
      <c r="B258" s="1" t="n">
        <v>45805.54270833333</v>
      </c>
      <c r="C258" s="1" t="n">
        <v>45891</v>
      </c>
      <c r="D258" t="inlineStr">
        <is>
          <t>NORRBOTTENS LÄN</t>
        </is>
      </c>
      <c r="E258" t="inlineStr">
        <is>
          <t>ARVIDSJAUR</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26214-2025</t>
        </is>
      </c>
      <c r="B259" s="1" t="n">
        <v>45805.54394675926</v>
      </c>
      <c r="C259" s="1" t="n">
        <v>45891</v>
      </c>
      <c r="D259" t="inlineStr">
        <is>
          <t>NORRBOTTENS LÄN</t>
        </is>
      </c>
      <c r="E259" t="inlineStr">
        <is>
          <t>ARVIDSJAUR</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36417-2022</t>
        </is>
      </c>
      <c r="B260" s="1" t="n">
        <v>44804</v>
      </c>
      <c r="C260" s="1" t="n">
        <v>45891</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50323-2024</t>
        </is>
      </c>
      <c r="B261" s="1" t="n">
        <v>45600.67706018518</v>
      </c>
      <c r="C261" s="1" t="n">
        <v>45891</v>
      </c>
      <c r="D261" t="inlineStr">
        <is>
          <t>NORRBOTTENS LÄN</t>
        </is>
      </c>
      <c r="E261" t="inlineStr">
        <is>
          <t>ARVIDSJAUR</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3343-2024</t>
        </is>
      </c>
      <c r="B262" s="1" t="n">
        <v>45317</v>
      </c>
      <c r="C262" s="1" t="n">
        <v>45891</v>
      </c>
      <c r="D262" t="inlineStr">
        <is>
          <t>NORRBOTTENS LÄN</t>
        </is>
      </c>
      <c r="E262" t="inlineStr">
        <is>
          <t>ARVIDSJAUR</t>
        </is>
      </c>
      <c r="G262" t="n">
        <v>10.9</v>
      </c>
      <c r="H262" t="n">
        <v>0</v>
      </c>
      <c r="I262" t="n">
        <v>0</v>
      </c>
      <c r="J262" t="n">
        <v>0</v>
      </c>
      <c r="K262" t="n">
        <v>0</v>
      </c>
      <c r="L262" t="n">
        <v>0</v>
      </c>
      <c r="M262" t="n">
        <v>0</v>
      </c>
      <c r="N262" t="n">
        <v>0</v>
      </c>
      <c r="O262" t="n">
        <v>0</v>
      </c>
      <c r="P262" t="n">
        <v>0</v>
      </c>
      <c r="Q262" t="n">
        <v>0</v>
      </c>
      <c r="R262" s="2" t="inlineStr"/>
    </row>
    <row r="263" ht="15" customHeight="1">
      <c r="A263" t="inlineStr">
        <is>
          <t>A 50109-2024</t>
        </is>
      </c>
      <c r="B263" s="1" t="n">
        <v>45600</v>
      </c>
      <c r="C263" s="1" t="n">
        <v>45891</v>
      </c>
      <c r="D263" t="inlineStr">
        <is>
          <t>NORRBOTTENS LÄN</t>
        </is>
      </c>
      <c r="E263" t="inlineStr">
        <is>
          <t>ARVIDSJAUR</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45891</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36954-2023</t>
        </is>
      </c>
      <c r="B265" s="1" t="n">
        <v>45154</v>
      </c>
      <c r="C265" s="1" t="n">
        <v>45891</v>
      </c>
      <c r="D265" t="inlineStr">
        <is>
          <t>NORRBOTTENS LÄN</t>
        </is>
      </c>
      <c r="E265" t="inlineStr">
        <is>
          <t>ARVIDSJAUR</t>
        </is>
      </c>
      <c r="G265" t="n">
        <v>3.7</v>
      </c>
      <c r="H265" t="n">
        <v>0</v>
      </c>
      <c r="I265" t="n">
        <v>0</v>
      </c>
      <c r="J265" t="n">
        <v>0</v>
      </c>
      <c r="K265" t="n">
        <v>0</v>
      </c>
      <c r="L265" t="n">
        <v>0</v>
      </c>
      <c r="M265" t="n">
        <v>0</v>
      </c>
      <c r="N265" t="n">
        <v>0</v>
      </c>
      <c r="O265" t="n">
        <v>0</v>
      </c>
      <c r="P265" t="n">
        <v>0</v>
      </c>
      <c r="Q265" t="n">
        <v>0</v>
      </c>
      <c r="R265" s="2" t="inlineStr"/>
    </row>
    <row r="266" ht="15" customHeight="1">
      <c r="A266" t="inlineStr">
        <is>
          <t>A 60888-2021</t>
        </is>
      </c>
      <c r="B266" s="1" t="n">
        <v>44497</v>
      </c>
      <c r="C266" s="1" t="n">
        <v>45891</v>
      </c>
      <c r="D266" t="inlineStr">
        <is>
          <t>NORRBOTTENS LÄN</t>
        </is>
      </c>
      <c r="E266" t="inlineStr">
        <is>
          <t>ARVIDSJAUR</t>
        </is>
      </c>
      <c r="F266" t="inlineStr">
        <is>
          <t>Sveaskog</t>
        </is>
      </c>
      <c r="G266" t="n">
        <v>12.1</v>
      </c>
      <c r="H266" t="n">
        <v>0</v>
      </c>
      <c r="I266" t="n">
        <v>0</v>
      </c>
      <c r="J266" t="n">
        <v>0</v>
      </c>
      <c r="K266" t="n">
        <v>0</v>
      </c>
      <c r="L266" t="n">
        <v>0</v>
      </c>
      <c r="M266" t="n">
        <v>0</v>
      </c>
      <c r="N266" t="n">
        <v>0</v>
      </c>
      <c r="O266" t="n">
        <v>0</v>
      </c>
      <c r="P266" t="n">
        <v>0</v>
      </c>
      <c r="Q266" t="n">
        <v>0</v>
      </c>
      <c r="R266" s="2" t="inlineStr"/>
    </row>
    <row r="267" ht="15" customHeight="1">
      <c r="A267" t="inlineStr">
        <is>
          <t>A 15475-2023</t>
        </is>
      </c>
      <c r="B267" s="1" t="n">
        <v>45020</v>
      </c>
      <c r="C267" s="1" t="n">
        <v>45891</v>
      </c>
      <c r="D267" t="inlineStr">
        <is>
          <t>NORRBOTTENS LÄN</t>
        </is>
      </c>
      <c r="E267" t="inlineStr">
        <is>
          <t>ARVIDSJAUR</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25121-2024</t>
        </is>
      </c>
      <c r="B268" s="1" t="n">
        <v>45462</v>
      </c>
      <c r="C268" s="1" t="n">
        <v>45891</v>
      </c>
      <c r="D268" t="inlineStr">
        <is>
          <t>NORRBOTTENS LÄN</t>
        </is>
      </c>
      <c r="E268" t="inlineStr">
        <is>
          <t>ARVIDSJAUR</t>
        </is>
      </c>
      <c r="F268" t="inlineStr">
        <is>
          <t>Sveaskog</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41599-2024</t>
        </is>
      </c>
      <c r="B269" s="1" t="n">
        <v>45560</v>
      </c>
      <c r="C269" s="1" t="n">
        <v>45891</v>
      </c>
      <c r="D269" t="inlineStr">
        <is>
          <t>NORRBOTTENS LÄN</t>
        </is>
      </c>
      <c r="E269" t="inlineStr">
        <is>
          <t>ARVIDSJAUR</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54521-2023</t>
        </is>
      </c>
      <c r="B270" s="1" t="n">
        <v>45226</v>
      </c>
      <c r="C270" s="1" t="n">
        <v>45891</v>
      </c>
      <c r="D270" t="inlineStr">
        <is>
          <t>NORRBOTTENS LÄN</t>
        </is>
      </c>
      <c r="E270" t="inlineStr">
        <is>
          <t>ARVIDSJAUR</t>
        </is>
      </c>
      <c r="G270" t="n">
        <v>2.5</v>
      </c>
      <c r="H270" t="n">
        <v>0</v>
      </c>
      <c r="I270" t="n">
        <v>0</v>
      </c>
      <c r="J270" t="n">
        <v>0</v>
      </c>
      <c r="K270" t="n">
        <v>0</v>
      </c>
      <c r="L270" t="n">
        <v>0</v>
      </c>
      <c r="M270" t="n">
        <v>0</v>
      </c>
      <c r="N270" t="n">
        <v>0</v>
      </c>
      <c r="O270" t="n">
        <v>0</v>
      </c>
      <c r="P270" t="n">
        <v>0</v>
      </c>
      <c r="Q270" t="n">
        <v>0</v>
      </c>
      <c r="R270" s="2" t="inlineStr"/>
    </row>
    <row r="271" ht="15" customHeight="1">
      <c r="A271" t="inlineStr">
        <is>
          <t>A 3206-2024</t>
        </is>
      </c>
      <c r="B271" s="1" t="n">
        <v>45316</v>
      </c>
      <c r="C271" s="1" t="n">
        <v>45891</v>
      </c>
      <c r="D271" t="inlineStr">
        <is>
          <t>NORRBOTTENS LÄN</t>
        </is>
      </c>
      <c r="E271" t="inlineStr">
        <is>
          <t>ARVIDSJAUR</t>
        </is>
      </c>
      <c r="F271" t="inlineStr">
        <is>
          <t>Allmännings- och besparingsskogar</t>
        </is>
      </c>
      <c r="G271" t="n">
        <v>15.1</v>
      </c>
      <c r="H271" t="n">
        <v>0</v>
      </c>
      <c r="I271" t="n">
        <v>0</v>
      </c>
      <c r="J271" t="n">
        <v>0</v>
      </c>
      <c r="K271" t="n">
        <v>0</v>
      </c>
      <c r="L271" t="n">
        <v>0</v>
      </c>
      <c r="M271" t="n">
        <v>0</v>
      </c>
      <c r="N271" t="n">
        <v>0</v>
      </c>
      <c r="O271" t="n">
        <v>0</v>
      </c>
      <c r="P271" t="n">
        <v>0</v>
      </c>
      <c r="Q271" t="n">
        <v>0</v>
      </c>
      <c r="R271" s="2" t="inlineStr"/>
    </row>
    <row r="272" ht="15" customHeight="1">
      <c r="A272" t="inlineStr">
        <is>
          <t>A 53683-2024</t>
        </is>
      </c>
      <c r="B272" s="1" t="n">
        <v>45612</v>
      </c>
      <c r="C272" s="1" t="n">
        <v>45891</v>
      </c>
      <c r="D272" t="inlineStr">
        <is>
          <t>NORRBOTTENS LÄN</t>
        </is>
      </c>
      <c r="E272" t="inlineStr">
        <is>
          <t>ARVIDSJAUR</t>
        </is>
      </c>
      <c r="G272" t="n">
        <v>3.7</v>
      </c>
      <c r="H272" t="n">
        <v>0</v>
      </c>
      <c r="I272" t="n">
        <v>0</v>
      </c>
      <c r="J272" t="n">
        <v>0</v>
      </c>
      <c r="K272" t="n">
        <v>0</v>
      </c>
      <c r="L272" t="n">
        <v>0</v>
      </c>
      <c r="M272" t="n">
        <v>0</v>
      </c>
      <c r="N272" t="n">
        <v>0</v>
      </c>
      <c r="O272" t="n">
        <v>0</v>
      </c>
      <c r="P272" t="n">
        <v>0</v>
      </c>
      <c r="Q272" t="n">
        <v>0</v>
      </c>
      <c r="R272" s="2" t="inlineStr"/>
    </row>
    <row r="273" ht="15" customHeight="1">
      <c r="A273" t="inlineStr">
        <is>
          <t>A 48358-2024</t>
        </is>
      </c>
      <c r="B273" s="1" t="n">
        <v>45590</v>
      </c>
      <c r="C273" s="1" t="n">
        <v>45891</v>
      </c>
      <c r="D273" t="inlineStr">
        <is>
          <t>NORRBOTTENS LÄN</t>
        </is>
      </c>
      <c r="E273" t="inlineStr">
        <is>
          <t>ARVIDSJAUR</t>
        </is>
      </c>
      <c r="F273" t="inlineStr">
        <is>
          <t>Sveaskog</t>
        </is>
      </c>
      <c r="G273" t="n">
        <v>20.3</v>
      </c>
      <c r="H273" t="n">
        <v>0</v>
      </c>
      <c r="I273" t="n">
        <v>0</v>
      </c>
      <c r="J273" t="n">
        <v>0</v>
      </c>
      <c r="K273" t="n">
        <v>0</v>
      </c>
      <c r="L273" t="n">
        <v>0</v>
      </c>
      <c r="M273" t="n">
        <v>0</v>
      </c>
      <c r="N273" t="n">
        <v>0</v>
      </c>
      <c r="O273" t="n">
        <v>0</v>
      </c>
      <c r="P273" t="n">
        <v>0</v>
      </c>
      <c r="Q273" t="n">
        <v>0</v>
      </c>
      <c r="R273" s="2" t="inlineStr"/>
    </row>
    <row r="274" ht="15" customHeight="1">
      <c r="A274" t="inlineStr">
        <is>
          <t>A 50303-2022</t>
        </is>
      </c>
      <c r="B274" s="1" t="n">
        <v>44865</v>
      </c>
      <c r="C274" s="1" t="n">
        <v>45891</v>
      </c>
      <c r="D274" t="inlineStr">
        <is>
          <t>NORRBOTTENS LÄN</t>
        </is>
      </c>
      <c r="E274" t="inlineStr">
        <is>
          <t>ARVIDSJAUR</t>
        </is>
      </c>
      <c r="G274" t="n">
        <v>1</v>
      </c>
      <c r="H274" t="n">
        <v>0</v>
      </c>
      <c r="I274" t="n">
        <v>0</v>
      </c>
      <c r="J274" t="n">
        <v>0</v>
      </c>
      <c r="K274" t="n">
        <v>0</v>
      </c>
      <c r="L274" t="n">
        <v>0</v>
      </c>
      <c r="M274" t="n">
        <v>0</v>
      </c>
      <c r="N274" t="n">
        <v>0</v>
      </c>
      <c r="O274" t="n">
        <v>0</v>
      </c>
      <c r="P274" t="n">
        <v>0</v>
      </c>
      <c r="Q274" t="n">
        <v>0</v>
      </c>
      <c r="R274" s="2" t="inlineStr"/>
    </row>
    <row r="275" ht="15" customHeight="1">
      <c r="A275" t="inlineStr">
        <is>
          <t>A 49172-2024</t>
        </is>
      </c>
      <c r="B275" s="1" t="n">
        <v>45595.31174768518</v>
      </c>
      <c r="C275" s="1" t="n">
        <v>45891</v>
      </c>
      <c r="D275" t="inlineStr">
        <is>
          <t>NORRBOTTENS LÄN</t>
        </is>
      </c>
      <c r="E275" t="inlineStr">
        <is>
          <t>ARVIDSJAUR</t>
        </is>
      </c>
      <c r="F275" t="inlineStr">
        <is>
          <t>Sveaskog</t>
        </is>
      </c>
      <c r="G275" t="n">
        <v>10.8</v>
      </c>
      <c r="H275" t="n">
        <v>0</v>
      </c>
      <c r="I275" t="n">
        <v>0</v>
      </c>
      <c r="J275" t="n">
        <v>0</v>
      </c>
      <c r="K275" t="n">
        <v>0</v>
      </c>
      <c r="L275" t="n">
        <v>0</v>
      </c>
      <c r="M275" t="n">
        <v>0</v>
      </c>
      <c r="N275" t="n">
        <v>0</v>
      </c>
      <c r="O275" t="n">
        <v>0</v>
      </c>
      <c r="P275" t="n">
        <v>0</v>
      </c>
      <c r="Q275" t="n">
        <v>0</v>
      </c>
      <c r="R275" s="2" t="inlineStr"/>
    </row>
    <row r="276" ht="15" customHeight="1">
      <c r="A276" t="inlineStr">
        <is>
          <t>A 25599-2024</t>
        </is>
      </c>
      <c r="B276" s="1" t="n">
        <v>45463.62568287037</v>
      </c>
      <c r="C276" s="1" t="n">
        <v>45891</v>
      </c>
      <c r="D276" t="inlineStr">
        <is>
          <t>NORRBOTTENS LÄN</t>
        </is>
      </c>
      <c r="E276" t="inlineStr">
        <is>
          <t>ARVIDSJAUR</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11741-2025</t>
        </is>
      </c>
      <c r="B277" s="1" t="n">
        <v>45727</v>
      </c>
      <c r="C277" s="1" t="n">
        <v>45891</v>
      </c>
      <c r="D277" t="inlineStr">
        <is>
          <t>NORRBOTTENS LÄN</t>
        </is>
      </c>
      <c r="E277" t="inlineStr">
        <is>
          <t>ARVIDSJAUR</t>
        </is>
      </c>
      <c r="F277" t="inlineStr">
        <is>
          <t>Sveaskog</t>
        </is>
      </c>
      <c r="G277" t="n">
        <v>4.4</v>
      </c>
      <c r="H277" t="n">
        <v>0</v>
      </c>
      <c r="I277" t="n">
        <v>0</v>
      </c>
      <c r="J277" t="n">
        <v>0</v>
      </c>
      <c r="K277" t="n">
        <v>0</v>
      </c>
      <c r="L277" t="n">
        <v>0</v>
      </c>
      <c r="M277" t="n">
        <v>0</v>
      </c>
      <c r="N277" t="n">
        <v>0</v>
      </c>
      <c r="O277" t="n">
        <v>0</v>
      </c>
      <c r="P277" t="n">
        <v>0</v>
      </c>
      <c r="Q277" t="n">
        <v>0</v>
      </c>
      <c r="R277" s="2" t="inlineStr"/>
    </row>
    <row r="278" ht="15" customHeight="1">
      <c r="A278" t="inlineStr">
        <is>
          <t>A 28352-2025</t>
        </is>
      </c>
      <c r="B278" s="1" t="n">
        <v>45818</v>
      </c>
      <c r="C278" s="1" t="n">
        <v>45891</v>
      </c>
      <c r="D278" t="inlineStr">
        <is>
          <t>NORRBOTTENS LÄN</t>
        </is>
      </c>
      <c r="E278" t="inlineStr">
        <is>
          <t>ARVIDSJAUR</t>
        </is>
      </c>
      <c r="G278" t="n">
        <v>7.5</v>
      </c>
      <c r="H278" t="n">
        <v>0</v>
      </c>
      <c r="I278" t="n">
        <v>0</v>
      </c>
      <c r="J278" t="n">
        <v>0</v>
      </c>
      <c r="K278" t="n">
        <v>0</v>
      </c>
      <c r="L278" t="n">
        <v>0</v>
      </c>
      <c r="M278" t="n">
        <v>0</v>
      </c>
      <c r="N278" t="n">
        <v>0</v>
      </c>
      <c r="O278" t="n">
        <v>0</v>
      </c>
      <c r="P278" t="n">
        <v>0</v>
      </c>
      <c r="Q278" t="n">
        <v>0</v>
      </c>
      <c r="R278" s="2" t="inlineStr"/>
    </row>
    <row r="279" ht="15" customHeight="1">
      <c r="A279" t="inlineStr">
        <is>
          <t>A 4934-2024</t>
        </is>
      </c>
      <c r="B279" s="1" t="n">
        <v>45329</v>
      </c>
      <c r="C279" s="1" t="n">
        <v>45891</v>
      </c>
      <c r="D279" t="inlineStr">
        <is>
          <t>NORRBOTTENS LÄN</t>
        </is>
      </c>
      <c r="E279" t="inlineStr">
        <is>
          <t>ARVIDSJAUR</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28353-2025</t>
        </is>
      </c>
      <c r="B280" s="1" t="n">
        <v>45818</v>
      </c>
      <c r="C280" s="1" t="n">
        <v>45891</v>
      </c>
      <c r="D280" t="inlineStr">
        <is>
          <t>NORRBOTTENS LÄN</t>
        </is>
      </c>
      <c r="E280" t="inlineStr">
        <is>
          <t>ARVIDSJAUR</t>
        </is>
      </c>
      <c r="G280" t="n">
        <v>0.9</v>
      </c>
      <c r="H280" t="n">
        <v>0</v>
      </c>
      <c r="I280" t="n">
        <v>0</v>
      </c>
      <c r="J280" t="n">
        <v>0</v>
      </c>
      <c r="K280" t="n">
        <v>0</v>
      </c>
      <c r="L280" t="n">
        <v>0</v>
      </c>
      <c r="M280" t="n">
        <v>0</v>
      </c>
      <c r="N280" t="n">
        <v>0</v>
      </c>
      <c r="O280" t="n">
        <v>0</v>
      </c>
      <c r="P280" t="n">
        <v>0</v>
      </c>
      <c r="Q280" t="n">
        <v>0</v>
      </c>
      <c r="R280" s="2" t="inlineStr"/>
    </row>
    <row r="281" ht="15" customHeight="1">
      <c r="A281" t="inlineStr">
        <is>
          <t>A 28356-2025</t>
        </is>
      </c>
      <c r="B281" s="1" t="n">
        <v>45818</v>
      </c>
      <c r="C281" s="1" t="n">
        <v>45891</v>
      </c>
      <c r="D281" t="inlineStr">
        <is>
          <t>NORRBOTTENS LÄN</t>
        </is>
      </c>
      <c r="E281" t="inlineStr">
        <is>
          <t>ARVIDSJAUR</t>
        </is>
      </c>
      <c r="G281" t="n">
        <v>1.1</v>
      </c>
      <c r="H281" t="n">
        <v>0</v>
      </c>
      <c r="I281" t="n">
        <v>0</v>
      </c>
      <c r="J281" t="n">
        <v>0</v>
      </c>
      <c r="K281" t="n">
        <v>0</v>
      </c>
      <c r="L281" t="n">
        <v>0</v>
      </c>
      <c r="M281" t="n">
        <v>0</v>
      </c>
      <c r="N281" t="n">
        <v>0</v>
      </c>
      <c r="O281" t="n">
        <v>0</v>
      </c>
      <c r="P281" t="n">
        <v>0</v>
      </c>
      <c r="Q281" t="n">
        <v>0</v>
      </c>
      <c r="R281" s="2" t="inlineStr"/>
    </row>
    <row r="282" ht="15" customHeight="1">
      <c r="A282" t="inlineStr">
        <is>
          <t>A 28357-2025</t>
        </is>
      </c>
      <c r="B282" s="1" t="n">
        <v>45818</v>
      </c>
      <c r="C282" s="1" t="n">
        <v>45891</v>
      </c>
      <c r="D282" t="inlineStr">
        <is>
          <t>NORRBOTTENS LÄN</t>
        </is>
      </c>
      <c r="E282" t="inlineStr">
        <is>
          <t>ARVIDSJAUR</t>
        </is>
      </c>
      <c r="G282" t="n">
        <v>0.9</v>
      </c>
      <c r="H282" t="n">
        <v>0</v>
      </c>
      <c r="I282" t="n">
        <v>0</v>
      </c>
      <c r="J282" t="n">
        <v>0</v>
      </c>
      <c r="K282" t="n">
        <v>0</v>
      </c>
      <c r="L282" t="n">
        <v>0</v>
      </c>
      <c r="M282" t="n">
        <v>0</v>
      </c>
      <c r="N282" t="n">
        <v>0</v>
      </c>
      <c r="O282" t="n">
        <v>0</v>
      </c>
      <c r="P282" t="n">
        <v>0</v>
      </c>
      <c r="Q282" t="n">
        <v>0</v>
      </c>
      <c r="R282" s="2" t="inlineStr"/>
    </row>
    <row r="283" ht="15" customHeight="1">
      <c r="A283" t="inlineStr">
        <is>
          <t>A 61374-2024</t>
        </is>
      </c>
      <c r="B283" s="1" t="n">
        <v>45646</v>
      </c>
      <c r="C283" s="1" t="n">
        <v>45891</v>
      </c>
      <c r="D283" t="inlineStr">
        <is>
          <t>NORRBOTTENS LÄN</t>
        </is>
      </c>
      <c r="E283" t="inlineStr">
        <is>
          <t>ARVIDSJAUR</t>
        </is>
      </c>
      <c r="G283" t="n">
        <v>13.9</v>
      </c>
      <c r="H283" t="n">
        <v>0</v>
      </c>
      <c r="I283" t="n">
        <v>0</v>
      </c>
      <c r="J283" t="n">
        <v>0</v>
      </c>
      <c r="K283" t="n">
        <v>0</v>
      </c>
      <c r="L283" t="n">
        <v>0</v>
      </c>
      <c r="M283" t="n">
        <v>0</v>
      </c>
      <c r="N283" t="n">
        <v>0</v>
      </c>
      <c r="O283" t="n">
        <v>0</v>
      </c>
      <c r="P283" t="n">
        <v>0</v>
      </c>
      <c r="Q283" t="n">
        <v>0</v>
      </c>
      <c r="R283" s="2" t="inlineStr"/>
    </row>
    <row r="284" ht="15" customHeight="1">
      <c r="A284" t="inlineStr">
        <is>
          <t>A 46443-2024</t>
        </is>
      </c>
      <c r="B284" s="1" t="n">
        <v>45582</v>
      </c>
      <c r="C284" s="1" t="n">
        <v>45891</v>
      </c>
      <c r="D284" t="inlineStr">
        <is>
          <t>NORRBOTTENS LÄN</t>
        </is>
      </c>
      <c r="E284" t="inlineStr">
        <is>
          <t>ARVIDSJAUR</t>
        </is>
      </c>
      <c r="G284" t="n">
        <v>4.3</v>
      </c>
      <c r="H284" t="n">
        <v>0</v>
      </c>
      <c r="I284" t="n">
        <v>0</v>
      </c>
      <c r="J284" t="n">
        <v>0</v>
      </c>
      <c r="K284" t="n">
        <v>0</v>
      </c>
      <c r="L284" t="n">
        <v>0</v>
      </c>
      <c r="M284" t="n">
        <v>0</v>
      </c>
      <c r="N284" t="n">
        <v>0</v>
      </c>
      <c r="O284" t="n">
        <v>0</v>
      </c>
      <c r="P284" t="n">
        <v>0</v>
      </c>
      <c r="Q284" t="n">
        <v>0</v>
      </c>
      <c r="R284" s="2" t="inlineStr"/>
    </row>
    <row r="285" ht="15" customHeight="1">
      <c r="A285" t="inlineStr">
        <is>
          <t>A 3265-2024</t>
        </is>
      </c>
      <c r="B285" s="1" t="n">
        <v>45316</v>
      </c>
      <c r="C285" s="1" t="n">
        <v>45891</v>
      </c>
      <c r="D285" t="inlineStr">
        <is>
          <t>NORRBOTTENS LÄN</t>
        </is>
      </c>
      <c r="E285" t="inlineStr">
        <is>
          <t>ARVIDSJAUR</t>
        </is>
      </c>
      <c r="F285" t="inlineStr">
        <is>
          <t>Allmännings- och besparingsskogar</t>
        </is>
      </c>
      <c r="G285" t="n">
        <v>0.5</v>
      </c>
      <c r="H285" t="n">
        <v>0</v>
      </c>
      <c r="I285" t="n">
        <v>0</v>
      </c>
      <c r="J285" t="n">
        <v>0</v>
      </c>
      <c r="K285" t="n">
        <v>0</v>
      </c>
      <c r="L285" t="n">
        <v>0</v>
      </c>
      <c r="M285" t="n">
        <v>0</v>
      </c>
      <c r="N285" t="n">
        <v>0</v>
      </c>
      <c r="O285" t="n">
        <v>0</v>
      </c>
      <c r="P285" t="n">
        <v>0</v>
      </c>
      <c r="Q285" t="n">
        <v>0</v>
      </c>
      <c r="R285" s="2" t="inlineStr"/>
    </row>
    <row r="286" ht="15" customHeight="1">
      <c r="A286" t="inlineStr">
        <is>
          <t>A 14345-2025</t>
        </is>
      </c>
      <c r="B286" s="1" t="n">
        <v>45741.34417824074</v>
      </c>
      <c r="C286" s="1" t="n">
        <v>45891</v>
      </c>
      <c r="D286" t="inlineStr">
        <is>
          <t>NORRBOTTENS LÄN</t>
        </is>
      </c>
      <c r="E286" t="inlineStr">
        <is>
          <t>ARVIDSJAUR</t>
        </is>
      </c>
      <c r="F286" t="inlineStr">
        <is>
          <t>SCA</t>
        </is>
      </c>
      <c r="G286" t="n">
        <v>6.7</v>
      </c>
      <c r="H286" t="n">
        <v>0</v>
      </c>
      <c r="I286" t="n">
        <v>0</v>
      </c>
      <c r="J286" t="n">
        <v>0</v>
      </c>
      <c r="K286" t="n">
        <v>0</v>
      </c>
      <c r="L286" t="n">
        <v>0</v>
      </c>
      <c r="M286" t="n">
        <v>0</v>
      </c>
      <c r="N286" t="n">
        <v>0</v>
      </c>
      <c r="O286" t="n">
        <v>0</v>
      </c>
      <c r="P286" t="n">
        <v>0</v>
      </c>
      <c r="Q286" t="n">
        <v>0</v>
      </c>
      <c r="R286" s="2" t="inlineStr"/>
    </row>
    <row r="287" ht="15" customHeight="1">
      <c r="A287" t="inlineStr">
        <is>
          <t>A 11492-2025</t>
        </is>
      </c>
      <c r="B287" s="1" t="n">
        <v>45726</v>
      </c>
      <c r="C287" s="1" t="n">
        <v>45891</v>
      </c>
      <c r="D287" t="inlineStr">
        <is>
          <t>NORRBOTTENS LÄN</t>
        </is>
      </c>
      <c r="E287" t="inlineStr">
        <is>
          <t>ARVIDSJAUR</t>
        </is>
      </c>
      <c r="F287" t="inlineStr">
        <is>
          <t>Allmännings- och besparingsskogar</t>
        </is>
      </c>
      <c r="G287" t="n">
        <v>14.2</v>
      </c>
      <c r="H287" t="n">
        <v>0</v>
      </c>
      <c r="I287" t="n">
        <v>0</v>
      </c>
      <c r="J287" t="n">
        <v>0</v>
      </c>
      <c r="K287" t="n">
        <v>0</v>
      </c>
      <c r="L287" t="n">
        <v>0</v>
      </c>
      <c r="M287" t="n">
        <v>0</v>
      </c>
      <c r="N287" t="n">
        <v>0</v>
      </c>
      <c r="O287" t="n">
        <v>0</v>
      </c>
      <c r="P287" t="n">
        <v>0</v>
      </c>
      <c r="Q287" t="n">
        <v>0</v>
      </c>
      <c r="R287" s="2" t="inlineStr"/>
    </row>
    <row r="288" ht="15" customHeight="1">
      <c r="A288" t="inlineStr">
        <is>
          <t>A 11494-2025</t>
        </is>
      </c>
      <c r="B288" s="1" t="n">
        <v>45726</v>
      </c>
      <c r="C288" s="1" t="n">
        <v>45891</v>
      </c>
      <c r="D288" t="inlineStr">
        <is>
          <t>NORRBOTTENS LÄN</t>
        </is>
      </c>
      <c r="E288" t="inlineStr">
        <is>
          <t>ARVIDSJAUR</t>
        </is>
      </c>
      <c r="F288" t="inlineStr">
        <is>
          <t>Allmännings- och besparingsskogar</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2116-2024</t>
        </is>
      </c>
      <c r="B289" s="1" t="n">
        <v>45309</v>
      </c>
      <c r="C289" s="1" t="n">
        <v>45891</v>
      </c>
      <c r="D289" t="inlineStr">
        <is>
          <t>NORRBOTTENS LÄN</t>
        </is>
      </c>
      <c r="E289" t="inlineStr">
        <is>
          <t>ARVIDSJAUR</t>
        </is>
      </c>
      <c r="G289" t="n">
        <v>0.9</v>
      </c>
      <c r="H289" t="n">
        <v>0</v>
      </c>
      <c r="I289" t="n">
        <v>0</v>
      </c>
      <c r="J289" t="n">
        <v>0</v>
      </c>
      <c r="K289" t="n">
        <v>0</v>
      </c>
      <c r="L289" t="n">
        <v>0</v>
      </c>
      <c r="M289" t="n">
        <v>0</v>
      </c>
      <c r="N289" t="n">
        <v>0</v>
      </c>
      <c r="O289" t="n">
        <v>0</v>
      </c>
      <c r="P289" t="n">
        <v>0</v>
      </c>
      <c r="Q289" t="n">
        <v>0</v>
      </c>
      <c r="R289" s="2" t="inlineStr"/>
    </row>
    <row r="290" ht="15" customHeight="1">
      <c r="A290" t="inlineStr">
        <is>
          <t>A 11540-2025</t>
        </is>
      </c>
      <c r="B290" s="1" t="n">
        <v>45726</v>
      </c>
      <c r="C290" s="1" t="n">
        <v>45891</v>
      </c>
      <c r="D290" t="inlineStr">
        <is>
          <t>NORRBOTTENS LÄN</t>
        </is>
      </c>
      <c r="E290" t="inlineStr">
        <is>
          <t>ARVIDSJAUR</t>
        </is>
      </c>
      <c r="F290" t="inlineStr">
        <is>
          <t>Allmännings- och besparingsskogar</t>
        </is>
      </c>
      <c r="G290" t="n">
        <v>4.7</v>
      </c>
      <c r="H290" t="n">
        <v>0</v>
      </c>
      <c r="I290" t="n">
        <v>0</v>
      </c>
      <c r="J290" t="n">
        <v>0</v>
      </c>
      <c r="K290" t="n">
        <v>0</v>
      </c>
      <c r="L290" t="n">
        <v>0</v>
      </c>
      <c r="M290" t="n">
        <v>0</v>
      </c>
      <c r="N290" t="n">
        <v>0</v>
      </c>
      <c r="O290" t="n">
        <v>0</v>
      </c>
      <c r="P290" t="n">
        <v>0</v>
      </c>
      <c r="Q290" t="n">
        <v>0</v>
      </c>
      <c r="R290" s="2" t="inlineStr"/>
    </row>
    <row r="291" ht="15" customHeight="1">
      <c r="A291" t="inlineStr">
        <is>
          <t>A 28892-2025</t>
        </is>
      </c>
      <c r="B291" s="1" t="n">
        <v>45820.63246527778</v>
      </c>
      <c r="C291" s="1" t="n">
        <v>45891</v>
      </c>
      <c r="D291" t="inlineStr">
        <is>
          <t>NORRBOTTENS LÄN</t>
        </is>
      </c>
      <c r="E291" t="inlineStr">
        <is>
          <t>ARVIDSJAUR</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28894-2025</t>
        </is>
      </c>
      <c r="B292" s="1" t="n">
        <v>45820.63534722223</v>
      </c>
      <c r="C292" s="1" t="n">
        <v>45891</v>
      </c>
      <c r="D292" t="inlineStr">
        <is>
          <t>NORRBOTTENS LÄN</t>
        </is>
      </c>
      <c r="E292" t="inlineStr">
        <is>
          <t>ARVIDSJAUR</t>
        </is>
      </c>
      <c r="F292" t="inlineStr">
        <is>
          <t>Sveaskog</t>
        </is>
      </c>
      <c r="G292" t="n">
        <v>14.2</v>
      </c>
      <c r="H292" t="n">
        <v>0</v>
      </c>
      <c r="I292" t="n">
        <v>0</v>
      </c>
      <c r="J292" t="n">
        <v>0</v>
      </c>
      <c r="K292" t="n">
        <v>0</v>
      </c>
      <c r="L292" t="n">
        <v>0</v>
      </c>
      <c r="M292" t="n">
        <v>0</v>
      </c>
      <c r="N292" t="n">
        <v>0</v>
      </c>
      <c r="O292" t="n">
        <v>0</v>
      </c>
      <c r="P292" t="n">
        <v>0</v>
      </c>
      <c r="Q292" t="n">
        <v>0</v>
      </c>
      <c r="R292" s="2" t="inlineStr"/>
    </row>
    <row r="293" ht="15" customHeight="1">
      <c r="A293" t="inlineStr">
        <is>
          <t>A 35670-2025</t>
        </is>
      </c>
      <c r="B293" s="1" t="n">
        <v>45859.61556712963</v>
      </c>
      <c r="C293" s="1" t="n">
        <v>45891</v>
      </c>
      <c r="D293" t="inlineStr">
        <is>
          <t>NORRBOTTENS LÄN</t>
        </is>
      </c>
      <c r="E293" t="inlineStr">
        <is>
          <t>ARVIDSJAUR</t>
        </is>
      </c>
      <c r="G293" t="n">
        <v>0.8</v>
      </c>
      <c r="H293" t="n">
        <v>0</v>
      </c>
      <c r="I293" t="n">
        <v>0</v>
      </c>
      <c r="J293" t="n">
        <v>0</v>
      </c>
      <c r="K293" t="n">
        <v>0</v>
      </c>
      <c r="L293" t="n">
        <v>0</v>
      </c>
      <c r="M293" t="n">
        <v>0</v>
      </c>
      <c r="N293" t="n">
        <v>0</v>
      </c>
      <c r="O293" t="n">
        <v>0</v>
      </c>
      <c r="P293" t="n">
        <v>0</v>
      </c>
      <c r="Q293" t="n">
        <v>0</v>
      </c>
      <c r="R293" s="2" t="inlineStr"/>
    </row>
    <row r="294" ht="15" customHeight="1">
      <c r="A294" t="inlineStr">
        <is>
          <t>A 26686-2024</t>
        </is>
      </c>
      <c r="B294" s="1" t="n">
        <v>45470.35486111111</v>
      </c>
      <c r="C294" s="1" t="n">
        <v>45891</v>
      </c>
      <c r="D294" t="inlineStr">
        <is>
          <t>NORRBOTTENS LÄN</t>
        </is>
      </c>
      <c r="E294" t="inlineStr">
        <is>
          <t>ARVIDSJAUR</t>
        </is>
      </c>
      <c r="F294" t="inlineStr">
        <is>
          <t>Sveaskog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10838-2025</t>
        </is>
      </c>
      <c r="B295" s="1" t="n">
        <v>45722</v>
      </c>
      <c r="C295" s="1" t="n">
        <v>45891</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11574-2025</t>
        </is>
      </c>
      <c r="B296" s="1" t="n">
        <v>45726</v>
      </c>
      <c r="C296" s="1" t="n">
        <v>45891</v>
      </c>
      <c r="D296" t="inlineStr">
        <is>
          <t>NORRBOTTENS LÄN</t>
        </is>
      </c>
      <c r="E296" t="inlineStr">
        <is>
          <t>ARVIDSJAUR</t>
        </is>
      </c>
      <c r="F296" t="inlineStr">
        <is>
          <t>Allmännings- och besparingsskogar</t>
        </is>
      </c>
      <c r="G296" t="n">
        <v>3.6</v>
      </c>
      <c r="H296" t="n">
        <v>0</v>
      </c>
      <c r="I296" t="n">
        <v>0</v>
      </c>
      <c r="J296" t="n">
        <v>0</v>
      </c>
      <c r="K296" t="n">
        <v>0</v>
      </c>
      <c r="L296" t="n">
        <v>0</v>
      </c>
      <c r="M296" t="n">
        <v>0</v>
      </c>
      <c r="N296" t="n">
        <v>0</v>
      </c>
      <c r="O296" t="n">
        <v>0</v>
      </c>
      <c r="P296" t="n">
        <v>0</v>
      </c>
      <c r="Q296" t="n">
        <v>0</v>
      </c>
      <c r="R296" s="2" t="inlineStr"/>
    </row>
    <row r="297" ht="15" customHeight="1">
      <c r="A297" t="inlineStr">
        <is>
          <t>A 11591-2025</t>
        </is>
      </c>
      <c r="B297" s="1" t="n">
        <v>45726</v>
      </c>
      <c r="C297" s="1" t="n">
        <v>45891</v>
      </c>
      <c r="D297" t="inlineStr">
        <is>
          <t>NORRBOTTENS LÄN</t>
        </is>
      </c>
      <c r="E297" t="inlineStr">
        <is>
          <t>ARVIDSJAUR</t>
        </is>
      </c>
      <c r="F297" t="inlineStr">
        <is>
          <t>Allmännings- och besparingsskogar</t>
        </is>
      </c>
      <c r="G297" t="n">
        <v>10.9</v>
      </c>
      <c r="H297" t="n">
        <v>0</v>
      </c>
      <c r="I297" t="n">
        <v>0</v>
      </c>
      <c r="J297" t="n">
        <v>0</v>
      </c>
      <c r="K297" t="n">
        <v>0</v>
      </c>
      <c r="L297" t="n">
        <v>0</v>
      </c>
      <c r="M297" t="n">
        <v>0</v>
      </c>
      <c r="N297" t="n">
        <v>0</v>
      </c>
      <c r="O297" t="n">
        <v>0</v>
      </c>
      <c r="P297" t="n">
        <v>0</v>
      </c>
      <c r="Q297" t="n">
        <v>0</v>
      </c>
      <c r="R297" s="2" t="inlineStr"/>
    </row>
    <row r="298" ht="15" customHeight="1">
      <c r="A298" t="inlineStr">
        <is>
          <t>A 29241-2025</t>
        </is>
      </c>
      <c r="B298" s="1" t="n">
        <v>45824</v>
      </c>
      <c r="C298" s="1" t="n">
        <v>45891</v>
      </c>
      <c r="D298" t="inlineStr">
        <is>
          <t>NORRBOTTENS LÄN</t>
        </is>
      </c>
      <c r="E298" t="inlineStr">
        <is>
          <t>ARVIDSJAUR</t>
        </is>
      </c>
      <c r="G298" t="n">
        <v>2.1</v>
      </c>
      <c r="H298" t="n">
        <v>0</v>
      </c>
      <c r="I298" t="n">
        <v>0</v>
      </c>
      <c r="J298" t="n">
        <v>0</v>
      </c>
      <c r="K298" t="n">
        <v>0</v>
      </c>
      <c r="L298" t="n">
        <v>0</v>
      </c>
      <c r="M298" t="n">
        <v>0</v>
      </c>
      <c r="N298" t="n">
        <v>0</v>
      </c>
      <c r="O298" t="n">
        <v>0</v>
      </c>
      <c r="P298" t="n">
        <v>0</v>
      </c>
      <c r="Q298" t="n">
        <v>0</v>
      </c>
      <c r="R298" s="2" t="inlineStr"/>
    </row>
    <row r="299" ht="15" customHeight="1">
      <c r="A299" t="inlineStr">
        <is>
          <t>A 28954-2025</t>
        </is>
      </c>
      <c r="B299" s="1" t="n">
        <v>45821.28777777778</v>
      </c>
      <c r="C299" s="1" t="n">
        <v>45891</v>
      </c>
      <c r="D299" t="inlineStr">
        <is>
          <t>NORRBOTTENS LÄN</t>
        </is>
      </c>
      <c r="E299" t="inlineStr">
        <is>
          <t>ARVIDSJAUR</t>
        </is>
      </c>
      <c r="F299" t="inlineStr">
        <is>
          <t>Sveaskog</t>
        </is>
      </c>
      <c r="G299" t="n">
        <v>3.8</v>
      </c>
      <c r="H299" t="n">
        <v>0</v>
      </c>
      <c r="I299" t="n">
        <v>0</v>
      </c>
      <c r="J299" t="n">
        <v>0</v>
      </c>
      <c r="K299" t="n">
        <v>0</v>
      </c>
      <c r="L299" t="n">
        <v>0</v>
      </c>
      <c r="M299" t="n">
        <v>0</v>
      </c>
      <c r="N299" t="n">
        <v>0</v>
      </c>
      <c r="O299" t="n">
        <v>0</v>
      </c>
      <c r="P299" t="n">
        <v>0</v>
      </c>
      <c r="Q299" t="n">
        <v>0</v>
      </c>
      <c r="R299" s="2" t="inlineStr"/>
    </row>
    <row r="300" ht="15" customHeight="1">
      <c r="A300" t="inlineStr">
        <is>
          <t>A 3203-2024</t>
        </is>
      </c>
      <c r="B300" s="1" t="n">
        <v>45316</v>
      </c>
      <c r="C300" s="1" t="n">
        <v>45891</v>
      </c>
      <c r="D300" t="inlineStr">
        <is>
          <t>NORRBOTTENS LÄN</t>
        </is>
      </c>
      <c r="E300" t="inlineStr">
        <is>
          <t>ARVIDSJAUR</t>
        </is>
      </c>
      <c r="F300" t="inlineStr">
        <is>
          <t>Allmännings- och besparingsskogar</t>
        </is>
      </c>
      <c r="G300" t="n">
        <v>6.3</v>
      </c>
      <c r="H300" t="n">
        <v>0</v>
      </c>
      <c r="I300" t="n">
        <v>0</v>
      </c>
      <c r="J300" t="n">
        <v>0</v>
      </c>
      <c r="K300" t="n">
        <v>0</v>
      </c>
      <c r="L300" t="n">
        <v>0</v>
      </c>
      <c r="M300" t="n">
        <v>0</v>
      </c>
      <c r="N300" t="n">
        <v>0</v>
      </c>
      <c r="O300" t="n">
        <v>0</v>
      </c>
      <c r="P300" t="n">
        <v>0</v>
      </c>
      <c r="Q300" t="n">
        <v>0</v>
      </c>
      <c r="R300" s="2" t="inlineStr"/>
    </row>
    <row r="301" ht="15" customHeight="1">
      <c r="A301" t="inlineStr">
        <is>
          <t>A 19232-2025</t>
        </is>
      </c>
      <c r="B301" s="1" t="n">
        <v>45769</v>
      </c>
      <c r="C301" s="1" t="n">
        <v>45891</v>
      </c>
      <c r="D301" t="inlineStr">
        <is>
          <t>NORRBOTTENS LÄN</t>
        </is>
      </c>
      <c r="E301" t="inlineStr">
        <is>
          <t>ARVIDSJAUR</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61625-2024</t>
        </is>
      </c>
      <c r="B302" s="1" t="n">
        <v>45646</v>
      </c>
      <c r="C302" s="1" t="n">
        <v>45891</v>
      </c>
      <c r="D302" t="inlineStr">
        <is>
          <t>NORRBOTTENS LÄN</t>
        </is>
      </c>
      <c r="E302" t="inlineStr">
        <is>
          <t>ARVIDSJAUR</t>
        </is>
      </c>
      <c r="F302" t="inlineStr">
        <is>
          <t>Sveaskog</t>
        </is>
      </c>
      <c r="G302" t="n">
        <v>7.7</v>
      </c>
      <c r="H302" t="n">
        <v>0</v>
      </c>
      <c r="I302" t="n">
        <v>0</v>
      </c>
      <c r="J302" t="n">
        <v>0</v>
      </c>
      <c r="K302" t="n">
        <v>0</v>
      </c>
      <c r="L302" t="n">
        <v>0</v>
      </c>
      <c r="M302" t="n">
        <v>0</v>
      </c>
      <c r="N302" t="n">
        <v>0</v>
      </c>
      <c r="O302" t="n">
        <v>0</v>
      </c>
      <c r="P302" t="n">
        <v>0</v>
      </c>
      <c r="Q302" t="n">
        <v>0</v>
      </c>
      <c r="R302" s="2" t="inlineStr"/>
    </row>
    <row r="303" ht="15" customHeight="1">
      <c r="A303" t="inlineStr">
        <is>
          <t>A 29518-2025</t>
        </is>
      </c>
      <c r="B303" s="1" t="n">
        <v>45825.32150462963</v>
      </c>
      <c r="C303" s="1" t="n">
        <v>45891</v>
      </c>
      <c r="D303" t="inlineStr">
        <is>
          <t>NORRBOTTENS LÄN</t>
        </is>
      </c>
      <c r="E303" t="inlineStr">
        <is>
          <t>ARVIDSJAUR</t>
        </is>
      </c>
      <c r="F303" t="inlineStr">
        <is>
          <t>Sveaskog</t>
        </is>
      </c>
      <c r="G303" t="n">
        <v>13.3</v>
      </c>
      <c r="H303" t="n">
        <v>0</v>
      </c>
      <c r="I303" t="n">
        <v>0</v>
      </c>
      <c r="J303" t="n">
        <v>0</v>
      </c>
      <c r="K303" t="n">
        <v>0</v>
      </c>
      <c r="L303" t="n">
        <v>0</v>
      </c>
      <c r="M303" t="n">
        <v>0</v>
      </c>
      <c r="N303" t="n">
        <v>0</v>
      </c>
      <c r="O303" t="n">
        <v>0</v>
      </c>
      <c r="P303" t="n">
        <v>0</v>
      </c>
      <c r="Q303" t="n">
        <v>0</v>
      </c>
      <c r="R303" s="2" t="inlineStr"/>
    </row>
    <row r="304" ht="15" customHeight="1">
      <c r="A304" t="inlineStr">
        <is>
          <t>A 29504-2025</t>
        </is>
      </c>
      <c r="B304" s="1" t="n">
        <v>45825</v>
      </c>
      <c r="C304" s="1" t="n">
        <v>45891</v>
      </c>
      <c r="D304" t="inlineStr">
        <is>
          <t>NORRBOTTENS LÄN</t>
        </is>
      </c>
      <c r="E304" t="inlineStr">
        <is>
          <t>ARVIDSJAUR</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11582-2025</t>
        </is>
      </c>
      <c r="B305" s="1" t="n">
        <v>45726</v>
      </c>
      <c r="C305" s="1" t="n">
        <v>45891</v>
      </c>
      <c r="D305" t="inlineStr">
        <is>
          <t>NORRBOTTENS LÄN</t>
        </is>
      </c>
      <c r="E305" t="inlineStr">
        <is>
          <t>ARVIDSJAUR</t>
        </is>
      </c>
      <c r="F305" t="inlineStr">
        <is>
          <t>Allmännings- och besparingsskogar</t>
        </is>
      </c>
      <c r="G305" t="n">
        <v>7.1</v>
      </c>
      <c r="H305" t="n">
        <v>0</v>
      </c>
      <c r="I305" t="n">
        <v>0</v>
      </c>
      <c r="J305" t="n">
        <v>0</v>
      </c>
      <c r="K305" t="n">
        <v>0</v>
      </c>
      <c r="L305" t="n">
        <v>0</v>
      </c>
      <c r="M305" t="n">
        <v>0</v>
      </c>
      <c r="N305" t="n">
        <v>0</v>
      </c>
      <c r="O305" t="n">
        <v>0</v>
      </c>
      <c r="P305" t="n">
        <v>0</v>
      </c>
      <c r="Q305" t="n">
        <v>0</v>
      </c>
      <c r="R305" s="2" t="inlineStr"/>
    </row>
    <row r="306" ht="15" customHeight="1">
      <c r="A306" t="inlineStr">
        <is>
          <t>A 29516-2025</t>
        </is>
      </c>
      <c r="B306" s="1" t="n">
        <v>45825.31756944444</v>
      </c>
      <c r="C306" s="1" t="n">
        <v>45891</v>
      </c>
      <c r="D306" t="inlineStr">
        <is>
          <t>NORRBOTTENS LÄN</t>
        </is>
      </c>
      <c r="E306" t="inlineStr">
        <is>
          <t>ARVIDSJAUR</t>
        </is>
      </c>
      <c r="F306" t="inlineStr">
        <is>
          <t>Sveaskog</t>
        </is>
      </c>
      <c r="G306" t="n">
        <v>17.1</v>
      </c>
      <c r="H306" t="n">
        <v>0</v>
      </c>
      <c r="I306" t="n">
        <v>0</v>
      </c>
      <c r="J306" t="n">
        <v>0</v>
      </c>
      <c r="K306" t="n">
        <v>0</v>
      </c>
      <c r="L306" t="n">
        <v>0</v>
      </c>
      <c r="M306" t="n">
        <v>0</v>
      </c>
      <c r="N306" t="n">
        <v>0</v>
      </c>
      <c r="O306" t="n">
        <v>0</v>
      </c>
      <c r="P306" t="n">
        <v>0</v>
      </c>
      <c r="Q306" t="n">
        <v>0</v>
      </c>
      <c r="R306" s="2" t="inlineStr"/>
    </row>
    <row r="307" ht="15" customHeight="1">
      <c r="A307" t="inlineStr">
        <is>
          <t>A 29514-2025</t>
        </is>
      </c>
      <c r="B307" s="1" t="n">
        <v>45825.3119212963</v>
      </c>
      <c r="C307" s="1" t="n">
        <v>45891</v>
      </c>
      <c r="D307" t="inlineStr">
        <is>
          <t>NORRBOTTENS LÄN</t>
        </is>
      </c>
      <c r="E307" t="inlineStr">
        <is>
          <t>ARVIDSJAUR</t>
        </is>
      </c>
      <c r="F307" t="inlineStr">
        <is>
          <t>Sveaskog</t>
        </is>
      </c>
      <c r="G307" t="n">
        <v>3.9</v>
      </c>
      <c r="H307" t="n">
        <v>0</v>
      </c>
      <c r="I307" t="n">
        <v>0</v>
      </c>
      <c r="J307" t="n">
        <v>0</v>
      </c>
      <c r="K307" t="n">
        <v>0</v>
      </c>
      <c r="L307" t="n">
        <v>0</v>
      </c>
      <c r="M307" t="n">
        <v>0</v>
      </c>
      <c r="N307" t="n">
        <v>0</v>
      </c>
      <c r="O307" t="n">
        <v>0</v>
      </c>
      <c r="P307" t="n">
        <v>0</v>
      </c>
      <c r="Q307" t="n">
        <v>0</v>
      </c>
      <c r="R307" s="2" t="inlineStr"/>
    </row>
    <row r="308" ht="15" customHeight="1">
      <c r="A308" t="inlineStr">
        <is>
          <t>A 29674-2024</t>
        </is>
      </c>
      <c r="B308" s="1" t="n">
        <v>45484.94219907407</v>
      </c>
      <c r="C308" s="1" t="n">
        <v>45891</v>
      </c>
      <c r="D308" t="inlineStr">
        <is>
          <t>NORRBOTTENS LÄN</t>
        </is>
      </c>
      <c r="E308" t="inlineStr">
        <is>
          <t>ARVIDSJAUR</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11538-2025</t>
        </is>
      </c>
      <c r="B309" s="1" t="n">
        <v>45726</v>
      </c>
      <c r="C309" s="1" t="n">
        <v>45891</v>
      </c>
      <c r="D309" t="inlineStr">
        <is>
          <t>NORRBOTTENS LÄN</t>
        </is>
      </c>
      <c r="E309" t="inlineStr">
        <is>
          <t>ARVIDSJAUR</t>
        </is>
      </c>
      <c r="F309" t="inlineStr">
        <is>
          <t>Allmännings- och besparingsskogar</t>
        </is>
      </c>
      <c r="G309" t="n">
        <v>15.3</v>
      </c>
      <c r="H309" t="n">
        <v>0</v>
      </c>
      <c r="I309" t="n">
        <v>0</v>
      </c>
      <c r="J309" t="n">
        <v>0</v>
      </c>
      <c r="K309" t="n">
        <v>0</v>
      </c>
      <c r="L309" t="n">
        <v>0</v>
      </c>
      <c r="M309" t="n">
        <v>0</v>
      </c>
      <c r="N309" t="n">
        <v>0</v>
      </c>
      <c r="O309" t="n">
        <v>0</v>
      </c>
      <c r="P309" t="n">
        <v>0</v>
      </c>
      <c r="Q309" t="n">
        <v>0</v>
      </c>
      <c r="R309" s="2" t="inlineStr"/>
    </row>
    <row r="310" ht="15" customHeight="1">
      <c r="A310" t="inlineStr">
        <is>
          <t>A 36489-2025</t>
        </is>
      </c>
      <c r="B310" s="1" t="n">
        <v>45869.52704861111</v>
      </c>
      <c r="C310" s="1" t="n">
        <v>45891</v>
      </c>
      <c r="D310" t="inlineStr">
        <is>
          <t>NORRBOTTENS LÄN</t>
        </is>
      </c>
      <c r="E310" t="inlineStr">
        <is>
          <t>ARVIDSJAUR</t>
        </is>
      </c>
      <c r="F310" t="inlineStr">
        <is>
          <t>Sveaskog</t>
        </is>
      </c>
      <c r="G310" t="n">
        <v>5</v>
      </c>
      <c r="H310" t="n">
        <v>0</v>
      </c>
      <c r="I310" t="n">
        <v>0</v>
      </c>
      <c r="J310" t="n">
        <v>0</v>
      </c>
      <c r="K310" t="n">
        <v>0</v>
      </c>
      <c r="L310" t="n">
        <v>0</v>
      </c>
      <c r="M310" t="n">
        <v>0</v>
      </c>
      <c r="N310" t="n">
        <v>0</v>
      </c>
      <c r="O310" t="n">
        <v>0</v>
      </c>
      <c r="P310" t="n">
        <v>0</v>
      </c>
      <c r="Q310" t="n">
        <v>0</v>
      </c>
      <c r="R310" s="2" t="inlineStr"/>
    </row>
    <row r="311" ht="15" customHeight="1">
      <c r="A311" t="inlineStr">
        <is>
          <t>A 42798-2023</t>
        </is>
      </c>
      <c r="B311" s="1" t="n">
        <v>45182</v>
      </c>
      <c r="C311" s="1" t="n">
        <v>45891</v>
      </c>
      <c r="D311" t="inlineStr">
        <is>
          <t>NORRBOTTENS LÄN</t>
        </is>
      </c>
      <c r="E311" t="inlineStr">
        <is>
          <t>ARVIDSJAUR</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29368-2024</t>
        </is>
      </c>
      <c r="B312" s="1" t="n">
        <v>45483.56891203704</v>
      </c>
      <c r="C312" s="1" t="n">
        <v>45891</v>
      </c>
      <c r="D312" t="inlineStr">
        <is>
          <t>NORRBOTTENS LÄN</t>
        </is>
      </c>
      <c r="E312" t="inlineStr">
        <is>
          <t>ARVIDSJAUR</t>
        </is>
      </c>
      <c r="F312" t="inlineStr">
        <is>
          <t>Sveaskog</t>
        </is>
      </c>
      <c r="G312" t="n">
        <v>30.6</v>
      </c>
      <c r="H312" t="n">
        <v>0</v>
      </c>
      <c r="I312" t="n">
        <v>0</v>
      </c>
      <c r="J312" t="n">
        <v>0</v>
      </c>
      <c r="K312" t="n">
        <v>0</v>
      </c>
      <c r="L312" t="n">
        <v>0</v>
      </c>
      <c r="M312" t="n">
        <v>0</v>
      </c>
      <c r="N312" t="n">
        <v>0</v>
      </c>
      <c r="O312" t="n">
        <v>0</v>
      </c>
      <c r="P312" t="n">
        <v>0</v>
      </c>
      <c r="Q312" t="n">
        <v>0</v>
      </c>
      <c r="R312" s="2" t="inlineStr"/>
    </row>
    <row r="313" ht="15" customHeight="1">
      <c r="A313" t="inlineStr">
        <is>
          <t>A 30383-2025</t>
        </is>
      </c>
      <c r="B313" s="1" t="n">
        <v>45827.57081018519</v>
      </c>
      <c r="C313" s="1" t="n">
        <v>45891</v>
      </c>
      <c r="D313" t="inlineStr">
        <is>
          <t>NORRBOTTENS LÄN</t>
        </is>
      </c>
      <c r="E313" t="inlineStr">
        <is>
          <t>ARVIDSJAUR</t>
        </is>
      </c>
      <c r="G313" t="n">
        <v>20</v>
      </c>
      <c r="H313" t="n">
        <v>0</v>
      </c>
      <c r="I313" t="n">
        <v>0</v>
      </c>
      <c r="J313" t="n">
        <v>0</v>
      </c>
      <c r="K313" t="n">
        <v>0</v>
      </c>
      <c r="L313" t="n">
        <v>0</v>
      </c>
      <c r="M313" t="n">
        <v>0</v>
      </c>
      <c r="N313" t="n">
        <v>0</v>
      </c>
      <c r="O313" t="n">
        <v>0</v>
      </c>
      <c r="P313" t="n">
        <v>0</v>
      </c>
      <c r="Q313" t="n">
        <v>0</v>
      </c>
      <c r="R313" s="2" t="inlineStr"/>
    </row>
    <row r="314" ht="15" customHeight="1">
      <c r="A314" t="inlineStr">
        <is>
          <t>A 59926-2020</t>
        </is>
      </c>
      <c r="B314" s="1" t="n">
        <v>44151</v>
      </c>
      <c r="C314" s="1" t="n">
        <v>45891</v>
      </c>
      <c r="D314" t="inlineStr">
        <is>
          <t>NORRBOTTENS LÄN</t>
        </is>
      </c>
      <c r="E314" t="inlineStr">
        <is>
          <t>ARVIDSJAUR</t>
        </is>
      </c>
      <c r="G314" t="n">
        <v>3.6</v>
      </c>
      <c r="H314" t="n">
        <v>0</v>
      </c>
      <c r="I314" t="n">
        <v>0</v>
      </c>
      <c r="J314" t="n">
        <v>0</v>
      </c>
      <c r="K314" t="n">
        <v>0</v>
      </c>
      <c r="L314" t="n">
        <v>0</v>
      </c>
      <c r="M314" t="n">
        <v>0</v>
      </c>
      <c r="N314" t="n">
        <v>0</v>
      </c>
      <c r="O314" t="n">
        <v>0</v>
      </c>
      <c r="P314" t="n">
        <v>0</v>
      </c>
      <c r="Q314" t="n">
        <v>0</v>
      </c>
      <c r="R314" s="2" t="inlineStr"/>
    </row>
    <row r="315" ht="15" customHeight="1">
      <c r="A315" t="inlineStr">
        <is>
          <t>A 28313-2023</t>
        </is>
      </c>
      <c r="B315" s="1" t="n">
        <v>45099</v>
      </c>
      <c r="C315" s="1" t="n">
        <v>45891</v>
      </c>
      <c r="D315" t="inlineStr">
        <is>
          <t>NORRBOTTENS LÄN</t>
        </is>
      </c>
      <c r="E315" t="inlineStr">
        <is>
          <t>ARVIDSJAUR</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48373-2024</t>
        </is>
      </c>
      <c r="B316" s="1" t="n">
        <v>45590</v>
      </c>
      <c r="C316" s="1" t="n">
        <v>45891</v>
      </c>
      <c r="D316" t="inlineStr">
        <is>
          <t>NORRBOTTENS LÄN</t>
        </is>
      </c>
      <c r="E316" t="inlineStr">
        <is>
          <t>ARVIDSJAUR</t>
        </is>
      </c>
      <c r="F316" t="inlineStr">
        <is>
          <t>Sveaskog</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52646-2023</t>
        </is>
      </c>
      <c r="B317" s="1" t="n">
        <v>45225</v>
      </c>
      <c r="C317" s="1" t="n">
        <v>45891</v>
      </c>
      <c r="D317" t="inlineStr">
        <is>
          <t>NORRBOTTENS LÄN</t>
        </is>
      </c>
      <c r="E317" t="inlineStr">
        <is>
          <t>ARVIDSJAUR</t>
        </is>
      </c>
      <c r="G317" t="n">
        <v>1.2</v>
      </c>
      <c r="H317" t="n">
        <v>0</v>
      </c>
      <c r="I317" t="n">
        <v>0</v>
      </c>
      <c r="J317" t="n">
        <v>0</v>
      </c>
      <c r="K317" t="n">
        <v>0</v>
      </c>
      <c r="L317" t="n">
        <v>0</v>
      </c>
      <c r="M317" t="n">
        <v>0</v>
      </c>
      <c r="N317" t="n">
        <v>0</v>
      </c>
      <c r="O317" t="n">
        <v>0</v>
      </c>
      <c r="P317" t="n">
        <v>0</v>
      </c>
      <c r="Q317" t="n">
        <v>0</v>
      </c>
      <c r="R317" s="2" t="inlineStr"/>
    </row>
    <row r="318" ht="15" customHeight="1">
      <c r="A318" t="inlineStr">
        <is>
          <t>A 5702-2024</t>
        </is>
      </c>
      <c r="B318" s="1" t="n">
        <v>45334</v>
      </c>
      <c r="C318" s="1" t="n">
        <v>45891</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7084-2025</t>
        </is>
      </c>
      <c r="B319" s="1" t="n">
        <v>45701</v>
      </c>
      <c r="C319" s="1" t="n">
        <v>45891</v>
      </c>
      <c r="D319" t="inlineStr">
        <is>
          <t>NORRBOTTENS LÄN</t>
        </is>
      </c>
      <c r="E319" t="inlineStr">
        <is>
          <t>ARVIDSJAUR</t>
        </is>
      </c>
      <c r="G319" t="n">
        <v>1.7</v>
      </c>
      <c r="H319" t="n">
        <v>0</v>
      </c>
      <c r="I319" t="n">
        <v>0</v>
      </c>
      <c r="J319" t="n">
        <v>0</v>
      </c>
      <c r="K319" t="n">
        <v>0</v>
      </c>
      <c r="L319" t="n">
        <v>0</v>
      </c>
      <c r="M319" t="n">
        <v>0</v>
      </c>
      <c r="N319" t="n">
        <v>0</v>
      </c>
      <c r="O319" t="n">
        <v>0</v>
      </c>
      <c r="P319" t="n">
        <v>0</v>
      </c>
      <c r="Q319" t="n">
        <v>0</v>
      </c>
      <c r="R319" s="2" t="inlineStr"/>
    </row>
    <row r="320" ht="15" customHeight="1">
      <c r="A320" t="inlineStr">
        <is>
          <t>A 58942-2024</t>
        </is>
      </c>
      <c r="B320" s="1" t="n">
        <v>45636</v>
      </c>
      <c r="C320" s="1" t="n">
        <v>45891</v>
      </c>
      <c r="D320" t="inlineStr">
        <is>
          <t>NORRBOTTENS LÄN</t>
        </is>
      </c>
      <c r="E320" t="inlineStr">
        <is>
          <t>ARVIDSJAUR</t>
        </is>
      </c>
      <c r="F320" t="inlineStr">
        <is>
          <t>Sveaskog</t>
        </is>
      </c>
      <c r="G320" t="n">
        <v>5.9</v>
      </c>
      <c r="H320" t="n">
        <v>0</v>
      </c>
      <c r="I320" t="n">
        <v>0</v>
      </c>
      <c r="J320" t="n">
        <v>0</v>
      </c>
      <c r="K320" t="n">
        <v>0</v>
      </c>
      <c r="L320" t="n">
        <v>0</v>
      </c>
      <c r="M320" t="n">
        <v>0</v>
      </c>
      <c r="N320" t="n">
        <v>0</v>
      </c>
      <c r="O320" t="n">
        <v>0</v>
      </c>
      <c r="P320" t="n">
        <v>0</v>
      </c>
      <c r="Q320" t="n">
        <v>0</v>
      </c>
      <c r="R320" s="2" t="inlineStr"/>
    </row>
    <row r="321" ht="15" customHeight="1">
      <c r="A321" t="inlineStr">
        <is>
          <t>A 56495-2024</t>
        </is>
      </c>
      <c r="B321" s="1" t="n">
        <v>45625</v>
      </c>
      <c r="C321" s="1" t="n">
        <v>45891</v>
      </c>
      <c r="D321" t="inlineStr">
        <is>
          <t>NORRBOTTENS LÄN</t>
        </is>
      </c>
      <c r="E321" t="inlineStr">
        <is>
          <t>ARVIDSJAUR</t>
        </is>
      </c>
      <c r="G321" t="n">
        <v>14.1</v>
      </c>
      <c r="H321" t="n">
        <v>0</v>
      </c>
      <c r="I321" t="n">
        <v>0</v>
      </c>
      <c r="J321" t="n">
        <v>0</v>
      </c>
      <c r="K321" t="n">
        <v>0</v>
      </c>
      <c r="L321" t="n">
        <v>0</v>
      </c>
      <c r="M321" t="n">
        <v>0</v>
      </c>
      <c r="N321" t="n">
        <v>0</v>
      </c>
      <c r="O321" t="n">
        <v>0</v>
      </c>
      <c r="P321" t="n">
        <v>0</v>
      </c>
      <c r="Q321" t="n">
        <v>0</v>
      </c>
      <c r="R321" s="2" t="inlineStr"/>
    </row>
    <row r="322" ht="15" customHeight="1">
      <c r="A322" t="inlineStr">
        <is>
          <t>A 44179-2023</t>
        </is>
      </c>
      <c r="B322" s="1" t="n">
        <v>45188.51991898148</v>
      </c>
      <c r="C322" s="1" t="n">
        <v>45891</v>
      </c>
      <c r="D322" t="inlineStr">
        <is>
          <t>NORRBOTTENS LÄN</t>
        </is>
      </c>
      <c r="E322" t="inlineStr">
        <is>
          <t>ARVIDSJAUR</t>
        </is>
      </c>
      <c r="F322" t="inlineStr">
        <is>
          <t>Sveaskog</t>
        </is>
      </c>
      <c r="G322" t="n">
        <v>7.3</v>
      </c>
      <c r="H322" t="n">
        <v>0</v>
      </c>
      <c r="I322" t="n">
        <v>0</v>
      </c>
      <c r="J322" t="n">
        <v>0</v>
      </c>
      <c r="K322" t="n">
        <v>0</v>
      </c>
      <c r="L322" t="n">
        <v>0</v>
      </c>
      <c r="M322" t="n">
        <v>0</v>
      </c>
      <c r="N322" t="n">
        <v>0</v>
      </c>
      <c r="O322" t="n">
        <v>0</v>
      </c>
      <c r="P322" t="n">
        <v>0</v>
      </c>
      <c r="Q322" t="n">
        <v>0</v>
      </c>
      <c r="R322" s="2" t="inlineStr"/>
    </row>
    <row r="323" ht="15" customHeight="1">
      <c r="A323" t="inlineStr">
        <is>
          <t>A 50527-2024</t>
        </is>
      </c>
      <c r="B323" s="1" t="n">
        <v>45601.56194444445</v>
      </c>
      <c r="C323" s="1" t="n">
        <v>45891</v>
      </c>
      <c r="D323" t="inlineStr">
        <is>
          <t>NORRBOTTENS LÄN</t>
        </is>
      </c>
      <c r="E323" t="inlineStr">
        <is>
          <t>ARVIDSJAUR</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22691-2024</t>
        </is>
      </c>
      <c r="B324" s="1" t="n">
        <v>45448</v>
      </c>
      <c r="C324" s="1" t="n">
        <v>45891</v>
      </c>
      <c r="D324" t="inlineStr">
        <is>
          <t>NORRBOTTENS LÄN</t>
        </is>
      </c>
      <c r="E324" t="inlineStr">
        <is>
          <t>ARVIDSJAUR</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34510-2021</t>
        </is>
      </c>
      <c r="B325" s="1" t="n">
        <v>44382</v>
      </c>
      <c r="C325" s="1" t="n">
        <v>45891</v>
      </c>
      <c r="D325" t="inlineStr">
        <is>
          <t>NORRBOTTENS LÄN</t>
        </is>
      </c>
      <c r="E325" t="inlineStr">
        <is>
          <t>ARVIDSJAUR</t>
        </is>
      </c>
      <c r="F325" t="inlineStr">
        <is>
          <t>Sveaskog</t>
        </is>
      </c>
      <c r="G325" t="n">
        <v>2.3</v>
      </c>
      <c r="H325" t="n">
        <v>0</v>
      </c>
      <c r="I325" t="n">
        <v>0</v>
      </c>
      <c r="J325" t="n">
        <v>0</v>
      </c>
      <c r="K325" t="n">
        <v>0</v>
      </c>
      <c r="L325" t="n">
        <v>0</v>
      </c>
      <c r="M325" t="n">
        <v>0</v>
      </c>
      <c r="N325" t="n">
        <v>0</v>
      </c>
      <c r="O325" t="n">
        <v>0</v>
      </c>
      <c r="P325" t="n">
        <v>0</v>
      </c>
      <c r="Q325" t="n">
        <v>0</v>
      </c>
      <c r="R325" s="2" t="inlineStr"/>
    </row>
    <row r="326" ht="15" customHeight="1">
      <c r="A326" t="inlineStr">
        <is>
          <t>A 52645-2023</t>
        </is>
      </c>
      <c r="B326" s="1" t="n">
        <v>45225</v>
      </c>
      <c r="C326" s="1" t="n">
        <v>45891</v>
      </c>
      <c r="D326" t="inlineStr">
        <is>
          <t>NORRBOTTENS LÄN</t>
        </is>
      </c>
      <c r="E326" t="inlineStr">
        <is>
          <t>ARVIDSJAUR</t>
        </is>
      </c>
      <c r="G326" t="n">
        <v>2.7</v>
      </c>
      <c r="H326" t="n">
        <v>0</v>
      </c>
      <c r="I326" t="n">
        <v>0</v>
      </c>
      <c r="J326" t="n">
        <v>0</v>
      </c>
      <c r="K326" t="n">
        <v>0</v>
      </c>
      <c r="L326" t="n">
        <v>0</v>
      </c>
      <c r="M326" t="n">
        <v>0</v>
      </c>
      <c r="N326" t="n">
        <v>0</v>
      </c>
      <c r="O326" t="n">
        <v>0</v>
      </c>
      <c r="P326" t="n">
        <v>0</v>
      </c>
      <c r="Q326" t="n">
        <v>0</v>
      </c>
      <c r="R326" s="2" t="inlineStr"/>
    </row>
    <row r="327" ht="15" customHeight="1">
      <c r="A327" t="inlineStr">
        <is>
          <t>A 36452-2024</t>
        </is>
      </c>
      <c r="B327" s="1" t="n">
        <v>45537</v>
      </c>
      <c r="C327" s="1" t="n">
        <v>45891</v>
      </c>
      <c r="D327" t="inlineStr">
        <is>
          <t>NORRBOTTENS LÄN</t>
        </is>
      </c>
      <c r="E327" t="inlineStr">
        <is>
          <t>ARVIDSJAUR</t>
        </is>
      </c>
      <c r="F327" t="inlineStr">
        <is>
          <t>Sveaskog</t>
        </is>
      </c>
      <c r="G327" t="n">
        <v>3.2</v>
      </c>
      <c r="H327" t="n">
        <v>0</v>
      </c>
      <c r="I327" t="n">
        <v>0</v>
      </c>
      <c r="J327" t="n">
        <v>0</v>
      </c>
      <c r="K327" t="n">
        <v>0</v>
      </c>
      <c r="L327" t="n">
        <v>0</v>
      </c>
      <c r="M327" t="n">
        <v>0</v>
      </c>
      <c r="N327" t="n">
        <v>0</v>
      </c>
      <c r="O327" t="n">
        <v>0</v>
      </c>
      <c r="P327" t="n">
        <v>0</v>
      </c>
      <c r="Q327" t="n">
        <v>0</v>
      </c>
      <c r="R327" s="2" t="inlineStr"/>
    </row>
    <row r="328" ht="15" customHeight="1">
      <c r="A328" t="inlineStr">
        <is>
          <t>A 39109-2024</t>
        </is>
      </c>
      <c r="B328" s="1" t="n">
        <v>45548.57447916667</v>
      </c>
      <c r="C328" s="1" t="n">
        <v>45891</v>
      </c>
      <c r="D328" t="inlineStr">
        <is>
          <t>NORRBOTTENS LÄN</t>
        </is>
      </c>
      <c r="E328" t="inlineStr">
        <is>
          <t>ARVIDSJAUR</t>
        </is>
      </c>
      <c r="F328" t="inlineStr">
        <is>
          <t>Sveaskog</t>
        </is>
      </c>
      <c r="G328" t="n">
        <v>35.3</v>
      </c>
      <c r="H328" t="n">
        <v>0</v>
      </c>
      <c r="I328" t="n">
        <v>0</v>
      </c>
      <c r="J328" t="n">
        <v>0</v>
      </c>
      <c r="K328" t="n">
        <v>0</v>
      </c>
      <c r="L328" t="n">
        <v>0</v>
      </c>
      <c r="M328" t="n">
        <v>0</v>
      </c>
      <c r="N328" t="n">
        <v>0</v>
      </c>
      <c r="O328" t="n">
        <v>0</v>
      </c>
      <c r="P328" t="n">
        <v>0</v>
      </c>
      <c r="Q328" t="n">
        <v>0</v>
      </c>
      <c r="R328" s="2" t="inlineStr"/>
    </row>
    <row r="329" ht="15" customHeight="1">
      <c r="A329" t="inlineStr">
        <is>
          <t>A 45034-2023</t>
        </is>
      </c>
      <c r="B329" s="1" t="n">
        <v>45191.28909722222</v>
      </c>
      <c r="C329" s="1" t="n">
        <v>45891</v>
      </c>
      <c r="D329" t="inlineStr">
        <is>
          <t>NORRBOTTENS LÄN</t>
        </is>
      </c>
      <c r="E329" t="inlineStr">
        <is>
          <t>ARVIDSJAUR</t>
        </is>
      </c>
      <c r="F329" t="inlineStr">
        <is>
          <t>Sveaskog</t>
        </is>
      </c>
      <c r="G329" t="n">
        <v>7</v>
      </c>
      <c r="H329" t="n">
        <v>0</v>
      </c>
      <c r="I329" t="n">
        <v>0</v>
      </c>
      <c r="J329" t="n">
        <v>0</v>
      </c>
      <c r="K329" t="n">
        <v>0</v>
      </c>
      <c r="L329" t="n">
        <v>0</v>
      </c>
      <c r="M329" t="n">
        <v>0</v>
      </c>
      <c r="N329" t="n">
        <v>0</v>
      </c>
      <c r="O329" t="n">
        <v>0</v>
      </c>
      <c r="P329" t="n">
        <v>0</v>
      </c>
      <c r="Q329" t="n">
        <v>0</v>
      </c>
      <c r="R329" s="2" t="inlineStr"/>
    </row>
    <row r="330" ht="15" customHeight="1">
      <c r="A330" t="inlineStr">
        <is>
          <t>A 47919-2024</t>
        </is>
      </c>
      <c r="B330" s="1" t="n">
        <v>45589</v>
      </c>
      <c r="C330" s="1" t="n">
        <v>45891</v>
      </c>
      <c r="D330" t="inlineStr">
        <is>
          <t>NORRBOTTENS LÄN</t>
        </is>
      </c>
      <c r="E330" t="inlineStr">
        <is>
          <t>ARVIDSJAUR</t>
        </is>
      </c>
      <c r="F330" t="inlineStr">
        <is>
          <t>Sveaskog</t>
        </is>
      </c>
      <c r="G330" t="n">
        <v>7.8</v>
      </c>
      <c r="H330" t="n">
        <v>0</v>
      </c>
      <c r="I330" t="n">
        <v>0</v>
      </c>
      <c r="J330" t="n">
        <v>0</v>
      </c>
      <c r="K330" t="n">
        <v>0</v>
      </c>
      <c r="L330" t="n">
        <v>0</v>
      </c>
      <c r="M330" t="n">
        <v>0</v>
      </c>
      <c r="N330" t="n">
        <v>0</v>
      </c>
      <c r="O330" t="n">
        <v>0</v>
      </c>
      <c r="P330" t="n">
        <v>0</v>
      </c>
      <c r="Q330" t="n">
        <v>0</v>
      </c>
      <c r="R330" s="2" t="inlineStr"/>
    </row>
    <row r="331" ht="15" customHeight="1">
      <c r="A331" t="inlineStr">
        <is>
          <t>A 37191-2025</t>
        </is>
      </c>
      <c r="B331" s="1" t="n">
        <v>45875.64945601852</v>
      </c>
      <c r="C331" s="1" t="n">
        <v>45891</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54211-2024</t>
        </is>
      </c>
      <c r="B332" s="1" t="n">
        <v>45616</v>
      </c>
      <c r="C332" s="1" t="n">
        <v>45891</v>
      </c>
      <c r="D332" t="inlineStr">
        <is>
          <t>NORRBOTTENS LÄN</t>
        </is>
      </c>
      <c r="E332" t="inlineStr">
        <is>
          <t>ARVIDSJAUR</t>
        </is>
      </c>
      <c r="G332" t="n">
        <v>15</v>
      </c>
      <c r="H332" t="n">
        <v>0</v>
      </c>
      <c r="I332" t="n">
        <v>0</v>
      </c>
      <c r="J332" t="n">
        <v>0</v>
      </c>
      <c r="K332" t="n">
        <v>0</v>
      </c>
      <c r="L332" t="n">
        <v>0</v>
      </c>
      <c r="M332" t="n">
        <v>0</v>
      </c>
      <c r="N332" t="n">
        <v>0</v>
      </c>
      <c r="O332" t="n">
        <v>0</v>
      </c>
      <c r="P332" t="n">
        <v>0</v>
      </c>
      <c r="Q332" t="n">
        <v>0</v>
      </c>
      <c r="R332" s="2" t="inlineStr"/>
    </row>
    <row r="333" ht="15" customHeight="1">
      <c r="A333" t="inlineStr">
        <is>
          <t>A 39619-2022</t>
        </is>
      </c>
      <c r="B333" s="1" t="n">
        <v>44818</v>
      </c>
      <c r="C333" s="1" t="n">
        <v>45891</v>
      </c>
      <c r="D333" t="inlineStr">
        <is>
          <t>NORRBOTTENS LÄN</t>
        </is>
      </c>
      <c r="E333" t="inlineStr">
        <is>
          <t>ARVIDSJAUR</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54311-2023</t>
        </is>
      </c>
      <c r="B334" s="1" t="n">
        <v>45225</v>
      </c>
      <c r="C334" s="1" t="n">
        <v>45891</v>
      </c>
      <c r="D334" t="inlineStr">
        <is>
          <t>NORRBOTTENS LÄN</t>
        </is>
      </c>
      <c r="E334" t="inlineStr">
        <is>
          <t>ARVIDSJAUR</t>
        </is>
      </c>
      <c r="G334" t="n">
        <v>1.4</v>
      </c>
      <c r="H334" t="n">
        <v>0</v>
      </c>
      <c r="I334" t="n">
        <v>0</v>
      </c>
      <c r="J334" t="n">
        <v>0</v>
      </c>
      <c r="K334" t="n">
        <v>0</v>
      </c>
      <c r="L334" t="n">
        <v>0</v>
      </c>
      <c r="M334" t="n">
        <v>0</v>
      </c>
      <c r="N334" t="n">
        <v>0</v>
      </c>
      <c r="O334" t="n">
        <v>0</v>
      </c>
      <c r="P334" t="n">
        <v>0</v>
      </c>
      <c r="Q334" t="n">
        <v>0</v>
      </c>
      <c r="R334" s="2" t="inlineStr"/>
    </row>
    <row r="335" ht="15" customHeight="1">
      <c r="A335" t="inlineStr">
        <is>
          <t>A 37454-2025</t>
        </is>
      </c>
      <c r="B335" s="1" t="n">
        <v>45877.56238425926</v>
      </c>
      <c r="C335" s="1" t="n">
        <v>45891</v>
      </c>
      <c r="D335" t="inlineStr">
        <is>
          <t>NORRBOTTENS LÄN</t>
        </is>
      </c>
      <c r="E335" t="inlineStr">
        <is>
          <t>ARVIDSJAUR</t>
        </is>
      </c>
      <c r="F335" t="inlineStr">
        <is>
          <t>Sveaskog</t>
        </is>
      </c>
      <c r="G335" t="n">
        <v>23.4</v>
      </c>
      <c r="H335" t="n">
        <v>0</v>
      </c>
      <c r="I335" t="n">
        <v>0</v>
      </c>
      <c r="J335" t="n">
        <v>0</v>
      </c>
      <c r="K335" t="n">
        <v>0</v>
      </c>
      <c r="L335" t="n">
        <v>0</v>
      </c>
      <c r="M335" t="n">
        <v>0</v>
      </c>
      <c r="N335" t="n">
        <v>0</v>
      </c>
      <c r="O335" t="n">
        <v>0</v>
      </c>
      <c r="P335" t="n">
        <v>0</v>
      </c>
      <c r="Q335" t="n">
        <v>0</v>
      </c>
      <c r="R335" s="2" t="inlineStr"/>
    </row>
    <row r="336" ht="15" customHeight="1">
      <c r="A336" t="inlineStr">
        <is>
          <t>A 39775-2022</t>
        </is>
      </c>
      <c r="B336" s="1" t="n">
        <v>44819</v>
      </c>
      <c r="C336" s="1" t="n">
        <v>45891</v>
      </c>
      <c r="D336" t="inlineStr">
        <is>
          <t>NORRBOTTENS LÄN</t>
        </is>
      </c>
      <c r="E336" t="inlineStr">
        <is>
          <t>ARVIDSJAUR</t>
        </is>
      </c>
      <c r="F336" t="inlineStr">
        <is>
          <t>Sveaskog</t>
        </is>
      </c>
      <c r="G336" t="n">
        <v>3.5</v>
      </c>
      <c r="H336" t="n">
        <v>0</v>
      </c>
      <c r="I336" t="n">
        <v>0</v>
      </c>
      <c r="J336" t="n">
        <v>0</v>
      </c>
      <c r="K336" t="n">
        <v>0</v>
      </c>
      <c r="L336" t="n">
        <v>0</v>
      </c>
      <c r="M336" t="n">
        <v>0</v>
      </c>
      <c r="N336" t="n">
        <v>0</v>
      </c>
      <c r="O336" t="n">
        <v>0</v>
      </c>
      <c r="P336" t="n">
        <v>0</v>
      </c>
      <c r="Q336" t="n">
        <v>0</v>
      </c>
      <c r="R336" s="2" t="inlineStr"/>
    </row>
    <row r="337" ht="15" customHeight="1">
      <c r="A337" t="inlineStr">
        <is>
          <t>A 40756-2022</t>
        </is>
      </c>
      <c r="B337" s="1" t="n">
        <v>44824</v>
      </c>
      <c r="C337" s="1" t="n">
        <v>45891</v>
      </c>
      <c r="D337" t="inlineStr">
        <is>
          <t>NORRBOTTENS LÄN</t>
        </is>
      </c>
      <c r="E337" t="inlineStr">
        <is>
          <t>ARVIDSJAUR</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32990-2025</t>
        </is>
      </c>
      <c r="B338" s="1" t="n">
        <v>45840.3191087963</v>
      </c>
      <c r="C338" s="1" t="n">
        <v>45891</v>
      </c>
      <c r="D338" t="inlineStr">
        <is>
          <t>NORRBOTTENS LÄN</t>
        </is>
      </c>
      <c r="E338" t="inlineStr">
        <is>
          <t>ARVIDSJAUR</t>
        </is>
      </c>
      <c r="G338" t="n">
        <v>3</v>
      </c>
      <c r="H338" t="n">
        <v>0</v>
      </c>
      <c r="I338" t="n">
        <v>0</v>
      </c>
      <c r="J338" t="n">
        <v>0</v>
      </c>
      <c r="K338" t="n">
        <v>0</v>
      </c>
      <c r="L338" t="n">
        <v>0</v>
      </c>
      <c r="M338" t="n">
        <v>0</v>
      </c>
      <c r="N338" t="n">
        <v>0</v>
      </c>
      <c r="O338" t="n">
        <v>0</v>
      </c>
      <c r="P338" t="n">
        <v>0</v>
      </c>
      <c r="Q338" t="n">
        <v>0</v>
      </c>
      <c r="R338" s="2" t="inlineStr"/>
    </row>
    <row r="339" ht="15" customHeight="1">
      <c r="A339" t="inlineStr">
        <is>
          <t>A 59922-2020</t>
        </is>
      </c>
      <c r="B339" s="1" t="n">
        <v>44148</v>
      </c>
      <c r="C339" s="1" t="n">
        <v>45891</v>
      </c>
      <c r="D339" t="inlineStr">
        <is>
          <t>NORRBOTTENS LÄN</t>
        </is>
      </c>
      <c r="E339" t="inlineStr">
        <is>
          <t>ARVIDSJAUR</t>
        </is>
      </c>
      <c r="G339" t="n">
        <v>16.1</v>
      </c>
      <c r="H339" t="n">
        <v>0</v>
      </c>
      <c r="I339" t="n">
        <v>0</v>
      </c>
      <c r="J339" t="n">
        <v>0</v>
      </c>
      <c r="K339" t="n">
        <v>0</v>
      </c>
      <c r="L339" t="n">
        <v>0</v>
      </c>
      <c r="M339" t="n">
        <v>0</v>
      </c>
      <c r="N339" t="n">
        <v>0</v>
      </c>
      <c r="O339" t="n">
        <v>0</v>
      </c>
      <c r="P339" t="n">
        <v>0</v>
      </c>
      <c r="Q339" t="n">
        <v>0</v>
      </c>
      <c r="R339" s="2" t="inlineStr"/>
    </row>
    <row r="340" ht="15" customHeight="1">
      <c r="A340" t="inlineStr">
        <is>
          <t>A 33174-2025</t>
        </is>
      </c>
      <c r="B340" s="1" t="n">
        <v>45840.585625</v>
      </c>
      <c r="C340" s="1" t="n">
        <v>45891</v>
      </c>
      <c r="D340" t="inlineStr">
        <is>
          <t>NORRBOTTENS LÄN</t>
        </is>
      </c>
      <c r="E340" t="inlineStr">
        <is>
          <t>ARVIDSJAUR</t>
        </is>
      </c>
      <c r="F340" t="inlineStr">
        <is>
          <t>Sveaskog</t>
        </is>
      </c>
      <c r="G340" t="n">
        <v>26.3</v>
      </c>
      <c r="H340" t="n">
        <v>0</v>
      </c>
      <c r="I340" t="n">
        <v>0</v>
      </c>
      <c r="J340" t="n">
        <v>0</v>
      </c>
      <c r="K340" t="n">
        <v>0</v>
      </c>
      <c r="L340" t="n">
        <v>0</v>
      </c>
      <c r="M340" t="n">
        <v>0</v>
      </c>
      <c r="N340" t="n">
        <v>0</v>
      </c>
      <c r="O340" t="n">
        <v>0</v>
      </c>
      <c r="P340" t="n">
        <v>0</v>
      </c>
      <c r="Q340" t="n">
        <v>0</v>
      </c>
      <c r="R340" s="2" t="inlineStr"/>
    </row>
    <row r="341" ht="15" customHeight="1">
      <c r="A341" t="inlineStr">
        <is>
          <t>A 37788-2025</t>
        </is>
      </c>
      <c r="B341" s="1" t="n">
        <v>45881.30692129629</v>
      </c>
      <c r="C341" s="1" t="n">
        <v>45891</v>
      </c>
      <c r="D341" t="inlineStr">
        <is>
          <t>NORRBOTTENS LÄN</t>
        </is>
      </c>
      <c r="E341" t="inlineStr">
        <is>
          <t>ARVIDSJAUR</t>
        </is>
      </c>
      <c r="F341" t="inlineStr">
        <is>
          <t>Sveaskog</t>
        </is>
      </c>
      <c r="G341" t="n">
        <v>13.8</v>
      </c>
      <c r="H341" t="n">
        <v>0</v>
      </c>
      <c r="I341" t="n">
        <v>0</v>
      </c>
      <c r="J341" t="n">
        <v>0</v>
      </c>
      <c r="K341" t="n">
        <v>0</v>
      </c>
      <c r="L341" t="n">
        <v>0</v>
      </c>
      <c r="M341" t="n">
        <v>0</v>
      </c>
      <c r="N341" t="n">
        <v>0</v>
      </c>
      <c r="O341" t="n">
        <v>0</v>
      </c>
      <c r="P341" t="n">
        <v>0</v>
      </c>
      <c r="Q341" t="n">
        <v>0</v>
      </c>
      <c r="R341" s="2" t="inlineStr"/>
    </row>
    <row r="342" ht="15" customHeight="1">
      <c r="A342" t="inlineStr">
        <is>
          <t>A 33222-2025</t>
        </is>
      </c>
      <c r="B342" s="1" t="n">
        <v>45840</v>
      </c>
      <c r="C342" s="1" t="n">
        <v>45891</v>
      </c>
      <c r="D342" t="inlineStr">
        <is>
          <t>NORRBOTTENS LÄN</t>
        </is>
      </c>
      <c r="E342" t="inlineStr">
        <is>
          <t>ARVIDSJAUR</t>
        </is>
      </c>
      <c r="F342" t="inlineStr">
        <is>
          <t>Sveaskog</t>
        </is>
      </c>
      <c r="G342" t="n">
        <v>6.5</v>
      </c>
      <c r="H342" t="n">
        <v>0</v>
      </c>
      <c r="I342" t="n">
        <v>0</v>
      </c>
      <c r="J342" t="n">
        <v>0</v>
      </c>
      <c r="K342" t="n">
        <v>0</v>
      </c>
      <c r="L342" t="n">
        <v>0</v>
      </c>
      <c r="M342" t="n">
        <v>0</v>
      </c>
      <c r="N342" t="n">
        <v>0</v>
      </c>
      <c r="O342" t="n">
        <v>0</v>
      </c>
      <c r="P342" t="n">
        <v>0</v>
      </c>
      <c r="Q342" t="n">
        <v>0</v>
      </c>
      <c r="R342" s="2" t="inlineStr"/>
    </row>
    <row r="343" ht="15" customHeight="1">
      <c r="A343" t="inlineStr">
        <is>
          <t>A 37790-2025</t>
        </is>
      </c>
      <c r="B343" s="1" t="n">
        <v>45881.31024305556</v>
      </c>
      <c r="C343" s="1" t="n">
        <v>45891</v>
      </c>
      <c r="D343" t="inlineStr">
        <is>
          <t>NORRBOTTENS LÄN</t>
        </is>
      </c>
      <c r="E343" t="inlineStr">
        <is>
          <t>ARVIDSJAUR</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37789-2025</t>
        </is>
      </c>
      <c r="B344" s="1" t="n">
        <v>45881.30875</v>
      </c>
      <c r="C344" s="1" t="n">
        <v>45891</v>
      </c>
      <c r="D344" t="inlineStr">
        <is>
          <t>NORRBOTTENS LÄN</t>
        </is>
      </c>
      <c r="E344" t="inlineStr">
        <is>
          <t>ARVIDSJAUR</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50667-2020</t>
        </is>
      </c>
      <c r="B345" s="1" t="n">
        <v>44111</v>
      </c>
      <c r="C345" s="1" t="n">
        <v>45891</v>
      </c>
      <c r="D345" t="inlineStr">
        <is>
          <t>NORRBOTTENS LÄN</t>
        </is>
      </c>
      <c r="E345" t="inlineStr">
        <is>
          <t>ARVIDSJAUR</t>
        </is>
      </c>
      <c r="G345" t="n">
        <v>1.6</v>
      </c>
      <c r="H345" t="n">
        <v>0</v>
      </c>
      <c r="I345" t="n">
        <v>0</v>
      </c>
      <c r="J345" t="n">
        <v>0</v>
      </c>
      <c r="K345" t="n">
        <v>0</v>
      </c>
      <c r="L345" t="n">
        <v>0</v>
      </c>
      <c r="M345" t="n">
        <v>0</v>
      </c>
      <c r="N345" t="n">
        <v>0</v>
      </c>
      <c r="O345" t="n">
        <v>0</v>
      </c>
      <c r="P345" t="n">
        <v>0</v>
      </c>
      <c r="Q345" t="n">
        <v>0</v>
      </c>
      <c r="R345" s="2" t="inlineStr"/>
    </row>
    <row r="346" ht="15" customHeight="1">
      <c r="A346" t="inlineStr">
        <is>
          <t>A 41872-2021</t>
        </is>
      </c>
      <c r="B346" s="1" t="n">
        <v>44426</v>
      </c>
      <c r="C346" s="1" t="n">
        <v>45891</v>
      </c>
      <c r="D346" t="inlineStr">
        <is>
          <t>NORRBOTTENS LÄN</t>
        </is>
      </c>
      <c r="E346" t="inlineStr">
        <is>
          <t>ARVIDSJAUR</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37448-2025</t>
        </is>
      </c>
      <c r="B347" s="1" t="n">
        <v>45877</v>
      </c>
      <c r="C347" s="1" t="n">
        <v>45891</v>
      </c>
      <c r="D347" t="inlineStr">
        <is>
          <t>NORRBOTTENS LÄN</t>
        </is>
      </c>
      <c r="E347" t="inlineStr">
        <is>
          <t>ARVIDSJAUR</t>
        </is>
      </c>
      <c r="F347" t="inlineStr">
        <is>
          <t>Sveaskog</t>
        </is>
      </c>
      <c r="G347" t="n">
        <v>29</v>
      </c>
      <c r="H347" t="n">
        <v>0</v>
      </c>
      <c r="I347" t="n">
        <v>0</v>
      </c>
      <c r="J347" t="n">
        <v>0</v>
      </c>
      <c r="K347" t="n">
        <v>0</v>
      </c>
      <c r="L347" t="n">
        <v>0</v>
      </c>
      <c r="M347" t="n">
        <v>0</v>
      </c>
      <c r="N347" t="n">
        <v>0</v>
      </c>
      <c r="O347" t="n">
        <v>0</v>
      </c>
      <c r="P347" t="n">
        <v>0</v>
      </c>
      <c r="Q347" t="n">
        <v>0</v>
      </c>
      <c r="R347" s="2" t="inlineStr"/>
    </row>
    <row r="348" ht="15" customHeight="1">
      <c r="A348" t="inlineStr">
        <is>
          <t>A 38027-2025</t>
        </is>
      </c>
      <c r="B348" s="1" t="n">
        <v>45882.34554398148</v>
      </c>
      <c r="C348" s="1" t="n">
        <v>45891</v>
      </c>
      <c r="D348" t="inlineStr">
        <is>
          <t>NORRBOTTENS LÄN</t>
        </is>
      </c>
      <c r="E348" t="inlineStr">
        <is>
          <t>ARVIDSJAUR</t>
        </is>
      </c>
      <c r="G348" t="n">
        <v>2.5</v>
      </c>
      <c r="H348" t="n">
        <v>0</v>
      </c>
      <c r="I348" t="n">
        <v>0</v>
      </c>
      <c r="J348" t="n">
        <v>0</v>
      </c>
      <c r="K348" t="n">
        <v>0</v>
      </c>
      <c r="L348" t="n">
        <v>0</v>
      </c>
      <c r="M348" t="n">
        <v>0</v>
      </c>
      <c r="N348" t="n">
        <v>0</v>
      </c>
      <c r="O348" t="n">
        <v>0</v>
      </c>
      <c r="P348" t="n">
        <v>0</v>
      </c>
      <c r="Q348" t="n">
        <v>0</v>
      </c>
      <c r="R348" s="2" t="inlineStr"/>
    </row>
    <row r="349" ht="15" customHeight="1">
      <c r="A349" t="inlineStr">
        <is>
          <t>A 48009-2024</t>
        </is>
      </c>
      <c r="B349" s="1" t="n">
        <v>45589</v>
      </c>
      <c r="C349" s="1" t="n">
        <v>45891</v>
      </c>
      <c r="D349" t="inlineStr">
        <is>
          <t>NORRBOTTENS LÄN</t>
        </is>
      </c>
      <c r="E349" t="inlineStr">
        <is>
          <t>ARVIDSJAUR</t>
        </is>
      </c>
      <c r="G349" t="n">
        <v>6.4</v>
      </c>
      <c r="H349" t="n">
        <v>0</v>
      </c>
      <c r="I349" t="n">
        <v>0</v>
      </c>
      <c r="J349" t="n">
        <v>0</v>
      </c>
      <c r="K349" t="n">
        <v>0</v>
      </c>
      <c r="L349" t="n">
        <v>0</v>
      </c>
      <c r="M349" t="n">
        <v>0</v>
      </c>
      <c r="N349" t="n">
        <v>0</v>
      </c>
      <c r="O349" t="n">
        <v>0</v>
      </c>
      <c r="P349" t="n">
        <v>0</v>
      </c>
      <c r="Q349" t="n">
        <v>0</v>
      </c>
      <c r="R349" s="2" t="inlineStr"/>
    </row>
    <row r="350" ht="15" customHeight="1">
      <c r="A350" t="inlineStr">
        <is>
          <t>A 12794-2023</t>
        </is>
      </c>
      <c r="B350" s="1" t="n">
        <v>45001</v>
      </c>
      <c r="C350" s="1" t="n">
        <v>45891</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37180-2025</t>
        </is>
      </c>
      <c r="B351" s="1" t="n">
        <v>45875</v>
      </c>
      <c r="C351" s="1" t="n">
        <v>45891</v>
      </c>
      <c r="D351" t="inlineStr">
        <is>
          <t>NORRBOTTENS LÄN</t>
        </is>
      </c>
      <c r="E351" t="inlineStr">
        <is>
          <t>ARVIDSJAUR</t>
        </is>
      </c>
      <c r="G351" t="n">
        <v>5.4</v>
      </c>
      <c r="H351" t="n">
        <v>0</v>
      </c>
      <c r="I351" t="n">
        <v>0</v>
      </c>
      <c r="J351" t="n">
        <v>0</v>
      </c>
      <c r="K351" t="n">
        <v>0</v>
      </c>
      <c r="L351" t="n">
        <v>0</v>
      </c>
      <c r="M351" t="n">
        <v>0</v>
      </c>
      <c r="N351" t="n">
        <v>0</v>
      </c>
      <c r="O351" t="n">
        <v>0</v>
      </c>
      <c r="P351" t="n">
        <v>0</v>
      </c>
      <c r="Q351" t="n">
        <v>0</v>
      </c>
      <c r="R351" s="2" t="inlineStr"/>
    </row>
    <row r="352" ht="15" customHeight="1">
      <c r="A352" t="inlineStr">
        <is>
          <t>A 28803-2024</t>
        </is>
      </c>
      <c r="B352" s="1" t="n">
        <v>45478</v>
      </c>
      <c r="C352" s="1" t="n">
        <v>45891</v>
      </c>
      <c r="D352" t="inlineStr">
        <is>
          <t>NORRBOTTENS LÄN</t>
        </is>
      </c>
      <c r="E352" t="inlineStr">
        <is>
          <t>ARVIDSJAUR</t>
        </is>
      </c>
      <c r="F352" t="inlineStr">
        <is>
          <t>Övriga Aktiebolag</t>
        </is>
      </c>
      <c r="G352" t="n">
        <v>16.5</v>
      </c>
      <c r="H352" t="n">
        <v>0</v>
      </c>
      <c r="I352" t="n">
        <v>0</v>
      </c>
      <c r="J352" t="n">
        <v>0</v>
      </c>
      <c r="K352" t="n">
        <v>0</v>
      </c>
      <c r="L352" t="n">
        <v>0</v>
      </c>
      <c r="M352" t="n">
        <v>0</v>
      </c>
      <c r="N352" t="n">
        <v>0</v>
      </c>
      <c r="O352" t="n">
        <v>0</v>
      </c>
      <c r="P352" t="n">
        <v>0</v>
      </c>
      <c r="Q352" t="n">
        <v>0</v>
      </c>
      <c r="R352" s="2" t="inlineStr"/>
    </row>
    <row r="353" ht="15" customHeight="1">
      <c r="A353" t="inlineStr">
        <is>
          <t>A 45059-2024</t>
        </is>
      </c>
      <c r="B353" s="1" t="n">
        <v>45575.55498842592</v>
      </c>
      <c r="C353" s="1" t="n">
        <v>45891</v>
      </c>
      <c r="D353" t="inlineStr">
        <is>
          <t>NORRBOTTENS LÄN</t>
        </is>
      </c>
      <c r="E353" t="inlineStr">
        <is>
          <t>ARVIDSJAUR</t>
        </is>
      </c>
      <c r="F353" t="inlineStr">
        <is>
          <t>Sveaskog</t>
        </is>
      </c>
      <c r="G353" t="n">
        <v>14.9</v>
      </c>
      <c r="H353" t="n">
        <v>0</v>
      </c>
      <c r="I353" t="n">
        <v>0</v>
      </c>
      <c r="J353" t="n">
        <v>0</v>
      </c>
      <c r="K353" t="n">
        <v>0</v>
      </c>
      <c r="L353" t="n">
        <v>0</v>
      </c>
      <c r="M353" t="n">
        <v>0</v>
      </c>
      <c r="N353" t="n">
        <v>0</v>
      </c>
      <c r="O353" t="n">
        <v>0</v>
      </c>
      <c r="P353" t="n">
        <v>0</v>
      </c>
      <c r="Q353" t="n">
        <v>0</v>
      </c>
      <c r="R353" s="2" t="inlineStr"/>
    </row>
    <row r="354" ht="15" customHeight="1">
      <c r="A354" t="inlineStr">
        <is>
          <t>A 33302-2025</t>
        </is>
      </c>
      <c r="B354" s="1" t="n">
        <v>45841</v>
      </c>
      <c r="C354" s="1" t="n">
        <v>45891</v>
      </c>
      <c r="D354" t="inlineStr">
        <is>
          <t>NORRBOTTENS LÄN</t>
        </is>
      </c>
      <c r="E354" t="inlineStr">
        <is>
          <t>ARVIDSJAUR</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49620-2024</t>
        </is>
      </c>
      <c r="B355" s="1" t="n">
        <v>45596</v>
      </c>
      <c r="C355" s="1" t="n">
        <v>45891</v>
      </c>
      <c r="D355" t="inlineStr">
        <is>
          <t>NORRBOTTENS LÄN</t>
        </is>
      </c>
      <c r="E355" t="inlineStr">
        <is>
          <t>ARVIDSJAUR</t>
        </is>
      </c>
      <c r="G355" t="n">
        <v>0.7</v>
      </c>
      <c r="H355" t="n">
        <v>0</v>
      </c>
      <c r="I355" t="n">
        <v>0</v>
      </c>
      <c r="J355" t="n">
        <v>0</v>
      </c>
      <c r="K355" t="n">
        <v>0</v>
      </c>
      <c r="L355" t="n">
        <v>0</v>
      </c>
      <c r="M355" t="n">
        <v>0</v>
      </c>
      <c r="N355" t="n">
        <v>0</v>
      </c>
      <c r="O355" t="n">
        <v>0</v>
      </c>
      <c r="P355" t="n">
        <v>0</v>
      </c>
      <c r="Q355" t="n">
        <v>0</v>
      </c>
      <c r="R355" s="2" t="inlineStr"/>
    </row>
    <row r="356" ht="15" customHeight="1">
      <c r="A356" t="inlineStr">
        <is>
          <t>A 38343-2025</t>
        </is>
      </c>
      <c r="B356" s="1" t="n">
        <v>45883</v>
      </c>
      <c r="C356" s="1" t="n">
        <v>45891</v>
      </c>
      <c r="D356" t="inlineStr">
        <is>
          <t>NORRBOTTENS LÄN</t>
        </is>
      </c>
      <c r="E356" t="inlineStr">
        <is>
          <t>ARVIDSJAUR</t>
        </is>
      </c>
      <c r="G356" t="n">
        <v>2.6</v>
      </c>
      <c r="H356" t="n">
        <v>0</v>
      </c>
      <c r="I356" t="n">
        <v>0</v>
      </c>
      <c r="J356" t="n">
        <v>0</v>
      </c>
      <c r="K356" t="n">
        <v>0</v>
      </c>
      <c r="L356" t="n">
        <v>0</v>
      </c>
      <c r="M356" t="n">
        <v>0</v>
      </c>
      <c r="N356" t="n">
        <v>0</v>
      </c>
      <c r="O356" t="n">
        <v>0</v>
      </c>
      <c r="P356" t="n">
        <v>0</v>
      </c>
      <c r="Q356" t="n">
        <v>0</v>
      </c>
      <c r="R356" s="2" t="inlineStr"/>
    </row>
    <row r="357" ht="15" customHeight="1">
      <c r="A357" t="inlineStr">
        <is>
          <t>A 39006-2025</t>
        </is>
      </c>
      <c r="B357" s="1" t="n">
        <v>45888.34505787037</v>
      </c>
      <c r="C357" s="1" t="n">
        <v>45891</v>
      </c>
      <c r="D357" t="inlineStr">
        <is>
          <t>NORRBOTTENS LÄN</t>
        </is>
      </c>
      <c r="E357" t="inlineStr">
        <is>
          <t>ARVIDSJAUR</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48464-2024</t>
        </is>
      </c>
      <c r="B358" s="1" t="n">
        <v>45590</v>
      </c>
      <c r="C358" s="1" t="n">
        <v>45891</v>
      </c>
      <c r="D358" t="inlineStr">
        <is>
          <t>NORRBOTTENS LÄN</t>
        </is>
      </c>
      <c r="E358" t="inlineStr">
        <is>
          <t>ARVIDSJAUR</t>
        </is>
      </c>
      <c r="G358" t="n">
        <v>0.8</v>
      </c>
      <c r="H358" t="n">
        <v>0</v>
      </c>
      <c r="I358" t="n">
        <v>0</v>
      </c>
      <c r="J358" t="n">
        <v>0</v>
      </c>
      <c r="K358" t="n">
        <v>0</v>
      </c>
      <c r="L358" t="n">
        <v>0</v>
      </c>
      <c r="M358" t="n">
        <v>0</v>
      </c>
      <c r="N358" t="n">
        <v>0</v>
      </c>
      <c r="O358" t="n">
        <v>0</v>
      </c>
      <c r="P358" t="n">
        <v>0</v>
      </c>
      <c r="Q358" t="n">
        <v>0</v>
      </c>
      <c r="R358" s="2" t="inlineStr"/>
    </row>
    <row r="359" ht="15" customHeight="1">
      <c r="A359" t="inlineStr">
        <is>
          <t>A 38348-2025</t>
        </is>
      </c>
      <c r="B359" s="1" t="n">
        <v>45883</v>
      </c>
      <c r="C359" s="1" t="n">
        <v>45891</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50472-2022</t>
        </is>
      </c>
      <c r="B360" s="1" t="n">
        <v>44861</v>
      </c>
      <c r="C360" s="1" t="n">
        <v>45891</v>
      </c>
      <c r="D360" t="inlineStr">
        <is>
          <t>NORRBOTTENS LÄN</t>
        </is>
      </c>
      <c r="E360" t="inlineStr">
        <is>
          <t>ARVIDSJAUR</t>
        </is>
      </c>
      <c r="F360" t="inlineStr">
        <is>
          <t>Allmännings- och besparingsskogar</t>
        </is>
      </c>
      <c r="G360" t="n">
        <v>0.9</v>
      </c>
      <c r="H360" t="n">
        <v>0</v>
      </c>
      <c r="I360" t="n">
        <v>0</v>
      </c>
      <c r="J360" t="n">
        <v>0</v>
      </c>
      <c r="K360" t="n">
        <v>0</v>
      </c>
      <c r="L360" t="n">
        <v>0</v>
      </c>
      <c r="M360" t="n">
        <v>0</v>
      </c>
      <c r="N360" t="n">
        <v>0</v>
      </c>
      <c r="O360" t="n">
        <v>0</v>
      </c>
      <c r="P360" t="n">
        <v>0</v>
      </c>
      <c r="Q360" t="n">
        <v>0</v>
      </c>
      <c r="R360" s="2" t="inlineStr"/>
    </row>
    <row r="361" ht="15" customHeight="1">
      <c r="A361" t="inlineStr">
        <is>
          <t>A 39002-2025</t>
        </is>
      </c>
      <c r="B361" s="1" t="n">
        <v>45888</v>
      </c>
      <c r="C361" s="1" t="n">
        <v>45891</v>
      </c>
      <c r="D361" t="inlineStr">
        <is>
          <t>NORRBOTTENS LÄN</t>
        </is>
      </c>
      <c r="E361" t="inlineStr">
        <is>
          <t>ARVIDSJAUR</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55917-2024</t>
        </is>
      </c>
      <c r="B362" s="1" t="n">
        <v>45622</v>
      </c>
      <c r="C362" s="1" t="n">
        <v>45891</v>
      </c>
      <c r="D362" t="inlineStr">
        <is>
          <t>NORRBOTTENS LÄN</t>
        </is>
      </c>
      <c r="E362" t="inlineStr">
        <is>
          <t>ARVIDSJAUR</t>
        </is>
      </c>
      <c r="G362" t="n">
        <v>1.4</v>
      </c>
      <c r="H362" t="n">
        <v>0</v>
      </c>
      <c r="I362" t="n">
        <v>0</v>
      </c>
      <c r="J362" t="n">
        <v>0</v>
      </c>
      <c r="K362" t="n">
        <v>0</v>
      </c>
      <c r="L362" t="n">
        <v>0</v>
      </c>
      <c r="M362" t="n">
        <v>0</v>
      </c>
      <c r="N362" t="n">
        <v>0</v>
      </c>
      <c r="O362" t="n">
        <v>0</v>
      </c>
      <c r="P362" t="n">
        <v>0</v>
      </c>
      <c r="Q362" t="n">
        <v>0</v>
      </c>
      <c r="R362" s="2" t="inlineStr"/>
    </row>
    <row r="363" ht="15" customHeight="1">
      <c r="A363" t="inlineStr">
        <is>
          <t>A 39299-2025</t>
        </is>
      </c>
      <c r="B363" s="1" t="n">
        <v>45888</v>
      </c>
      <c r="C363" s="1" t="n">
        <v>45891</v>
      </c>
      <c r="D363" t="inlineStr">
        <is>
          <t>NORRBOTTENS LÄN</t>
        </is>
      </c>
      <c r="E363" t="inlineStr">
        <is>
          <t>ARVIDSJAUR</t>
        </is>
      </c>
      <c r="G363" t="n">
        <v>3.8</v>
      </c>
      <c r="H363" t="n">
        <v>0</v>
      </c>
      <c r="I363" t="n">
        <v>0</v>
      </c>
      <c r="J363" t="n">
        <v>0</v>
      </c>
      <c r="K363" t="n">
        <v>0</v>
      </c>
      <c r="L363" t="n">
        <v>0</v>
      </c>
      <c r="M363" t="n">
        <v>0</v>
      </c>
      <c r="N363" t="n">
        <v>0</v>
      </c>
      <c r="O363" t="n">
        <v>0</v>
      </c>
      <c r="P363" t="n">
        <v>0</v>
      </c>
      <c r="Q363" t="n">
        <v>0</v>
      </c>
      <c r="R363" s="2" t="inlineStr"/>
    </row>
    <row r="364" ht="15" customHeight="1">
      <c r="A364" t="inlineStr">
        <is>
          <t>A 39402-2025</t>
        </is>
      </c>
      <c r="B364" s="1" t="n">
        <v>45889.6356712963</v>
      </c>
      <c r="C364" s="1" t="n">
        <v>45891</v>
      </c>
      <c r="D364" t="inlineStr">
        <is>
          <t>NORRBOTTENS LÄN</t>
        </is>
      </c>
      <c r="E364" t="inlineStr">
        <is>
          <t>ARVIDSJAUR</t>
        </is>
      </c>
      <c r="F364" t="inlineStr">
        <is>
          <t>Sveaskog</t>
        </is>
      </c>
      <c r="G364" t="n">
        <v>5.1</v>
      </c>
      <c r="H364" t="n">
        <v>0</v>
      </c>
      <c r="I364" t="n">
        <v>0</v>
      </c>
      <c r="J364" t="n">
        <v>0</v>
      </c>
      <c r="K364" t="n">
        <v>0</v>
      </c>
      <c r="L364" t="n">
        <v>0</v>
      </c>
      <c r="M364" t="n">
        <v>0</v>
      </c>
      <c r="N364" t="n">
        <v>0</v>
      </c>
      <c r="O364" t="n">
        <v>0</v>
      </c>
      <c r="P364" t="n">
        <v>0</v>
      </c>
      <c r="Q364" t="n">
        <v>0</v>
      </c>
      <c r="R364" s="2" t="inlineStr"/>
    </row>
    <row r="365" ht="15" customHeight="1">
      <c r="A365" t="inlineStr">
        <is>
          <t>A 39300-2025</t>
        </is>
      </c>
      <c r="B365" s="1" t="n">
        <v>45888</v>
      </c>
      <c r="C365" s="1" t="n">
        <v>45891</v>
      </c>
      <c r="D365" t="inlineStr">
        <is>
          <t>NORRBOTTENS LÄN</t>
        </is>
      </c>
      <c r="E365" t="inlineStr">
        <is>
          <t>ARVIDSJAUR</t>
        </is>
      </c>
      <c r="G365" t="n">
        <v>1.6</v>
      </c>
      <c r="H365" t="n">
        <v>0</v>
      </c>
      <c r="I365" t="n">
        <v>0</v>
      </c>
      <c r="J365" t="n">
        <v>0</v>
      </c>
      <c r="K365" t="n">
        <v>0</v>
      </c>
      <c r="L365" t="n">
        <v>0</v>
      </c>
      <c r="M365" t="n">
        <v>0</v>
      </c>
      <c r="N365" t="n">
        <v>0</v>
      </c>
      <c r="O365" t="n">
        <v>0</v>
      </c>
      <c r="P365" t="n">
        <v>0</v>
      </c>
      <c r="Q365" t="n">
        <v>0</v>
      </c>
      <c r="R365" s="2" t="inlineStr"/>
    </row>
    <row r="366" ht="15" customHeight="1">
      <c r="A366" t="inlineStr">
        <is>
          <t>A 39397-2025</t>
        </is>
      </c>
      <c r="B366" s="1" t="n">
        <v>45889.63354166667</v>
      </c>
      <c r="C366" s="1" t="n">
        <v>45891</v>
      </c>
      <c r="D366" t="inlineStr">
        <is>
          <t>NORRBOTTENS LÄN</t>
        </is>
      </c>
      <c r="E366" t="inlineStr">
        <is>
          <t>ARVIDSJAUR</t>
        </is>
      </c>
      <c r="F366" t="inlineStr">
        <is>
          <t>Sveaskog</t>
        </is>
      </c>
      <c r="G366" t="n">
        <v>9.9</v>
      </c>
      <c r="H366" t="n">
        <v>0</v>
      </c>
      <c r="I366" t="n">
        <v>0</v>
      </c>
      <c r="J366" t="n">
        <v>0</v>
      </c>
      <c r="K366" t="n">
        <v>0</v>
      </c>
      <c r="L366" t="n">
        <v>0</v>
      </c>
      <c r="M366" t="n">
        <v>0</v>
      </c>
      <c r="N366" t="n">
        <v>0</v>
      </c>
      <c r="O366" t="n">
        <v>0</v>
      </c>
      <c r="P366" t="n">
        <v>0</v>
      </c>
      <c r="Q366" t="n">
        <v>0</v>
      </c>
      <c r="R366" s="2" t="inlineStr"/>
    </row>
    <row r="367" ht="15" customHeight="1">
      <c r="A367" t="inlineStr">
        <is>
          <t>A 37483-2024</t>
        </is>
      </c>
      <c r="B367" s="1" t="n">
        <v>45541.33534722222</v>
      </c>
      <c r="C367" s="1" t="n">
        <v>45891</v>
      </c>
      <c r="D367" t="inlineStr">
        <is>
          <t>NORRBOTTENS LÄN</t>
        </is>
      </c>
      <c r="E367" t="inlineStr">
        <is>
          <t>ARVIDSJAUR</t>
        </is>
      </c>
      <c r="F367" t="inlineStr">
        <is>
          <t>Sveaskog</t>
        </is>
      </c>
      <c r="G367" t="n">
        <v>4.4</v>
      </c>
      <c r="H367" t="n">
        <v>0</v>
      </c>
      <c r="I367" t="n">
        <v>0</v>
      </c>
      <c r="J367" t="n">
        <v>0</v>
      </c>
      <c r="K367" t="n">
        <v>0</v>
      </c>
      <c r="L367" t="n">
        <v>0</v>
      </c>
      <c r="M367" t="n">
        <v>0</v>
      </c>
      <c r="N367" t="n">
        <v>0</v>
      </c>
      <c r="O367" t="n">
        <v>0</v>
      </c>
      <c r="P367" t="n">
        <v>0</v>
      </c>
      <c r="Q367" t="n">
        <v>0</v>
      </c>
      <c r="R367" s="2" t="inlineStr"/>
    </row>
    <row r="368" ht="15" customHeight="1">
      <c r="A368" t="inlineStr">
        <is>
          <t>A 48616-2024</t>
        </is>
      </c>
      <c r="B368" s="1" t="n">
        <v>45593.45395833333</v>
      </c>
      <c r="C368" s="1" t="n">
        <v>45891</v>
      </c>
      <c r="D368" t="inlineStr">
        <is>
          <t>NORRBOTTENS LÄN</t>
        </is>
      </c>
      <c r="E368" t="inlineStr">
        <is>
          <t>ARVIDSJAUR</t>
        </is>
      </c>
      <c r="F368" t="inlineStr">
        <is>
          <t>Sveaskog</t>
        </is>
      </c>
      <c r="G368" t="n">
        <v>6.1</v>
      </c>
      <c r="H368" t="n">
        <v>0</v>
      </c>
      <c r="I368" t="n">
        <v>0</v>
      </c>
      <c r="J368" t="n">
        <v>0</v>
      </c>
      <c r="K368" t="n">
        <v>0</v>
      </c>
      <c r="L368" t="n">
        <v>0</v>
      </c>
      <c r="M368" t="n">
        <v>0</v>
      </c>
      <c r="N368" t="n">
        <v>0</v>
      </c>
      <c r="O368" t="n">
        <v>0</v>
      </c>
      <c r="P368" t="n">
        <v>0</v>
      </c>
      <c r="Q368" t="n">
        <v>0</v>
      </c>
      <c r="R368" s="2" t="inlineStr"/>
    </row>
    <row r="369" ht="15" customHeight="1">
      <c r="A369" t="inlineStr">
        <is>
          <t>A 26673-2023</t>
        </is>
      </c>
      <c r="B369" s="1" t="n">
        <v>45093</v>
      </c>
      <c r="C369" s="1" t="n">
        <v>45891</v>
      </c>
      <c r="D369" t="inlineStr">
        <is>
          <t>NORRBOTTENS LÄN</t>
        </is>
      </c>
      <c r="E369" t="inlineStr">
        <is>
          <t>ARVIDSJAUR</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10845-2025</t>
        </is>
      </c>
      <c r="B370" s="1" t="n">
        <v>45722</v>
      </c>
      <c r="C370" s="1" t="n">
        <v>45891</v>
      </c>
      <c r="D370" t="inlineStr">
        <is>
          <t>NORRBOTTENS LÄN</t>
        </is>
      </c>
      <c r="E370" t="inlineStr">
        <is>
          <t>ARVIDSJAUR</t>
        </is>
      </c>
      <c r="G370" t="n">
        <v>5.3</v>
      </c>
      <c r="H370" t="n">
        <v>0</v>
      </c>
      <c r="I370" t="n">
        <v>0</v>
      </c>
      <c r="J370" t="n">
        <v>0</v>
      </c>
      <c r="K370" t="n">
        <v>0</v>
      </c>
      <c r="L370" t="n">
        <v>0</v>
      </c>
      <c r="M370" t="n">
        <v>0</v>
      </c>
      <c r="N370" t="n">
        <v>0</v>
      </c>
      <c r="O370" t="n">
        <v>0</v>
      </c>
      <c r="P370" t="n">
        <v>0</v>
      </c>
      <c r="Q370" t="n">
        <v>0</v>
      </c>
      <c r="R370" s="2" t="inlineStr"/>
    </row>
    <row r="371" ht="15" customHeight="1">
      <c r="A371" t="inlineStr">
        <is>
          <t>A 26687-2024</t>
        </is>
      </c>
      <c r="B371" s="1" t="n">
        <v>45470.35686342593</v>
      </c>
      <c r="C371" s="1" t="n">
        <v>45891</v>
      </c>
      <c r="D371" t="inlineStr">
        <is>
          <t>NORRBOTTENS LÄN</t>
        </is>
      </c>
      <c r="E371" t="inlineStr">
        <is>
          <t>ARVIDSJAUR</t>
        </is>
      </c>
      <c r="F371" t="inlineStr">
        <is>
          <t>Sveaskog</t>
        </is>
      </c>
      <c r="G371" t="n">
        <v>7.7</v>
      </c>
      <c r="H371" t="n">
        <v>0</v>
      </c>
      <c r="I371" t="n">
        <v>0</v>
      </c>
      <c r="J371" t="n">
        <v>0</v>
      </c>
      <c r="K371" t="n">
        <v>0</v>
      </c>
      <c r="L371" t="n">
        <v>0</v>
      </c>
      <c r="M371" t="n">
        <v>0</v>
      </c>
      <c r="N371" t="n">
        <v>0</v>
      </c>
      <c r="O371" t="n">
        <v>0</v>
      </c>
      <c r="P371" t="n">
        <v>0</v>
      </c>
      <c r="Q371" t="n">
        <v>0</v>
      </c>
      <c r="R371" s="2" t="inlineStr"/>
    </row>
    <row r="372" ht="15" customHeight="1">
      <c r="A372" t="inlineStr">
        <is>
          <t>A 20811-2024</t>
        </is>
      </c>
      <c r="B372" s="1" t="n">
        <v>45439</v>
      </c>
      <c r="C372" s="1" t="n">
        <v>45891</v>
      </c>
      <c r="D372" t="inlineStr">
        <is>
          <t>NORRBOTTENS LÄN</t>
        </is>
      </c>
      <c r="E372" t="inlineStr">
        <is>
          <t>ARVIDSJAUR</t>
        </is>
      </c>
      <c r="G372" t="n">
        <v>1.6</v>
      </c>
      <c r="H372" t="n">
        <v>0</v>
      </c>
      <c r="I372" t="n">
        <v>0</v>
      </c>
      <c r="J372" t="n">
        <v>0</v>
      </c>
      <c r="K372" t="n">
        <v>0</v>
      </c>
      <c r="L372" t="n">
        <v>0</v>
      </c>
      <c r="M372" t="n">
        <v>0</v>
      </c>
      <c r="N372" t="n">
        <v>0</v>
      </c>
      <c r="O372" t="n">
        <v>0</v>
      </c>
      <c r="P372" t="n">
        <v>0</v>
      </c>
      <c r="Q372" t="n">
        <v>0</v>
      </c>
      <c r="R372" s="2" t="inlineStr"/>
    </row>
    <row r="373" ht="15" customHeight="1">
      <c r="A373" t="inlineStr">
        <is>
          <t>A 26819-2024</t>
        </is>
      </c>
      <c r="B373" s="1" t="n">
        <v>45470.55719907407</v>
      </c>
      <c r="C373" s="1" t="n">
        <v>45891</v>
      </c>
      <c r="D373" t="inlineStr">
        <is>
          <t>NORRBOTTENS LÄN</t>
        </is>
      </c>
      <c r="E373" t="inlineStr">
        <is>
          <t>ARVIDSJAUR</t>
        </is>
      </c>
      <c r="F373" t="inlineStr">
        <is>
          <t>Sveaskog</t>
        </is>
      </c>
      <c r="G373" t="n">
        <v>6.5</v>
      </c>
      <c r="H373" t="n">
        <v>0</v>
      </c>
      <c r="I373" t="n">
        <v>0</v>
      </c>
      <c r="J373" t="n">
        <v>0</v>
      </c>
      <c r="K373" t="n">
        <v>0</v>
      </c>
      <c r="L373" t="n">
        <v>0</v>
      </c>
      <c r="M373" t="n">
        <v>0</v>
      </c>
      <c r="N373" t="n">
        <v>0</v>
      </c>
      <c r="O373" t="n">
        <v>0</v>
      </c>
      <c r="P373" t="n">
        <v>0</v>
      </c>
      <c r="Q373" t="n">
        <v>0</v>
      </c>
      <c r="R373" s="2" t="inlineStr"/>
    </row>
    <row r="374" ht="15" customHeight="1">
      <c r="A374" t="inlineStr">
        <is>
          <t>A 54879-2024</t>
        </is>
      </c>
      <c r="B374" s="1" t="n">
        <v>45618</v>
      </c>
      <c r="C374" s="1" t="n">
        <v>45891</v>
      </c>
      <c r="D374" t="inlineStr">
        <is>
          <t>NORRBOTTENS LÄN</t>
        </is>
      </c>
      <c r="E374" t="inlineStr">
        <is>
          <t>ARVIDSJAUR</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36443-2023</t>
        </is>
      </c>
      <c r="B375" s="1" t="n">
        <v>45152</v>
      </c>
      <c r="C375" s="1" t="n">
        <v>45891</v>
      </c>
      <c r="D375" t="inlineStr">
        <is>
          <t>NORRBOTTENS LÄN</t>
        </is>
      </c>
      <c r="E375" t="inlineStr">
        <is>
          <t>ARVIDSJAUR</t>
        </is>
      </c>
      <c r="F375" t="inlineStr">
        <is>
          <t>Sveaskog</t>
        </is>
      </c>
      <c r="G375" t="n">
        <v>5</v>
      </c>
      <c r="H375" t="n">
        <v>0</v>
      </c>
      <c r="I375" t="n">
        <v>0</v>
      </c>
      <c r="J375" t="n">
        <v>0</v>
      </c>
      <c r="K375" t="n">
        <v>0</v>
      </c>
      <c r="L375" t="n">
        <v>0</v>
      </c>
      <c r="M375" t="n">
        <v>0</v>
      </c>
      <c r="N375" t="n">
        <v>0</v>
      </c>
      <c r="O375" t="n">
        <v>0</v>
      </c>
      <c r="P375" t="n">
        <v>0</v>
      </c>
      <c r="Q375" t="n">
        <v>0</v>
      </c>
      <c r="R375" s="2" t="inlineStr"/>
    </row>
    <row r="376" ht="15" customHeight="1">
      <c r="A376" t="inlineStr">
        <is>
          <t>A 30749-2023</t>
        </is>
      </c>
      <c r="B376" s="1" t="n">
        <v>45103</v>
      </c>
      <c r="C376" s="1" t="n">
        <v>45891</v>
      </c>
      <c r="D376" t="inlineStr">
        <is>
          <t>NORRBOTTENS LÄN</t>
        </is>
      </c>
      <c r="E376" t="inlineStr">
        <is>
          <t>ARVIDSJAUR</t>
        </is>
      </c>
      <c r="G376" t="n">
        <v>5</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45891</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50607-2024</t>
        </is>
      </c>
      <c r="B378" s="1" t="n">
        <v>45601</v>
      </c>
      <c r="C378" s="1" t="n">
        <v>45891</v>
      </c>
      <c r="D378" t="inlineStr">
        <is>
          <t>NORRBOTTENS LÄN</t>
        </is>
      </c>
      <c r="E378" t="inlineStr">
        <is>
          <t>ARVIDSJAUR</t>
        </is>
      </c>
      <c r="G378" t="n">
        <v>10</v>
      </c>
      <c r="H378" t="n">
        <v>0</v>
      </c>
      <c r="I378" t="n">
        <v>0</v>
      </c>
      <c r="J378" t="n">
        <v>0</v>
      </c>
      <c r="K378" t="n">
        <v>0</v>
      </c>
      <c r="L378" t="n">
        <v>0</v>
      </c>
      <c r="M378" t="n">
        <v>0</v>
      </c>
      <c r="N378" t="n">
        <v>0</v>
      </c>
      <c r="O378" t="n">
        <v>0</v>
      </c>
      <c r="P378" t="n">
        <v>0</v>
      </c>
      <c r="Q378" t="n">
        <v>0</v>
      </c>
      <c r="R378" s="2" t="inlineStr"/>
    </row>
    <row r="379">
      <c r="A379" t="inlineStr">
        <is>
          <t>A 10664-2023</t>
        </is>
      </c>
      <c r="B379" s="1" t="n">
        <v>44988</v>
      </c>
      <c r="C379" s="1" t="n">
        <v>45891</v>
      </c>
      <c r="D379" t="inlineStr">
        <is>
          <t>NORRBOTTENS LÄN</t>
        </is>
      </c>
      <c r="E379" t="inlineStr">
        <is>
          <t>ARVIDSJAUR</t>
        </is>
      </c>
      <c r="F379" t="inlineStr">
        <is>
          <t>Sveaskog</t>
        </is>
      </c>
      <c r="G379" t="n">
        <v>4.7</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2025-08-22T08:31:26Z</dcterms:created>
  <dcterms:modified xmlns:dcterms="http://purl.org/dc/terms/" xmlns:xsi="http://www.w3.org/2001/XMLSchema-instance" xsi:type="dcterms:W3CDTF">2025-08-22T08:31:27Z</dcterms:modified>
</cp:coreProperties>
</file>