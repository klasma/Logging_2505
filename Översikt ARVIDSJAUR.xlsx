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46089</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46089</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46089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46089</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46089</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46089</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46089</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46089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46089</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46089</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46089</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1728-2026</t>
        </is>
      </c>
      <c r="B29" s="1" t="n">
        <v>46034</v>
      </c>
      <c r="C29" s="1" t="n">
        <v>46089</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56489-2025</t>
        </is>
      </c>
      <c r="B30" s="1" t="n">
        <v>45975.41206018518</v>
      </c>
      <c r="C30" s="1" t="n">
        <v>46089</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46089</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46089</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46089</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46089</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46089</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46089</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46089</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46089</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46089</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46089</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50826-2025</t>
        </is>
      </c>
      <c r="B41" s="1" t="n">
        <v>45946.54731481482</v>
      </c>
      <c r="C41" s="1" t="n">
        <v>46089</v>
      </c>
      <c r="D41" t="inlineStr">
        <is>
          <t>NORRBOTTENS LÄN</t>
        </is>
      </c>
      <c r="E41" t="inlineStr">
        <is>
          <t>ARVIDSJAUR</t>
        </is>
      </c>
      <c r="F41" t="inlineStr">
        <is>
          <t>Sveaskog</t>
        </is>
      </c>
      <c r="G41" t="n">
        <v>31.8</v>
      </c>
      <c r="H41" t="n">
        <v>0</v>
      </c>
      <c r="I41" t="n">
        <v>0</v>
      </c>
      <c r="J41" t="n">
        <v>1</v>
      </c>
      <c r="K41" t="n">
        <v>0</v>
      </c>
      <c r="L41" t="n">
        <v>0</v>
      </c>
      <c r="M41" t="n">
        <v>0</v>
      </c>
      <c r="N41" t="n">
        <v>0</v>
      </c>
      <c r="O41" t="n">
        <v>1</v>
      </c>
      <c r="P41" t="n">
        <v>0</v>
      </c>
      <c r="Q41" t="n">
        <v>1</v>
      </c>
      <c r="R41" s="2" t="inlineStr">
        <is>
          <t>Lunglav</t>
        </is>
      </c>
      <c r="S41">
        <f>HYPERLINK("https://klasma.github.io/Logging_2505/artfynd/A 50826-2025 artfynd.xlsx", "A 50826-2025")</f>
        <v/>
      </c>
      <c r="T41">
        <f>HYPERLINK("https://klasma.github.io/Logging_2505/kartor/A 50826-2025 karta.png", "A 50826-2025")</f>
        <v/>
      </c>
      <c r="V41">
        <f>HYPERLINK("https://klasma.github.io/Logging_2505/klagomål/A 50826-2025 FSC-klagomål.docx", "A 50826-2025")</f>
        <v/>
      </c>
      <c r="W41">
        <f>HYPERLINK("https://klasma.github.io/Logging_2505/klagomålsmail/A 50826-2025 FSC-klagomål mail.docx", "A 50826-2025")</f>
        <v/>
      </c>
      <c r="X41">
        <f>HYPERLINK("https://klasma.github.io/Logging_2505/tillsyn/A 50826-2025 tillsynsbegäran.docx", "A 50826-2025")</f>
        <v/>
      </c>
      <c r="Y41">
        <f>HYPERLINK("https://klasma.github.io/Logging_2505/tillsynsmail/A 50826-2025 tillsynsbegäran mail.docx", "A 50826-2025")</f>
        <v/>
      </c>
    </row>
    <row r="42" ht="15" customHeight="1">
      <c r="A42" t="inlineStr">
        <is>
          <t>A 55653-2025</t>
        </is>
      </c>
      <c r="B42" s="1" t="n">
        <v>45972.38201388889</v>
      </c>
      <c r="C42" s="1" t="n">
        <v>46089</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46089</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46089</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46089</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46089</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46089</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46089</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46089</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46089</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46089</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46089</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46089</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46089</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46089</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46089</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46089</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46089</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46089</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46089</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46089</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46089</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46089</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46089</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46089</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46089</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46089</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46089</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46089</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46089</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46089</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46089</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46089</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46089</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46089</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46089</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46089</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46089</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46089</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46089</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46089</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46089</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46089</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46089</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46089</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46089</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46089</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46089</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46089</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46089</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46089</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46089</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46089</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46089</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46089</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46089</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46089</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46089</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46089</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46089</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46089</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46089</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46089</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46089</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28803-2024</t>
        </is>
      </c>
      <c r="B120" s="1" t="n">
        <v>45478</v>
      </c>
      <c r="C120" s="1" t="n">
        <v>46089</v>
      </c>
      <c r="D120" t="inlineStr">
        <is>
          <t>NORRBOTTENS LÄN</t>
        </is>
      </c>
      <c r="E120" t="inlineStr">
        <is>
          <t>ARVIDSJAUR</t>
        </is>
      </c>
      <c r="F120" t="inlineStr">
        <is>
          <t>Övriga Aktiebolag</t>
        </is>
      </c>
      <c r="G120" t="n">
        <v>16.5</v>
      </c>
      <c r="H120" t="n">
        <v>0</v>
      </c>
      <c r="I120" t="n">
        <v>0</v>
      </c>
      <c r="J120" t="n">
        <v>0</v>
      </c>
      <c r="K120" t="n">
        <v>0</v>
      </c>
      <c r="L120" t="n">
        <v>0</v>
      </c>
      <c r="M120" t="n">
        <v>0</v>
      </c>
      <c r="N120" t="n">
        <v>0</v>
      </c>
      <c r="O120" t="n">
        <v>0</v>
      </c>
      <c r="P120" t="n">
        <v>0</v>
      </c>
      <c r="Q120" t="n">
        <v>0</v>
      </c>
      <c r="R120" s="2" t="inlineStr"/>
    </row>
    <row r="121" ht="15" customHeight="1">
      <c r="A121" t="inlineStr">
        <is>
          <t>A 19237-2025</t>
        </is>
      </c>
      <c r="B121" s="1" t="n">
        <v>45769</v>
      </c>
      <c r="C121" s="1" t="n">
        <v>46089</v>
      </c>
      <c r="D121" t="inlineStr">
        <is>
          <t>NORRBOTTENS LÄN</t>
        </is>
      </c>
      <c r="E121" t="inlineStr">
        <is>
          <t>ARVIDSJAUR</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46089</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2116-2024</t>
        </is>
      </c>
      <c r="B123" s="1" t="n">
        <v>45309</v>
      </c>
      <c r="C123" s="1" t="n">
        <v>46089</v>
      </c>
      <c r="D123" t="inlineStr">
        <is>
          <t>NORRBOTTENS LÄN</t>
        </is>
      </c>
      <c r="E123" t="inlineStr">
        <is>
          <t>ARVIDSJAUR</t>
        </is>
      </c>
      <c r="G123" t="n">
        <v>0.9</v>
      </c>
      <c r="H123" t="n">
        <v>0</v>
      </c>
      <c r="I123" t="n">
        <v>0</v>
      </c>
      <c r="J123" t="n">
        <v>0</v>
      </c>
      <c r="K123" t="n">
        <v>0</v>
      </c>
      <c r="L123" t="n">
        <v>0</v>
      </c>
      <c r="M123" t="n">
        <v>0</v>
      </c>
      <c r="N123" t="n">
        <v>0</v>
      </c>
      <c r="O123" t="n">
        <v>0</v>
      </c>
      <c r="P123" t="n">
        <v>0</v>
      </c>
      <c r="Q123" t="n">
        <v>0</v>
      </c>
      <c r="R123" s="2" t="inlineStr"/>
    </row>
    <row r="124" ht="15" customHeight="1">
      <c r="A124" t="inlineStr">
        <is>
          <t>A 53510-2025</t>
        </is>
      </c>
      <c r="B124" s="1" t="n">
        <v>45960</v>
      </c>
      <c r="C124" s="1" t="n">
        <v>46089</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59593-2025</t>
        </is>
      </c>
      <c r="B125" s="1" t="n">
        <v>45992.34451388889</v>
      </c>
      <c r="C125" s="1" t="n">
        <v>46089</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60011-2025</t>
        </is>
      </c>
      <c r="B126" s="1" t="n">
        <v>45993.59430555555</v>
      </c>
      <c r="C126" s="1" t="n">
        <v>46089</v>
      </c>
      <c r="D126" t="inlineStr">
        <is>
          <t>NORRBOTTENS LÄN</t>
        </is>
      </c>
      <c r="E126" t="inlineStr">
        <is>
          <t>ARVIDSJAUR</t>
        </is>
      </c>
      <c r="G126" t="n">
        <v>4</v>
      </c>
      <c r="H126" t="n">
        <v>0</v>
      </c>
      <c r="I126" t="n">
        <v>0</v>
      </c>
      <c r="J126" t="n">
        <v>0</v>
      </c>
      <c r="K126" t="n">
        <v>0</v>
      </c>
      <c r="L126" t="n">
        <v>0</v>
      </c>
      <c r="M126" t="n">
        <v>0</v>
      </c>
      <c r="N126" t="n">
        <v>0</v>
      </c>
      <c r="O126" t="n">
        <v>0</v>
      </c>
      <c r="P126" t="n">
        <v>0</v>
      </c>
      <c r="Q126" t="n">
        <v>0</v>
      </c>
      <c r="R126" s="2" t="inlineStr"/>
    </row>
    <row r="127" ht="15" customHeight="1">
      <c r="A127" t="inlineStr">
        <is>
          <t>A 38027-2025</t>
        </is>
      </c>
      <c r="B127" s="1" t="n">
        <v>45882</v>
      </c>
      <c r="C127" s="1" t="n">
        <v>46089</v>
      </c>
      <c r="D127" t="inlineStr">
        <is>
          <t>NORRBOTTENS LÄN</t>
        </is>
      </c>
      <c r="E127" t="inlineStr">
        <is>
          <t>ARVIDSJAUR</t>
        </is>
      </c>
      <c r="G127" t="n">
        <v>2.5</v>
      </c>
      <c r="H127" t="n">
        <v>0</v>
      </c>
      <c r="I127" t="n">
        <v>0</v>
      </c>
      <c r="J127" t="n">
        <v>0</v>
      </c>
      <c r="K127" t="n">
        <v>0</v>
      </c>
      <c r="L127" t="n">
        <v>0</v>
      </c>
      <c r="M127" t="n">
        <v>0</v>
      </c>
      <c r="N127" t="n">
        <v>0</v>
      </c>
      <c r="O127" t="n">
        <v>0</v>
      </c>
      <c r="P127" t="n">
        <v>0</v>
      </c>
      <c r="Q127" t="n">
        <v>0</v>
      </c>
      <c r="R127" s="2" t="inlineStr"/>
    </row>
    <row r="128" ht="15" customHeight="1">
      <c r="A128" t="inlineStr">
        <is>
          <t>A 11492-2025</t>
        </is>
      </c>
      <c r="B128" s="1" t="n">
        <v>45726</v>
      </c>
      <c r="C128" s="1" t="n">
        <v>46089</v>
      </c>
      <c r="D128" t="inlineStr">
        <is>
          <t>NORRBOTTENS LÄN</t>
        </is>
      </c>
      <c r="E128" t="inlineStr">
        <is>
          <t>ARVIDSJAUR</t>
        </is>
      </c>
      <c r="F128" t="inlineStr">
        <is>
          <t>Allmännings- och besparingsskogar</t>
        </is>
      </c>
      <c r="G128" t="n">
        <v>14.2</v>
      </c>
      <c r="H128" t="n">
        <v>0</v>
      </c>
      <c r="I128" t="n">
        <v>0</v>
      </c>
      <c r="J128" t="n">
        <v>0</v>
      </c>
      <c r="K128" t="n">
        <v>0</v>
      </c>
      <c r="L128" t="n">
        <v>0</v>
      </c>
      <c r="M128" t="n">
        <v>0</v>
      </c>
      <c r="N128" t="n">
        <v>0</v>
      </c>
      <c r="O128" t="n">
        <v>0</v>
      </c>
      <c r="P128" t="n">
        <v>0</v>
      </c>
      <c r="Q128" t="n">
        <v>0</v>
      </c>
      <c r="R128" s="2" t="inlineStr"/>
    </row>
    <row r="129" ht="15" customHeight="1">
      <c r="A129" t="inlineStr">
        <is>
          <t>A 11494-2025</t>
        </is>
      </c>
      <c r="B129" s="1" t="n">
        <v>45726</v>
      </c>
      <c r="C129" s="1" t="n">
        <v>46089</v>
      </c>
      <c r="D129" t="inlineStr">
        <is>
          <t>NORRBOTTENS LÄN</t>
        </is>
      </c>
      <c r="E129" t="inlineStr">
        <is>
          <t>ARVIDSJAUR</t>
        </is>
      </c>
      <c r="F129" t="inlineStr">
        <is>
          <t>Allmännings- och besparingsskogar</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42870-2024</t>
        </is>
      </c>
      <c r="B130" s="1" t="n">
        <v>45566.66489583333</v>
      </c>
      <c r="C130" s="1" t="n">
        <v>46089</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60000-2025</t>
        </is>
      </c>
      <c r="B131" s="1" t="n">
        <v>45993.57403935185</v>
      </c>
      <c r="C131" s="1" t="n">
        <v>46089</v>
      </c>
      <c r="D131" t="inlineStr">
        <is>
          <t>NORRBOTTENS LÄN</t>
        </is>
      </c>
      <c r="E131" t="inlineStr">
        <is>
          <t>ARVIDSJAUR</t>
        </is>
      </c>
      <c r="G131" t="n">
        <v>5.4</v>
      </c>
      <c r="H131" t="n">
        <v>0</v>
      </c>
      <c r="I131" t="n">
        <v>0</v>
      </c>
      <c r="J131" t="n">
        <v>0</v>
      </c>
      <c r="K131" t="n">
        <v>0</v>
      </c>
      <c r="L131" t="n">
        <v>0</v>
      </c>
      <c r="M131" t="n">
        <v>0</v>
      </c>
      <c r="N131" t="n">
        <v>0</v>
      </c>
      <c r="O131" t="n">
        <v>0</v>
      </c>
      <c r="P131" t="n">
        <v>0</v>
      </c>
      <c r="Q131" t="n">
        <v>0</v>
      </c>
      <c r="R131" s="2" t="inlineStr"/>
    </row>
    <row r="132" ht="15" customHeight="1">
      <c r="A132" t="inlineStr">
        <is>
          <t>A 53511-2025</t>
        </is>
      </c>
      <c r="B132" s="1" t="n">
        <v>45960</v>
      </c>
      <c r="C132" s="1" t="n">
        <v>46089</v>
      </c>
      <c r="D132" t="inlineStr">
        <is>
          <t>NORRBOTTENS LÄN</t>
        </is>
      </c>
      <c r="E132" t="inlineStr">
        <is>
          <t>ARVIDSJAUR</t>
        </is>
      </c>
      <c r="G132" t="n">
        <v>1.3</v>
      </c>
      <c r="H132" t="n">
        <v>0</v>
      </c>
      <c r="I132" t="n">
        <v>0</v>
      </c>
      <c r="J132" t="n">
        <v>0</v>
      </c>
      <c r="K132" t="n">
        <v>0</v>
      </c>
      <c r="L132" t="n">
        <v>0</v>
      </c>
      <c r="M132" t="n">
        <v>0</v>
      </c>
      <c r="N132" t="n">
        <v>0</v>
      </c>
      <c r="O132" t="n">
        <v>0</v>
      </c>
      <c r="P132" t="n">
        <v>0</v>
      </c>
      <c r="Q132" t="n">
        <v>0</v>
      </c>
      <c r="R132" s="2" t="inlineStr"/>
    </row>
    <row r="133" ht="15" customHeight="1">
      <c r="A133" t="inlineStr">
        <is>
          <t>A 24184-2025</t>
        </is>
      </c>
      <c r="B133" s="1" t="n">
        <v>45796</v>
      </c>
      <c r="C133" s="1" t="n">
        <v>46089</v>
      </c>
      <c r="D133" t="inlineStr">
        <is>
          <t>NORRBOTTENS LÄN</t>
        </is>
      </c>
      <c r="E133" t="inlineStr">
        <is>
          <t>ARVIDSJAUR</t>
        </is>
      </c>
      <c r="G133" t="n">
        <v>0.9</v>
      </c>
      <c r="H133" t="n">
        <v>0</v>
      </c>
      <c r="I133" t="n">
        <v>0</v>
      </c>
      <c r="J133" t="n">
        <v>0</v>
      </c>
      <c r="K133" t="n">
        <v>0</v>
      </c>
      <c r="L133" t="n">
        <v>0</v>
      </c>
      <c r="M133" t="n">
        <v>0</v>
      </c>
      <c r="N133" t="n">
        <v>0</v>
      </c>
      <c r="O133" t="n">
        <v>0</v>
      </c>
      <c r="P133" t="n">
        <v>0</v>
      </c>
      <c r="Q133" t="n">
        <v>0</v>
      </c>
      <c r="R133" s="2" t="inlineStr"/>
    </row>
    <row r="134" ht="15" customHeight="1">
      <c r="A134" t="inlineStr">
        <is>
          <t>A 57705-2025</t>
        </is>
      </c>
      <c r="B134" s="1" t="n">
        <v>45981.46944444445</v>
      </c>
      <c r="C134" s="1" t="n">
        <v>46089</v>
      </c>
      <c r="D134" t="inlineStr">
        <is>
          <t>NORRBOTTENS LÄN</t>
        </is>
      </c>
      <c r="E134" t="inlineStr">
        <is>
          <t>ARVIDSJAUR</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22328-2021</t>
        </is>
      </c>
      <c r="B135" s="1" t="n">
        <v>44321</v>
      </c>
      <c r="C135" s="1" t="n">
        <v>46089</v>
      </c>
      <c r="D135" t="inlineStr">
        <is>
          <t>NORRBOTTENS LÄN</t>
        </is>
      </c>
      <c r="E135" t="inlineStr">
        <is>
          <t>ARVIDSJAUR</t>
        </is>
      </c>
      <c r="G135" t="n">
        <v>0.6</v>
      </c>
      <c r="H135" t="n">
        <v>0</v>
      </c>
      <c r="I135" t="n">
        <v>0</v>
      </c>
      <c r="J135" t="n">
        <v>0</v>
      </c>
      <c r="K135" t="n">
        <v>0</v>
      </c>
      <c r="L135" t="n">
        <v>0</v>
      </c>
      <c r="M135" t="n">
        <v>0</v>
      </c>
      <c r="N135" t="n">
        <v>0</v>
      </c>
      <c r="O135" t="n">
        <v>0</v>
      </c>
      <c r="P135" t="n">
        <v>0</v>
      </c>
      <c r="Q135" t="n">
        <v>0</v>
      </c>
      <c r="R135" s="2" t="inlineStr"/>
    </row>
    <row r="136" ht="15" customHeight="1">
      <c r="A136" t="inlineStr">
        <is>
          <t>A 24923-2025</t>
        </is>
      </c>
      <c r="B136" s="1" t="n">
        <v>45799.55270833334</v>
      </c>
      <c r="C136" s="1" t="n">
        <v>46089</v>
      </c>
      <c r="D136" t="inlineStr">
        <is>
          <t>NORRBOTTENS LÄN</t>
        </is>
      </c>
      <c r="E136" t="inlineStr">
        <is>
          <t>ARVIDSJAUR</t>
        </is>
      </c>
      <c r="G136" t="n">
        <v>4.3</v>
      </c>
      <c r="H136" t="n">
        <v>0</v>
      </c>
      <c r="I136" t="n">
        <v>0</v>
      </c>
      <c r="J136" t="n">
        <v>0</v>
      </c>
      <c r="K136" t="n">
        <v>0</v>
      </c>
      <c r="L136" t="n">
        <v>0</v>
      </c>
      <c r="M136" t="n">
        <v>0</v>
      </c>
      <c r="N136" t="n">
        <v>0</v>
      </c>
      <c r="O136" t="n">
        <v>0</v>
      </c>
      <c r="P136" t="n">
        <v>0</v>
      </c>
      <c r="Q136" t="n">
        <v>0</v>
      </c>
      <c r="R136" s="2" t="inlineStr"/>
    </row>
    <row r="137" ht="15" customHeight="1">
      <c r="A137" t="inlineStr">
        <is>
          <t>A 7043-2026</t>
        </is>
      </c>
      <c r="B137" s="1" t="n">
        <v>46057</v>
      </c>
      <c r="C137" s="1" t="n">
        <v>46089</v>
      </c>
      <c r="D137" t="inlineStr">
        <is>
          <t>NORRBOTTENS LÄN</t>
        </is>
      </c>
      <c r="E137" t="inlineStr">
        <is>
          <t>ARVIDSJAUR</t>
        </is>
      </c>
      <c r="G137" t="n">
        <v>7.1</v>
      </c>
      <c r="H137" t="n">
        <v>0</v>
      </c>
      <c r="I137" t="n">
        <v>0</v>
      </c>
      <c r="J137" t="n">
        <v>0</v>
      </c>
      <c r="K137" t="n">
        <v>0</v>
      </c>
      <c r="L137" t="n">
        <v>0</v>
      </c>
      <c r="M137" t="n">
        <v>0</v>
      </c>
      <c r="N137" t="n">
        <v>0</v>
      </c>
      <c r="O137" t="n">
        <v>0</v>
      </c>
      <c r="P137" t="n">
        <v>0</v>
      </c>
      <c r="Q137" t="n">
        <v>0</v>
      </c>
      <c r="R137" s="2" t="inlineStr"/>
    </row>
    <row r="138" ht="15" customHeight="1">
      <c r="A138" t="inlineStr">
        <is>
          <t>A 24506-2025</t>
        </is>
      </c>
      <c r="B138" s="1" t="n">
        <v>45798</v>
      </c>
      <c r="C138" s="1" t="n">
        <v>46089</v>
      </c>
      <c r="D138" t="inlineStr">
        <is>
          <t>NORRBOTTENS LÄN</t>
        </is>
      </c>
      <c r="E138" t="inlineStr">
        <is>
          <t>ARVIDSJAUR</t>
        </is>
      </c>
      <c r="F138" t="inlineStr">
        <is>
          <t>Sveaskog</t>
        </is>
      </c>
      <c r="G138" t="n">
        <v>16.6</v>
      </c>
      <c r="H138" t="n">
        <v>0</v>
      </c>
      <c r="I138" t="n">
        <v>0</v>
      </c>
      <c r="J138" t="n">
        <v>0</v>
      </c>
      <c r="K138" t="n">
        <v>0</v>
      </c>
      <c r="L138" t="n">
        <v>0</v>
      </c>
      <c r="M138" t="n">
        <v>0</v>
      </c>
      <c r="N138" t="n">
        <v>0</v>
      </c>
      <c r="O138" t="n">
        <v>0</v>
      </c>
      <c r="P138" t="n">
        <v>0</v>
      </c>
      <c r="Q138" t="n">
        <v>0</v>
      </c>
      <c r="R138" s="2" t="inlineStr"/>
    </row>
    <row r="139" ht="15" customHeight="1">
      <c r="A139" t="inlineStr">
        <is>
          <t>A 48291-2023</t>
        </is>
      </c>
      <c r="B139" s="1" t="n">
        <v>45201</v>
      </c>
      <c r="C139" s="1" t="n">
        <v>46089</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24922-2025</t>
        </is>
      </c>
      <c r="B140" s="1" t="n">
        <v>45799.55261574074</v>
      </c>
      <c r="C140" s="1" t="n">
        <v>46089</v>
      </c>
      <c r="D140" t="inlineStr">
        <is>
          <t>NORRBOTTENS LÄN</t>
        </is>
      </c>
      <c r="E140" t="inlineStr">
        <is>
          <t>ARVIDSJAUR</t>
        </is>
      </c>
      <c r="G140" t="n">
        <v>3.2</v>
      </c>
      <c r="H140" t="n">
        <v>0</v>
      </c>
      <c r="I140" t="n">
        <v>0</v>
      </c>
      <c r="J140" t="n">
        <v>0</v>
      </c>
      <c r="K140" t="n">
        <v>0</v>
      </c>
      <c r="L140" t="n">
        <v>0</v>
      </c>
      <c r="M140" t="n">
        <v>0</v>
      </c>
      <c r="N140" t="n">
        <v>0</v>
      </c>
      <c r="O140" t="n">
        <v>0</v>
      </c>
      <c r="P140" t="n">
        <v>0</v>
      </c>
      <c r="Q140" t="n">
        <v>0</v>
      </c>
      <c r="R140" s="2" t="inlineStr"/>
    </row>
    <row r="141" ht="15" customHeight="1">
      <c r="A141" t="inlineStr">
        <is>
          <t>A 39402-2025</t>
        </is>
      </c>
      <c r="B141" s="1" t="n">
        <v>45889.6356712963</v>
      </c>
      <c r="C141" s="1" t="n">
        <v>46089</v>
      </c>
      <c r="D141" t="inlineStr">
        <is>
          <t>NORRBOTTENS LÄN</t>
        </is>
      </c>
      <c r="E141" t="inlineStr">
        <is>
          <t>ARVIDSJAUR</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39300-2025</t>
        </is>
      </c>
      <c r="B142" s="1" t="n">
        <v>45888</v>
      </c>
      <c r="C142" s="1" t="n">
        <v>46089</v>
      </c>
      <c r="D142" t="inlineStr">
        <is>
          <t>NORRBOTTENS LÄN</t>
        </is>
      </c>
      <c r="E142" t="inlineStr">
        <is>
          <t>ARVIDSJAUR</t>
        </is>
      </c>
      <c r="G142" t="n">
        <v>1.6</v>
      </c>
      <c r="H142" t="n">
        <v>0</v>
      </c>
      <c r="I142" t="n">
        <v>0</v>
      </c>
      <c r="J142" t="n">
        <v>0</v>
      </c>
      <c r="K142" t="n">
        <v>0</v>
      </c>
      <c r="L142" t="n">
        <v>0</v>
      </c>
      <c r="M142" t="n">
        <v>0</v>
      </c>
      <c r="N142" t="n">
        <v>0</v>
      </c>
      <c r="O142" t="n">
        <v>0</v>
      </c>
      <c r="P142" t="n">
        <v>0</v>
      </c>
      <c r="Q142" t="n">
        <v>0</v>
      </c>
      <c r="R142" s="2" t="inlineStr"/>
    </row>
    <row r="143" ht="15" customHeight="1">
      <c r="A143" t="inlineStr">
        <is>
          <t>A 39397-2025</t>
        </is>
      </c>
      <c r="B143" s="1" t="n">
        <v>45889.63354166667</v>
      </c>
      <c r="C143" s="1" t="n">
        <v>46089</v>
      </c>
      <c r="D143" t="inlineStr">
        <is>
          <t>NORRBOTTENS LÄN</t>
        </is>
      </c>
      <c r="E143" t="inlineStr">
        <is>
          <t>ARVIDSJAUR</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46089</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46089</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2773-2025</t>
        </is>
      </c>
      <c r="B146" s="1" t="n">
        <v>45677.51043981482</v>
      </c>
      <c r="C146" s="1" t="n">
        <v>46089</v>
      </c>
      <c r="D146" t="inlineStr">
        <is>
          <t>NORRBOTTENS LÄN</t>
        </is>
      </c>
      <c r="E146" t="inlineStr">
        <is>
          <t>ARVIDSJAUR</t>
        </is>
      </c>
      <c r="G146" t="n">
        <v>2.8</v>
      </c>
      <c r="H146" t="n">
        <v>0</v>
      </c>
      <c r="I146" t="n">
        <v>0</v>
      </c>
      <c r="J146" t="n">
        <v>0</v>
      </c>
      <c r="K146" t="n">
        <v>0</v>
      </c>
      <c r="L146" t="n">
        <v>0</v>
      </c>
      <c r="M146" t="n">
        <v>0</v>
      </c>
      <c r="N146" t="n">
        <v>0</v>
      </c>
      <c r="O146" t="n">
        <v>0</v>
      </c>
      <c r="P146" t="n">
        <v>0</v>
      </c>
      <c r="Q146" t="n">
        <v>0</v>
      </c>
      <c r="R146" s="2" t="inlineStr"/>
    </row>
    <row r="147" ht="15" customHeight="1">
      <c r="A147" t="inlineStr">
        <is>
          <t>A 39299-2025</t>
        </is>
      </c>
      <c r="B147" s="1" t="n">
        <v>45888</v>
      </c>
      <c r="C147" s="1" t="n">
        <v>46089</v>
      </c>
      <c r="D147" t="inlineStr">
        <is>
          <t>NORRBOTTENS LÄN</t>
        </is>
      </c>
      <c r="E147" t="inlineStr">
        <is>
          <t>ARVIDSJAUR</t>
        </is>
      </c>
      <c r="G147" t="n">
        <v>3.8</v>
      </c>
      <c r="H147" t="n">
        <v>0</v>
      </c>
      <c r="I147" t="n">
        <v>0</v>
      </c>
      <c r="J147" t="n">
        <v>0</v>
      </c>
      <c r="K147" t="n">
        <v>0</v>
      </c>
      <c r="L147" t="n">
        <v>0</v>
      </c>
      <c r="M147" t="n">
        <v>0</v>
      </c>
      <c r="N147" t="n">
        <v>0</v>
      </c>
      <c r="O147" t="n">
        <v>0</v>
      </c>
      <c r="P147" t="n">
        <v>0</v>
      </c>
      <c r="Q147" t="n">
        <v>0</v>
      </c>
      <c r="R147" s="2" t="inlineStr"/>
    </row>
    <row r="148" ht="15" customHeight="1">
      <c r="A148" t="inlineStr">
        <is>
          <t>A 18780-2024</t>
        </is>
      </c>
      <c r="B148" s="1" t="n">
        <v>45426</v>
      </c>
      <c r="C148" s="1" t="n">
        <v>46089</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39584-2025</t>
        </is>
      </c>
      <c r="B149" s="1" t="n">
        <v>45890</v>
      </c>
      <c r="C149" s="1" t="n">
        <v>46089</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25395-2022</t>
        </is>
      </c>
      <c r="B150" s="1" t="n">
        <v>44732</v>
      </c>
      <c r="C150" s="1" t="n">
        <v>46089</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38472-2024</t>
        </is>
      </c>
      <c r="B151" s="1" t="n">
        <v>45546</v>
      </c>
      <c r="C151" s="1" t="n">
        <v>46089</v>
      </c>
      <c r="D151" t="inlineStr">
        <is>
          <t>NORRBOTTENS LÄN</t>
        </is>
      </c>
      <c r="E151" t="inlineStr">
        <is>
          <t>ARVIDSJAUR</t>
        </is>
      </c>
      <c r="G151" t="n">
        <v>3.6</v>
      </c>
      <c r="H151" t="n">
        <v>0</v>
      </c>
      <c r="I151" t="n">
        <v>0</v>
      </c>
      <c r="J151" t="n">
        <v>0</v>
      </c>
      <c r="K151" t="n">
        <v>0</v>
      </c>
      <c r="L151" t="n">
        <v>0</v>
      </c>
      <c r="M151" t="n">
        <v>0</v>
      </c>
      <c r="N151" t="n">
        <v>0</v>
      </c>
      <c r="O151" t="n">
        <v>0</v>
      </c>
      <c r="P151" t="n">
        <v>0</v>
      </c>
      <c r="Q151" t="n">
        <v>0</v>
      </c>
      <c r="R151" s="2" t="inlineStr"/>
    </row>
    <row r="152" ht="15" customHeight="1">
      <c r="A152" t="inlineStr">
        <is>
          <t>A 38271-2024</t>
        </is>
      </c>
      <c r="B152" s="1" t="n">
        <v>45545</v>
      </c>
      <c r="C152" s="1" t="n">
        <v>46089</v>
      </c>
      <c r="D152" t="inlineStr">
        <is>
          <t>NORRBOTTENS LÄN</t>
        </is>
      </c>
      <c r="E152" t="inlineStr">
        <is>
          <t>ARVIDSJAUR</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46181-2021</t>
        </is>
      </c>
      <c r="B153" s="1" t="n">
        <v>44441</v>
      </c>
      <c r="C153" s="1" t="n">
        <v>46089</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26218-2025</t>
        </is>
      </c>
      <c r="B154" s="1" t="n">
        <v>45805.54811342592</v>
      </c>
      <c r="C154" s="1" t="n">
        <v>46089</v>
      </c>
      <c r="D154" t="inlineStr">
        <is>
          <t>NORRBOTTENS LÄN</t>
        </is>
      </c>
      <c r="E154" t="inlineStr">
        <is>
          <t>ARVIDSJAUR</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46089</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36417-2022</t>
        </is>
      </c>
      <c r="B156" s="1" t="n">
        <v>44804</v>
      </c>
      <c r="C156" s="1" t="n">
        <v>46089</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9996-2023</t>
        </is>
      </c>
      <c r="B157" s="1" t="n">
        <v>44979</v>
      </c>
      <c r="C157" s="1" t="n">
        <v>46089</v>
      </c>
      <c r="D157" t="inlineStr">
        <is>
          <t>NORRBOTTENS LÄN</t>
        </is>
      </c>
      <c r="E157" t="inlineStr">
        <is>
          <t>ARVIDSJAUR</t>
        </is>
      </c>
      <c r="G157" t="n">
        <v>6.6</v>
      </c>
      <c r="H157" t="n">
        <v>0</v>
      </c>
      <c r="I157" t="n">
        <v>0</v>
      </c>
      <c r="J157" t="n">
        <v>0</v>
      </c>
      <c r="K157" t="n">
        <v>0</v>
      </c>
      <c r="L157" t="n">
        <v>0</v>
      </c>
      <c r="M157" t="n">
        <v>0</v>
      </c>
      <c r="N157" t="n">
        <v>0</v>
      </c>
      <c r="O157" t="n">
        <v>0</v>
      </c>
      <c r="P157" t="n">
        <v>0</v>
      </c>
      <c r="Q157" t="n">
        <v>0</v>
      </c>
      <c r="R157" s="2" t="inlineStr"/>
    </row>
    <row r="158" ht="15" customHeight="1">
      <c r="A158" t="inlineStr">
        <is>
          <t>A 26217-2025</t>
        </is>
      </c>
      <c r="B158" s="1" t="n">
        <v>45805.54646990741</v>
      </c>
      <c r="C158" s="1" t="n">
        <v>46089</v>
      </c>
      <c r="D158" t="inlineStr">
        <is>
          <t>NORRBOTTENS LÄN</t>
        </is>
      </c>
      <c r="E158" t="inlineStr">
        <is>
          <t>ARVIDSJAUR</t>
        </is>
      </c>
      <c r="F158" t="inlineStr">
        <is>
          <t>Sveaskog</t>
        </is>
      </c>
      <c r="G158" t="n">
        <v>9.5</v>
      </c>
      <c r="H158" t="n">
        <v>0</v>
      </c>
      <c r="I158" t="n">
        <v>0</v>
      </c>
      <c r="J158" t="n">
        <v>0</v>
      </c>
      <c r="K158" t="n">
        <v>0</v>
      </c>
      <c r="L158" t="n">
        <v>0</v>
      </c>
      <c r="M158" t="n">
        <v>0</v>
      </c>
      <c r="N158" t="n">
        <v>0</v>
      </c>
      <c r="O158" t="n">
        <v>0</v>
      </c>
      <c r="P158" t="n">
        <v>0</v>
      </c>
      <c r="Q158" t="n">
        <v>0</v>
      </c>
      <c r="R158" s="2" t="inlineStr"/>
    </row>
    <row r="159" ht="15" customHeight="1">
      <c r="A159" t="inlineStr">
        <is>
          <t>A 48363-2024</t>
        </is>
      </c>
      <c r="B159" s="1" t="n">
        <v>45590.57452546297</v>
      </c>
      <c r="C159" s="1" t="n">
        <v>46089</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46089</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3343-2024</t>
        </is>
      </c>
      <c r="B161" s="1" t="n">
        <v>45317</v>
      </c>
      <c r="C161" s="1" t="n">
        <v>46089</v>
      </c>
      <c r="D161" t="inlineStr">
        <is>
          <t>NORRBOTTENS LÄN</t>
        </is>
      </c>
      <c r="E161" t="inlineStr">
        <is>
          <t>ARVIDSJAUR</t>
        </is>
      </c>
      <c r="G161" t="n">
        <v>10.9</v>
      </c>
      <c r="H161" t="n">
        <v>0</v>
      </c>
      <c r="I161" t="n">
        <v>0</v>
      </c>
      <c r="J161" t="n">
        <v>0</v>
      </c>
      <c r="K161" t="n">
        <v>0</v>
      </c>
      <c r="L161" t="n">
        <v>0</v>
      </c>
      <c r="M161" t="n">
        <v>0</v>
      </c>
      <c r="N161" t="n">
        <v>0</v>
      </c>
      <c r="O161" t="n">
        <v>0</v>
      </c>
      <c r="P161" t="n">
        <v>0</v>
      </c>
      <c r="Q161" t="n">
        <v>0</v>
      </c>
      <c r="R161" s="2" t="inlineStr"/>
    </row>
    <row r="162" ht="15" customHeight="1">
      <c r="A162" t="inlineStr">
        <is>
          <t>A 30327-2025</t>
        </is>
      </c>
      <c r="B162" s="1" t="n">
        <v>45827</v>
      </c>
      <c r="C162" s="1" t="n">
        <v>46089</v>
      </c>
      <c r="D162" t="inlineStr">
        <is>
          <t>NORRBOTTENS LÄN</t>
        </is>
      </c>
      <c r="E162" t="inlineStr">
        <is>
          <t>ARVIDSJAUR</t>
        </is>
      </c>
      <c r="G162" t="n">
        <v>4.7</v>
      </c>
      <c r="H162" t="n">
        <v>0</v>
      </c>
      <c r="I162" t="n">
        <v>0</v>
      </c>
      <c r="J162" t="n">
        <v>0</v>
      </c>
      <c r="K162" t="n">
        <v>0</v>
      </c>
      <c r="L162" t="n">
        <v>0</v>
      </c>
      <c r="M162" t="n">
        <v>0</v>
      </c>
      <c r="N162" t="n">
        <v>0</v>
      </c>
      <c r="O162" t="n">
        <v>0</v>
      </c>
      <c r="P162" t="n">
        <v>0</v>
      </c>
      <c r="Q162" t="n">
        <v>0</v>
      </c>
      <c r="R162" s="2" t="inlineStr"/>
    </row>
    <row r="163" ht="15" customHeight="1">
      <c r="A163" t="inlineStr">
        <is>
          <t>A 26211-2025</t>
        </is>
      </c>
      <c r="B163" s="1" t="n">
        <v>45805.54035879629</v>
      </c>
      <c r="C163" s="1" t="n">
        <v>46089</v>
      </c>
      <c r="D163" t="inlineStr">
        <is>
          <t>NORRBOTTENS LÄN</t>
        </is>
      </c>
      <c r="E163" t="inlineStr">
        <is>
          <t>ARVIDSJAUR</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46089</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46089</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40836-2025</t>
        </is>
      </c>
      <c r="B166" s="1" t="n">
        <v>45896</v>
      </c>
      <c r="C166" s="1" t="n">
        <v>46089</v>
      </c>
      <c r="D166" t="inlineStr">
        <is>
          <t>NORRBOTTENS LÄN</t>
        </is>
      </c>
      <c r="E166" t="inlineStr">
        <is>
          <t>ARVIDSJAUR</t>
        </is>
      </c>
      <c r="G166" t="n">
        <v>26.9</v>
      </c>
      <c r="H166" t="n">
        <v>0</v>
      </c>
      <c r="I166" t="n">
        <v>0</v>
      </c>
      <c r="J166" t="n">
        <v>0</v>
      </c>
      <c r="K166" t="n">
        <v>0</v>
      </c>
      <c r="L166" t="n">
        <v>0</v>
      </c>
      <c r="M166" t="n">
        <v>0</v>
      </c>
      <c r="N166" t="n">
        <v>0</v>
      </c>
      <c r="O166" t="n">
        <v>0</v>
      </c>
      <c r="P166" t="n">
        <v>0</v>
      </c>
      <c r="Q166" t="n">
        <v>0</v>
      </c>
      <c r="R166" s="2" t="inlineStr"/>
    </row>
    <row r="167" ht="15" customHeight="1">
      <c r="A167" t="inlineStr">
        <is>
          <t>A 40936-2025</t>
        </is>
      </c>
      <c r="B167" s="1" t="n">
        <v>45897.65011574074</v>
      </c>
      <c r="C167" s="1" t="n">
        <v>46089</v>
      </c>
      <c r="D167" t="inlineStr">
        <is>
          <t>NORRBOTTENS LÄN</t>
        </is>
      </c>
      <c r="E167" t="inlineStr">
        <is>
          <t>ARVIDSJAUR</t>
        </is>
      </c>
      <c r="F167" t="inlineStr">
        <is>
          <t>Sveaskog</t>
        </is>
      </c>
      <c r="G167" t="n">
        <v>8.1</v>
      </c>
      <c r="H167" t="n">
        <v>0</v>
      </c>
      <c r="I167" t="n">
        <v>0</v>
      </c>
      <c r="J167" t="n">
        <v>0</v>
      </c>
      <c r="K167" t="n">
        <v>0</v>
      </c>
      <c r="L167" t="n">
        <v>0</v>
      </c>
      <c r="M167" t="n">
        <v>0</v>
      </c>
      <c r="N167" t="n">
        <v>0</v>
      </c>
      <c r="O167" t="n">
        <v>0</v>
      </c>
      <c r="P167" t="n">
        <v>0</v>
      </c>
      <c r="Q167" t="n">
        <v>0</v>
      </c>
      <c r="R167" s="2" t="inlineStr"/>
    </row>
    <row r="168" ht="15" customHeight="1">
      <c r="A168" t="inlineStr">
        <is>
          <t>A 2301-2026</t>
        </is>
      </c>
      <c r="B168" s="1" t="n">
        <v>46034</v>
      </c>
      <c r="C168" s="1" t="n">
        <v>46089</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50527-2024</t>
        </is>
      </c>
      <c r="B169" s="1" t="n">
        <v>45601.56194444445</v>
      </c>
      <c r="C169" s="1" t="n">
        <v>46089</v>
      </c>
      <c r="D169" t="inlineStr">
        <is>
          <t>NORRBOTTENS LÄN</t>
        </is>
      </c>
      <c r="E169" t="inlineStr">
        <is>
          <t>ARVIDSJAUR</t>
        </is>
      </c>
      <c r="F169" t="inlineStr">
        <is>
          <t>Sveaskog</t>
        </is>
      </c>
      <c r="G169" t="n">
        <v>5.6</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46089</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46089</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41201-2025</t>
        </is>
      </c>
      <c r="B172" s="1" t="n">
        <v>45898</v>
      </c>
      <c r="C172" s="1" t="n">
        <v>46089</v>
      </c>
      <c r="D172" t="inlineStr">
        <is>
          <t>NORRBOTTENS LÄN</t>
        </is>
      </c>
      <c r="E172" t="inlineStr">
        <is>
          <t>ARVIDSJAUR</t>
        </is>
      </c>
      <c r="G172" t="n">
        <v>9.4</v>
      </c>
      <c r="H172" t="n">
        <v>0</v>
      </c>
      <c r="I172" t="n">
        <v>0</v>
      </c>
      <c r="J172" t="n">
        <v>0</v>
      </c>
      <c r="K172" t="n">
        <v>0</v>
      </c>
      <c r="L172" t="n">
        <v>0</v>
      </c>
      <c r="M172" t="n">
        <v>0</v>
      </c>
      <c r="N172" t="n">
        <v>0</v>
      </c>
      <c r="O172" t="n">
        <v>0</v>
      </c>
      <c r="P172" t="n">
        <v>0</v>
      </c>
      <c r="Q172" t="n">
        <v>0</v>
      </c>
      <c r="R172" s="2" t="inlineStr"/>
    </row>
    <row r="173" ht="15" customHeight="1">
      <c r="A173" t="inlineStr">
        <is>
          <t>A 50303-2022</t>
        </is>
      </c>
      <c r="B173" s="1" t="n">
        <v>44865</v>
      </c>
      <c r="C173" s="1" t="n">
        <v>46089</v>
      </c>
      <c r="D173" t="inlineStr">
        <is>
          <t>NORRBOTTENS LÄN</t>
        </is>
      </c>
      <c r="E173" t="inlineStr">
        <is>
          <t>ARVIDSJAUR</t>
        </is>
      </c>
      <c r="G173" t="n">
        <v>1</v>
      </c>
      <c r="H173" t="n">
        <v>0</v>
      </c>
      <c r="I173" t="n">
        <v>0</v>
      </c>
      <c r="J173" t="n">
        <v>0</v>
      </c>
      <c r="K173" t="n">
        <v>0</v>
      </c>
      <c r="L173" t="n">
        <v>0</v>
      </c>
      <c r="M173" t="n">
        <v>0</v>
      </c>
      <c r="N173" t="n">
        <v>0</v>
      </c>
      <c r="O173" t="n">
        <v>0</v>
      </c>
      <c r="P173" t="n">
        <v>0</v>
      </c>
      <c r="Q173" t="n">
        <v>0</v>
      </c>
      <c r="R173" s="2" t="inlineStr"/>
    </row>
    <row r="174" ht="15" customHeight="1">
      <c r="A174" t="inlineStr">
        <is>
          <t>A 25599-2024</t>
        </is>
      </c>
      <c r="B174" s="1" t="n">
        <v>45463.62568287037</v>
      </c>
      <c r="C174" s="1" t="n">
        <v>46089</v>
      </c>
      <c r="D174" t="inlineStr">
        <is>
          <t>NORRBOTTENS LÄN</t>
        </is>
      </c>
      <c r="E174" t="inlineStr">
        <is>
          <t>ARVIDSJAUR</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60888-2021</t>
        </is>
      </c>
      <c r="B175" s="1" t="n">
        <v>44497</v>
      </c>
      <c r="C175" s="1" t="n">
        <v>46089</v>
      </c>
      <c r="D175" t="inlineStr">
        <is>
          <t>NORRBOTTENS LÄN</t>
        </is>
      </c>
      <c r="E175" t="inlineStr">
        <is>
          <t>ARVIDSJAUR</t>
        </is>
      </c>
      <c r="F175" t="inlineStr">
        <is>
          <t>Sveaskog</t>
        </is>
      </c>
      <c r="G175" t="n">
        <v>12.1</v>
      </c>
      <c r="H175" t="n">
        <v>0</v>
      </c>
      <c r="I175" t="n">
        <v>0</v>
      </c>
      <c r="J175" t="n">
        <v>0</v>
      </c>
      <c r="K175" t="n">
        <v>0</v>
      </c>
      <c r="L175" t="n">
        <v>0</v>
      </c>
      <c r="M175" t="n">
        <v>0</v>
      </c>
      <c r="N175" t="n">
        <v>0</v>
      </c>
      <c r="O175" t="n">
        <v>0</v>
      </c>
      <c r="P175" t="n">
        <v>0</v>
      </c>
      <c r="Q175" t="n">
        <v>0</v>
      </c>
      <c r="R175" s="2" t="inlineStr"/>
    </row>
    <row r="176" ht="15" customHeight="1">
      <c r="A176" t="inlineStr">
        <is>
          <t>A 11998-2025</t>
        </is>
      </c>
      <c r="B176" s="1" t="n">
        <v>45728</v>
      </c>
      <c r="C176" s="1" t="n">
        <v>46089</v>
      </c>
      <c r="D176" t="inlineStr">
        <is>
          <t>NORRBOTTENS LÄN</t>
        </is>
      </c>
      <c r="E176" t="inlineStr">
        <is>
          <t>ARVIDSJAUR</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46089</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21270-2021</t>
        </is>
      </c>
      <c r="B178" s="1" t="n">
        <v>44320</v>
      </c>
      <c r="C178" s="1" t="n">
        <v>46089</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4934-2024</t>
        </is>
      </c>
      <c r="B179" s="1" t="n">
        <v>45329</v>
      </c>
      <c r="C179" s="1" t="n">
        <v>46089</v>
      </c>
      <c r="D179" t="inlineStr">
        <is>
          <t>NORRBOTTENS LÄN</t>
        </is>
      </c>
      <c r="E179" t="inlineStr">
        <is>
          <t>ARVIDSJAUR</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26687-2024</t>
        </is>
      </c>
      <c r="B180" s="1" t="n">
        <v>45470.35686342593</v>
      </c>
      <c r="C180" s="1" t="n">
        <v>46089</v>
      </c>
      <c r="D180" t="inlineStr">
        <is>
          <t>NORRBOTTENS LÄN</t>
        </is>
      </c>
      <c r="E180" t="inlineStr">
        <is>
          <t>ARVIDSJAUR</t>
        </is>
      </c>
      <c r="F180" t="inlineStr">
        <is>
          <t>Sveaskog</t>
        </is>
      </c>
      <c r="G180" t="n">
        <v>7.7</v>
      </c>
      <c r="H180" t="n">
        <v>0</v>
      </c>
      <c r="I180" t="n">
        <v>0</v>
      </c>
      <c r="J180" t="n">
        <v>0</v>
      </c>
      <c r="K180" t="n">
        <v>0</v>
      </c>
      <c r="L180" t="n">
        <v>0</v>
      </c>
      <c r="M180" t="n">
        <v>0</v>
      </c>
      <c r="N180" t="n">
        <v>0</v>
      </c>
      <c r="O180" t="n">
        <v>0</v>
      </c>
      <c r="P180" t="n">
        <v>0</v>
      </c>
      <c r="Q180" t="n">
        <v>0</v>
      </c>
      <c r="R180" s="2" t="inlineStr"/>
    </row>
    <row r="181" ht="15" customHeight="1">
      <c r="A181" t="inlineStr">
        <is>
          <t>A 10130-2024</t>
        </is>
      </c>
      <c r="B181" s="1" t="n">
        <v>45364</v>
      </c>
      <c r="C181" s="1" t="n">
        <v>46089</v>
      </c>
      <c r="D181" t="inlineStr">
        <is>
          <t>NORRBOTTENS LÄN</t>
        </is>
      </c>
      <c r="E181" t="inlineStr">
        <is>
          <t>ARVIDSJAUR</t>
        </is>
      </c>
      <c r="F181" t="inlineStr">
        <is>
          <t>Sveaskog</t>
        </is>
      </c>
      <c r="G181" t="n">
        <v>22.5</v>
      </c>
      <c r="H181" t="n">
        <v>0</v>
      </c>
      <c r="I181" t="n">
        <v>0</v>
      </c>
      <c r="J181" t="n">
        <v>0</v>
      </c>
      <c r="K181" t="n">
        <v>0</v>
      </c>
      <c r="L181" t="n">
        <v>0</v>
      </c>
      <c r="M181" t="n">
        <v>0</v>
      </c>
      <c r="N181" t="n">
        <v>0</v>
      </c>
      <c r="O181" t="n">
        <v>0</v>
      </c>
      <c r="P181" t="n">
        <v>0</v>
      </c>
      <c r="Q181" t="n">
        <v>0</v>
      </c>
      <c r="R181" s="2" t="inlineStr"/>
    </row>
    <row r="182" ht="15" customHeight="1">
      <c r="A182" t="inlineStr">
        <is>
          <t>A 28357-2025</t>
        </is>
      </c>
      <c r="B182" s="1" t="n">
        <v>45818</v>
      </c>
      <c r="C182" s="1" t="n">
        <v>46089</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28353-2025</t>
        </is>
      </c>
      <c r="B183" s="1" t="n">
        <v>45818</v>
      </c>
      <c r="C183" s="1" t="n">
        <v>46089</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28356-2025</t>
        </is>
      </c>
      <c r="B184" s="1" t="n">
        <v>45818</v>
      </c>
      <c r="C184" s="1" t="n">
        <v>46089</v>
      </c>
      <c r="D184" t="inlineStr">
        <is>
          <t>NORRBOTTENS LÄN</t>
        </is>
      </c>
      <c r="E184" t="inlineStr">
        <is>
          <t>ARVIDSJAUR</t>
        </is>
      </c>
      <c r="G184" t="n">
        <v>1.1</v>
      </c>
      <c r="H184" t="n">
        <v>0</v>
      </c>
      <c r="I184" t="n">
        <v>0</v>
      </c>
      <c r="J184" t="n">
        <v>0</v>
      </c>
      <c r="K184" t="n">
        <v>0</v>
      </c>
      <c r="L184" t="n">
        <v>0</v>
      </c>
      <c r="M184" t="n">
        <v>0</v>
      </c>
      <c r="N184" t="n">
        <v>0</v>
      </c>
      <c r="O184" t="n">
        <v>0</v>
      </c>
      <c r="P184" t="n">
        <v>0</v>
      </c>
      <c r="Q184" t="n">
        <v>0</v>
      </c>
      <c r="R184" s="2" t="inlineStr"/>
    </row>
    <row r="185" ht="15" customHeight="1">
      <c r="A185" t="inlineStr">
        <is>
          <t>A 28352-2025</t>
        </is>
      </c>
      <c r="B185" s="1" t="n">
        <v>45818</v>
      </c>
      <c r="C185" s="1" t="n">
        <v>46089</v>
      </c>
      <c r="D185" t="inlineStr">
        <is>
          <t>NORRBOTTENS LÄN</t>
        </is>
      </c>
      <c r="E185" t="inlineStr">
        <is>
          <t>ARVIDSJAUR</t>
        </is>
      </c>
      <c r="G185" t="n">
        <v>7.5</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46089</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28954-2025</t>
        </is>
      </c>
      <c r="B187" s="1" t="n">
        <v>45821.28777777778</v>
      </c>
      <c r="C187" s="1" t="n">
        <v>46089</v>
      </c>
      <c r="D187" t="inlineStr">
        <is>
          <t>NORRBOTTENS LÄN</t>
        </is>
      </c>
      <c r="E187" t="inlineStr">
        <is>
          <t>ARVIDSJAUR</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46089</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46089</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46089</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46089</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46089</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43274-2025</t>
        </is>
      </c>
      <c r="B193" s="1" t="n">
        <v>45910.59111111111</v>
      </c>
      <c r="C193" s="1" t="n">
        <v>46089</v>
      </c>
      <c r="D193" t="inlineStr">
        <is>
          <t>NORRBOTTENS LÄN</t>
        </is>
      </c>
      <c r="E193" t="inlineStr">
        <is>
          <t>ARVIDSJAUR</t>
        </is>
      </c>
      <c r="G193" t="n">
        <v>1.8</v>
      </c>
      <c r="H193" t="n">
        <v>0</v>
      </c>
      <c r="I193" t="n">
        <v>0</v>
      </c>
      <c r="J193" t="n">
        <v>0</v>
      </c>
      <c r="K193" t="n">
        <v>0</v>
      </c>
      <c r="L193" t="n">
        <v>0</v>
      </c>
      <c r="M193" t="n">
        <v>0</v>
      </c>
      <c r="N193" t="n">
        <v>0</v>
      </c>
      <c r="O193" t="n">
        <v>0</v>
      </c>
      <c r="P193" t="n">
        <v>0</v>
      </c>
      <c r="Q193" t="n">
        <v>0</v>
      </c>
      <c r="R193" s="2" t="inlineStr"/>
    </row>
    <row r="194" ht="15" customHeight="1">
      <c r="A194" t="inlineStr">
        <is>
          <t>A 29518-2025</t>
        </is>
      </c>
      <c r="B194" s="1" t="n">
        <v>45825.32150462963</v>
      </c>
      <c r="C194" s="1" t="n">
        <v>46089</v>
      </c>
      <c r="D194" t="inlineStr">
        <is>
          <t>NORRBOTTENS LÄN</t>
        </is>
      </c>
      <c r="E194" t="inlineStr">
        <is>
          <t>ARVIDSJAUR</t>
        </is>
      </c>
      <c r="F194" t="inlineStr">
        <is>
          <t>Sveaskog</t>
        </is>
      </c>
      <c r="G194" t="n">
        <v>13.3</v>
      </c>
      <c r="H194" t="n">
        <v>0</v>
      </c>
      <c r="I194" t="n">
        <v>0</v>
      </c>
      <c r="J194" t="n">
        <v>0</v>
      </c>
      <c r="K194" t="n">
        <v>0</v>
      </c>
      <c r="L194" t="n">
        <v>0</v>
      </c>
      <c r="M194" t="n">
        <v>0</v>
      </c>
      <c r="N194" t="n">
        <v>0</v>
      </c>
      <c r="O194" t="n">
        <v>0</v>
      </c>
      <c r="P194" t="n">
        <v>0</v>
      </c>
      <c r="Q194" t="n">
        <v>0</v>
      </c>
      <c r="R194" s="2" t="inlineStr"/>
    </row>
    <row r="195" ht="15" customHeight="1">
      <c r="A195" t="inlineStr">
        <is>
          <t>A 29516-2025</t>
        </is>
      </c>
      <c r="B195" s="1" t="n">
        <v>45825.31756944444</v>
      </c>
      <c r="C195" s="1" t="n">
        <v>46089</v>
      </c>
      <c r="D195" t="inlineStr">
        <is>
          <t>NORRBOTTENS LÄN</t>
        </is>
      </c>
      <c r="E195" t="inlineStr">
        <is>
          <t>ARVIDSJAUR</t>
        </is>
      </c>
      <c r="F195" t="inlineStr">
        <is>
          <t>Sveaskog</t>
        </is>
      </c>
      <c r="G195" t="n">
        <v>17.1</v>
      </c>
      <c r="H195" t="n">
        <v>0</v>
      </c>
      <c r="I195" t="n">
        <v>0</v>
      </c>
      <c r="J195" t="n">
        <v>0</v>
      </c>
      <c r="K195" t="n">
        <v>0</v>
      </c>
      <c r="L195" t="n">
        <v>0</v>
      </c>
      <c r="M195" t="n">
        <v>0</v>
      </c>
      <c r="N195" t="n">
        <v>0</v>
      </c>
      <c r="O195" t="n">
        <v>0</v>
      </c>
      <c r="P195" t="n">
        <v>0</v>
      </c>
      <c r="Q195" t="n">
        <v>0</v>
      </c>
      <c r="R195" s="2" t="inlineStr"/>
    </row>
    <row r="196" ht="15" customHeight="1">
      <c r="A196" t="inlineStr">
        <is>
          <t>A 52837-2024</t>
        </is>
      </c>
      <c r="B196" s="1" t="n">
        <v>45610</v>
      </c>
      <c r="C196" s="1" t="n">
        <v>46089</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43794-2025</t>
        </is>
      </c>
      <c r="B197" s="1" t="n">
        <v>45912</v>
      </c>
      <c r="C197" s="1" t="n">
        <v>46089</v>
      </c>
      <c r="D197" t="inlineStr">
        <is>
          <t>NORRBOTTENS LÄN</t>
        </is>
      </c>
      <c r="E197" t="inlineStr">
        <is>
          <t>ARVIDSJAUR</t>
        </is>
      </c>
      <c r="G197" t="n">
        <v>6.8</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46089</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29241-2025</t>
        </is>
      </c>
      <c r="B199" s="1" t="n">
        <v>45824</v>
      </c>
      <c r="C199" s="1" t="n">
        <v>46089</v>
      </c>
      <c r="D199" t="inlineStr">
        <is>
          <t>NORRBOTTENS LÄN</t>
        </is>
      </c>
      <c r="E199" t="inlineStr">
        <is>
          <t>ARVIDSJAUR</t>
        </is>
      </c>
      <c r="G199" t="n">
        <v>2.1</v>
      </c>
      <c r="H199" t="n">
        <v>0</v>
      </c>
      <c r="I199" t="n">
        <v>0</v>
      </c>
      <c r="J199" t="n">
        <v>0</v>
      </c>
      <c r="K199" t="n">
        <v>0</v>
      </c>
      <c r="L199" t="n">
        <v>0</v>
      </c>
      <c r="M199" t="n">
        <v>0</v>
      </c>
      <c r="N199" t="n">
        <v>0</v>
      </c>
      <c r="O199" t="n">
        <v>0</v>
      </c>
      <c r="P199" t="n">
        <v>0</v>
      </c>
      <c r="Q199" t="n">
        <v>0</v>
      </c>
      <c r="R199" s="2" t="inlineStr"/>
    </row>
    <row r="200" ht="15" customHeight="1">
      <c r="A200" t="inlineStr">
        <is>
          <t>A 30383-2025</t>
        </is>
      </c>
      <c r="B200" s="1" t="n">
        <v>45827.57081018519</v>
      </c>
      <c r="C200" s="1" t="n">
        <v>46089</v>
      </c>
      <c r="D200" t="inlineStr">
        <is>
          <t>NORRBOTTENS LÄN</t>
        </is>
      </c>
      <c r="E200" t="inlineStr">
        <is>
          <t>ARVIDSJAUR</t>
        </is>
      </c>
      <c r="G200" t="n">
        <v>20</v>
      </c>
      <c r="H200" t="n">
        <v>0</v>
      </c>
      <c r="I200" t="n">
        <v>0</v>
      </c>
      <c r="J200" t="n">
        <v>0</v>
      </c>
      <c r="K200" t="n">
        <v>0</v>
      </c>
      <c r="L200" t="n">
        <v>0</v>
      </c>
      <c r="M200" t="n">
        <v>0</v>
      </c>
      <c r="N200" t="n">
        <v>0</v>
      </c>
      <c r="O200" t="n">
        <v>0</v>
      </c>
      <c r="P200" t="n">
        <v>0</v>
      </c>
      <c r="Q200" t="n">
        <v>0</v>
      </c>
      <c r="R200" s="2" t="inlineStr"/>
    </row>
    <row r="201" ht="15" customHeight="1">
      <c r="A201" t="inlineStr">
        <is>
          <t>A 50889-2024</t>
        </is>
      </c>
      <c r="B201" s="1" t="n">
        <v>45602.6681712963</v>
      </c>
      <c r="C201" s="1" t="n">
        <v>46089</v>
      </c>
      <c r="D201" t="inlineStr">
        <is>
          <t>NORRBOTTENS LÄN</t>
        </is>
      </c>
      <c r="E201" t="inlineStr">
        <is>
          <t>ARVIDSJAUR</t>
        </is>
      </c>
      <c r="F201" t="inlineStr">
        <is>
          <t>Sveaskog</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44640-2025</t>
        </is>
      </c>
      <c r="B202" s="1" t="n">
        <v>45917.52008101852</v>
      </c>
      <c r="C202" s="1" t="n">
        <v>46089</v>
      </c>
      <c r="D202" t="inlineStr">
        <is>
          <t>NORRBOTTENS LÄN</t>
        </is>
      </c>
      <c r="E202" t="inlineStr">
        <is>
          <t>ARVIDSJAUR</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11540-2025</t>
        </is>
      </c>
      <c r="B203" s="1" t="n">
        <v>45726</v>
      </c>
      <c r="C203" s="1" t="n">
        <v>46089</v>
      </c>
      <c r="D203" t="inlineStr">
        <is>
          <t>NORRBOTTENS LÄN</t>
        </is>
      </c>
      <c r="E203" t="inlineStr">
        <is>
          <t>ARVIDSJAUR</t>
        </is>
      </c>
      <c r="F203" t="inlineStr">
        <is>
          <t>Allmännings- och besparingsskogar</t>
        </is>
      </c>
      <c r="G203" t="n">
        <v>4.7</v>
      </c>
      <c r="H203" t="n">
        <v>0</v>
      </c>
      <c r="I203" t="n">
        <v>0</v>
      </c>
      <c r="J203" t="n">
        <v>0</v>
      </c>
      <c r="K203" t="n">
        <v>0</v>
      </c>
      <c r="L203" t="n">
        <v>0</v>
      </c>
      <c r="M203" t="n">
        <v>0</v>
      </c>
      <c r="N203" t="n">
        <v>0</v>
      </c>
      <c r="O203" t="n">
        <v>0</v>
      </c>
      <c r="P203" t="n">
        <v>0</v>
      </c>
      <c r="Q203" t="n">
        <v>0</v>
      </c>
      <c r="R203" s="2" t="inlineStr"/>
    </row>
    <row r="204" ht="15" customHeight="1">
      <c r="A204" t="inlineStr">
        <is>
          <t>A 44613-2025</t>
        </is>
      </c>
      <c r="B204" s="1" t="n">
        <v>45917.45298611111</v>
      </c>
      <c r="C204" s="1" t="n">
        <v>46089</v>
      </c>
      <c r="D204" t="inlineStr">
        <is>
          <t>NORRBOTTENS LÄN</t>
        </is>
      </c>
      <c r="E204" t="inlineStr">
        <is>
          <t>ARVIDSJAUR</t>
        </is>
      </c>
      <c r="F204" t="inlineStr">
        <is>
          <t>Övriga Aktiebolag</t>
        </is>
      </c>
      <c r="G204" t="n">
        <v>11.6</v>
      </c>
      <c r="H204" t="n">
        <v>0</v>
      </c>
      <c r="I204" t="n">
        <v>0</v>
      </c>
      <c r="J204" t="n">
        <v>0</v>
      </c>
      <c r="K204" t="n">
        <v>0</v>
      </c>
      <c r="L204" t="n">
        <v>0</v>
      </c>
      <c r="M204" t="n">
        <v>0</v>
      </c>
      <c r="N204" t="n">
        <v>0</v>
      </c>
      <c r="O204" t="n">
        <v>0</v>
      </c>
      <c r="P204" t="n">
        <v>0</v>
      </c>
      <c r="Q204" t="n">
        <v>0</v>
      </c>
      <c r="R204" s="2" t="inlineStr"/>
    </row>
    <row r="205" ht="15" customHeight="1">
      <c r="A205" t="inlineStr">
        <is>
          <t>A 44317-2025</t>
        </is>
      </c>
      <c r="B205" s="1" t="n">
        <v>45916.39554398148</v>
      </c>
      <c r="C205" s="1" t="n">
        <v>46089</v>
      </c>
      <c r="D205" t="inlineStr">
        <is>
          <t>NORRBOTTENS LÄN</t>
        </is>
      </c>
      <c r="E205" t="inlineStr">
        <is>
          <t>ARVIDSJAUR</t>
        </is>
      </c>
      <c r="F205" t="inlineStr">
        <is>
          <t>Sveaskog</t>
        </is>
      </c>
      <c r="G205" t="n">
        <v>7.9</v>
      </c>
      <c r="H205" t="n">
        <v>0</v>
      </c>
      <c r="I205" t="n">
        <v>0</v>
      </c>
      <c r="J205" t="n">
        <v>0</v>
      </c>
      <c r="K205" t="n">
        <v>0</v>
      </c>
      <c r="L205" t="n">
        <v>0</v>
      </c>
      <c r="M205" t="n">
        <v>0</v>
      </c>
      <c r="N205" t="n">
        <v>0</v>
      </c>
      <c r="O205" t="n">
        <v>0</v>
      </c>
      <c r="P205" t="n">
        <v>0</v>
      </c>
      <c r="Q205" t="n">
        <v>0</v>
      </c>
      <c r="R205" s="2" t="inlineStr"/>
    </row>
    <row r="206" ht="15" customHeight="1">
      <c r="A206" t="inlineStr">
        <is>
          <t>A 20698-2022</t>
        </is>
      </c>
      <c r="B206" s="1" t="n">
        <v>44700</v>
      </c>
      <c r="C206" s="1" t="n">
        <v>46089</v>
      </c>
      <c r="D206" t="inlineStr">
        <is>
          <t>NORRBOTTENS LÄN</t>
        </is>
      </c>
      <c r="E206" t="inlineStr">
        <is>
          <t>ARVIDSJAUR</t>
        </is>
      </c>
      <c r="G206" t="n">
        <v>1.3</v>
      </c>
      <c r="H206" t="n">
        <v>0</v>
      </c>
      <c r="I206" t="n">
        <v>0</v>
      </c>
      <c r="J206" t="n">
        <v>0</v>
      </c>
      <c r="K206" t="n">
        <v>0</v>
      </c>
      <c r="L206" t="n">
        <v>0</v>
      </c>
      <c r="M206" t="n">
        <v>0</v>
      </c>
      <c r="N206" t="n">
        <v>0</v>
      </c>
      <c r="O206" t="n">
        <v>0</v>
      </c>
      <c r="P206" t="n">
        <v>0</v>
      </c>
      <c r="Q206" t="n">
        <v>0</v>
      </c>
      <c r="R206" s="2" t="inlineStr"/>
    </row>
    <row r="207" ht="15" customHeight="1">
      <c r="A207" t="inlineStr">
        <is>
          <t>A 45187-2025</t>
        </is>
      </c>
      <c r="B207" s="1" t="n">
        <v>45919.54172453703</v>
      </c>
      <c r="C207" s="1" t="n">
        <v>46089</v>
      </c>
      <c r="D207" t="inlineStr">
        <is>
          <t>NORRBOTTENS LÄN</t>
        </is>
      </c>
      <c r="E207" t="inlineStr">
        <is>
          <t>ARVIDSJAUR</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45200-2025</t>
        </is>
      </c>
      <c r="B208" s="1" t="n">
        <v>45919.56200231481</v>
      </c>
      <c r="C208" s="1" t="n">
        <v>46089</v>
      </c>
      <c r="D208" t="inlineStr">
        <is>
          <t>NORRBOTTENS LÄN</t>
        </is>
      </c>
      <c r="E208" t="inlineStr">
        <is>
          <t>ARVIDSJAUR</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45227-2025</t>
        </is>
      </c>
      <c r="B209" s="1" t="n">
        <v>45919.58480324074</v>
      </c>
      <c r="C209" s="1" t="n">
        <v>46089</v>
      </c>
      <c r="D209" t="inlineStr">
        <is>
          <t>NORRBOTTENS LÄN</t>
        </is>
      </c>
      <c r="E209" t="inlineStr">
        <is>
          <t>ARVIDSJAUR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46089</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45197-2025</t>
        </is>
      </c>
      <c r="B211" s="1" t="n">
        <v>45919</v>
      </c>
      <c r="C211" s="1" t="n">
        <v>46089</v>
      </c>
      <c r="D211" t="inlineStr">
        <is>
          <t>NORRBOTTENS LÄN</t>
        </is>
      </c>
      <c r="E211" t="inlineStr">
        <is>
          <t>ARVIDSJAUR</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46089</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45215-2025</t>
        </is>
      </c>
      <c r="B213" s="1" t="n">
        <v>45919.57234953704</v>
      </c>
      <c r="C213" s="1" t="n">
        <v>46089</v>
      </c>
      <c r="D213" t="inlineStr">
        <is>
          <t>NORRBOTTENS LÄN</t>
        </is>
      </c>
      <c r="E213" t="inlineStr">
        <is>
          <t>ARVIDSJAUR</t>
        </is>
      </c>
      <c r="F213" t="inlineStr">
        <is>
          <t>Sveaskog</t>
        </is>
      </c>
      <c r="G213" t="n">
        <v>12.9</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46089</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46089</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45217-2025</t>
        </is>
      </c>
      <c r="B216" s="1" t="n">
        <v>45919.57429398148</v>
      </c>
      <c r="C216" s="1" t="n">
        <v>46089</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45206-2025</t>
        </is>
      </c>
      <c r="B217" s="1" t="n">
        <v>45919.5649537037</v>
      </c>
      <c r="C217" s="1" t="n">
        <v>46089</v>
      </c>
      <c r="D217" t="inlineStr">
        <is>
          <t>NORRBOTTENS LÄN</t>
        </is>
      </c>
      <c r="E217" t="inlineStr">
        <is>
          <t>ARVIDSJAUR</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45218-2025</t>
        </is>
      </c>
      <c r="B218" s="1" t="n">
        <v>45919.57530092593</v>
      </c>
      <c r="C218" s="1" t="n">
        <v>46089</v>
      </c>
      <c r="D218" t="inlineStr">
        <is>
          <t>NORRBOTTENS LÄN</t>
        </is>
      </c>
      <c r="E218" t="inlineStr">
        <is>
          <t>ARVIDSJAUR</t>
        </is>
      </c>
      <c r="F218" t="inlineStr">
        <is>
          <t>Sveaskog</t>
        </is>
      </c>
      <c r="G218" t="n">
        <v>4.2</v>
      </c>
      <c r="H218" t="n">
        <v>0</v>
      </c>
      <c r="I218" t="n">
        <v>0</v>
      </c>
      <c r="J218" t="n">
        <v>0</v>
      </c>
      <c r="K218" t="n">
        <v>0</v>
      </c>
      <c r="L218" t="n">
        <v>0</v>
      </c>
      <c r="M218" t="n">
        <v>0</v>
      </c>
      <c r="N218" t="n">
        <v>0</v>
      </c>
      <c r="O218" t="n">
        <v>0</v>
      </c>
      <c r="P218" t="n">
        <v>0</v>
      </c>
      <c r="Q218" t="n">
        <v>0</v>
      </c>
      <c r="R218" s="2" t="inlineStr"/>
    </row>
    <row r="219" ht="15" customHeight="1">
      <c r="A219" t="inlineStr">
        <is>
          <t>A 45222-2025</t>
        </is>
      </c>
      <c r="B219" s="1" t="n">
        <v>45919.57869212963</v>
      </c>
      <c r="C219" s="1" t="n">
        <v>46089</v>
      </c>
      <c r="D219" t="inlineStr">
        <is>
          <t>NORRBOTTENS LÄN</t>
        </is>
      </c>
      <c r="E219" t="inlineStr">
        <is>
          <t>ARVIDSJAUR</t>
        </is>
      </c>
      <c r="F219" t="inlineStr">
        <is>
          <t>Sveaskog</t>
        </is>
      </c>
      <c r="G219" t="n">
        <v>8.9</v>
      </c>
      <c r="H219" t="n">
        <v>0</v>
      </c>
      <c r="I219" t="n">
        <v>0</v>
      </c>
      <c r="J219" t="n">
        <v>0</v>
      </c>
      <c r="K219" t="n">
        <v>0</v>
      </c>
      <c r="L219" t="n">
        <v>0</v>
      </c>
      <c r="M219" t="n">
        <v>0</v>
      </c>
      <c r="N219" t="n">
        <v>0</v>
      </c>
      <c r="O219" t="n">
        <v>0</v>
      </c>
      <c r="P219" t="n">
        <v>0</v>
      </c>
      <c r="Q219" t="n">
        <v>0</v>
      </c>
      <c r="R219" s="2" t="inlineStr"/>
    </row>
    <row r="220" ht="15" customHeight="1">
      <c r="A220" t="inlineStr">
        <is>
          <t>A 45576-2025</t>
        </is>
      </c>
      <c r="B220" s="1" t="n">
        <v>45922.66208333334</v>
      </c>
      <c r="C220" s="1" t="n">
        <v>46089</v>
      </c>
      <c r="D220" t="inlineStr">
        <is>
          <t>NORRBOTTENS LÄN</t>
        </is>
      </c>
      <c r="E220" t="inlineStr">
        <is>
          <t>ARVIDSJAUR</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45493-2025</t>
        </is>
      </c>
      <c r="B221" s="1" t="n">
        <v>45922.55875</v>
      </c>
      <c r="C221" s="1" t="n">
        <v>46089</v>
      </c>
      <c r="D221" t="inlineStr">
        <is>
          <t>NORRBOTTENS LÄN</t>
        </is>
      </c>
      <c r="E221" t="inlineStr">
        <is>
          <t>ARVIDSJAUR</t>
        </is>
      </c>
      <c r="F221" t="inlineStr">
        <is>
          <t>Sveaskog</t>
        </is>
      </c>
      <c r="G221" t="n">
        <v>7.4</v>
      </c>
      <c r="H221" t="n">
        <v>0</v>
      </c>
      <c r="I221" t="n">
        <v>0</v>
      </c>
      <c r="J221" t="n">
        <v>0</v>
      </c>
      <c r="K221" t="n">
        <v>0</v>
      </c>
      <c r="L221" t="n">
        <v>0</v>
      </c>
      <c r="M221" t="n">
        <v>0</v>
      </c>
      <c r="N221" t="n">
        <v>0</v>
      </c>
      <c r="O221" t="n">
        <v>0</v>
      </c>
      <c r="P221" t="n">
        <v>0</v>
      </c>
      <c r="Q221" t="n">
        <v>0</v>
      </c>
      <c r="R221" s="2" t="inlineStr"/>
    </row>
    <row r="222" ht="15" customHeight="1">
      <c r="A222" t="inlineStr">
        <is>
          <t>A 36090-2023</t>
        </is>
      </c>
      <c r="B222" s="1" t="n">
        <v>45149</v>
      </c>
      <c r="C222" s="1" t="n">
        <v>46089</v>
      </c>
      <c r="D222" t="inlineStr">
        <is>
          <t>NORRBOTTENS LÄN</t>
        </is>
      </c>
      <c r="E222" t="inlineStr">
        <is>
          <t>ARVIDSJAUR</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45643-2025</t>
        </is>
      </c>
      <c r="B223" s="1" t="n">
        <v>45923.28857638889</v>
      </c>
      <c r="C223" s="1" t="n">
        <v>46089</v>
      </c>
      <c r="D223" t="inlineStr">
        <is>
          <t>NORRBOTTENS LÄN</t>
        </is>
      </c>
      <c r="E223" t="inlineStr">
        <is>
          <t>ARVIDSJAUR</t>
        </is>
      </c>
      <c r="F223" t="inlineStr">
        <is>
          <t>Sveaskog</t>
        </is>
      </c>
      <c r="G223" t="n">
        <v>38.5</v>
      </c>
      <c r="H223" t="n">
        <v>0</v>
      </c>
      <c r="I223" t="n">
        <v>0</v>
      </c>
      <c r="J223" t="n">
        <v>0</v>
      </c>
      <c r="K223" t="n">
        <v>0</v>
      </c>
      <c r="L223" t="n">
        <v>0</v>
      </c>
      <c r="M223" t="n">
        <v>0</v>
      </c>
      <c r="N223" t="n">
        <v>0</v>
      </c>
      <c r="O223" t="n">
        <v>0</v>
      </c>
      <c r="P223" t="n">
        <v>0</v>
      </c>
      <c r="Q223" t="n">
        <v>0</v>
      </c>
      <c r="R223" s="2" t="inlineStr"/>
    </row>
    <row r="224" ht="15" customHeight="1">
      <c r="A224" t="inlineStr">
        <is>
          <t>A 45476-2025</t>
        </is>
      </c>
      <c r="B224" s="1" t="n">
        <v>45922.5191550926</v>
      </c>
      <c r="C224" s="1" t="n">
        <v>46089</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46089</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52646-2023</t>
        </is>
      </c>
      <c r="B226" s="1" t="n">
        <v>45225</v>
      </c>
      <c r="C226" s="1" t="n">
        <v>46089</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41235-2022</t>
        </is>
      </c>
      <c r="B227" s="1" t="n">
        <v>44825</v>
      </c>
      <c r="C227" s="1" t="n">
        <v>46089</v>
      </c>
      <c r="D227" t="inlineStr">
        <is>
          <t>NORRBOTTENS LÄN</t>
        </is>
      </c>
      <c r="E227" t="inlineStr">
        <is>
          <t>ARVIDSJAUR</t>
        </is>
      </c>
      <c r="G227" t="n">
        <v>0.8</v>
      </c>
      <c r="H227" t="n">
        <v>0</v>
      </c>
      <c r="I227" t="n">
        <v>0</v>
      </c>
      <c r="J227" t="n">
        <v>0</v>
      </c>
      <c r="K227" t="n">
        <v>0</v>
      </c>
      <c r="L227" t="n">
        <v>0</v>
      </c>
      <c r="M227" t="n">
        <v>0</v>
      </c>
      <c r="N227" t="n">
        <v>0</v>
      </c>
      <c r="O227" t="n">
        <v>0</v>
      </c>
      <c r="P227" t="n">
        <v>0</v>
      </c>
      <c r="Q227" t="n">
        <v>0</v>
      </c>
      <c r="R227" s="2" t="inlineStr"/>
    </row>
    <row r="228" ht="15" customHeight="1">
      <c r="A228" t="inlineStr">
        <is>
          <t>A 46170-2025</t>
        </is>
      </c>
      <c r="B228" s="1" t="n">
        <v>45924.64552083334</v>
      </c>
      <c r="C228" s="1" t="n">
        <v>46089</v>
      </c>
      <c r="D228" t="inlineStr">
        <is>
          <t>NORRBOTTENS LÄN</t>
        </is>
      </c>
      <c r="E228" t="inlineStr">
        <is>
          <t>ARVIDSJAUR</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45984-2025</t>
        </is>
      </c>
      <c r="B229" s="1" t="n">
        <v>45924.38020833334</v>
      </c>
      <c r="C229" s="1" t="n">
        <v>46089</v>
      </c>
      <c r="D229" t="inlineStr">
        <is>
          <t>NORRBOTTENS LÄN</t>
        </is>
      </c>
      <c r="E229" t="inlineStr">
        <is>
          <t>ARVIDSJAUR</t>
        </is>
      </c>
      <c r="F229" t="inlineStr">
        <is>
          <t>Sveaskog</t>
        </is>
      </c>
      <c r="G229" t="n">
        <v>6</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46089</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47106-2025</t>
        </is>
      </c>
      <c r="B231" s="1" t="n">
        <v>45929</v>
      </c>
      <c r="C231" s="1" t="n">
        <v>46089</v>
      </c>
      <c r="D231" t="inlineStr">
        <is>
          <t>NORRBOTTENS LÄN</t>
        </is>
      </c>
      <c r="E231" t="inlineStr">
        <is>
          <t>ARVIDSJAUR</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46089</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33222-2025</t>
        </is>
      </c>
      <c r="B233" s="1" t="n">
        <v>45840</v>
      </c>
      <c r="C233" s="1" t="n">
        <v>46089</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33174-2025</t>
        </is>
      </c>
      <c r="B234" s="1" t="n">
        <v>45840.585625</v>
      </c>
      <c r="C234" s="1" t="n">
        <v>46089</v>
      </c>
      <c r="D234" t="inlineStr">
        <is>
          <t>NORRBOTTENS LÄN</t>
        </is>
      </c>
      <c r="E234" t="inlineStr">
        <is>
          <t>ARVIDSJAUR</t>
        </is>
      </c>
      <c r="F234" t="inlineStr">
        <is>
          <t>Sveaskog</t>
        </is>
      </c>
      <c r="G234" t="n">
        <v>26.3</v>
      </c>
      <c r="H234" t="n">
        <v>0</v>
      </c>
      <c r="I234" t="n">
        <v>0</v>
      </c>
      <c r="J234" t="n">
        <v>0</v>
      </c>
      <c r="K234" t="n">
        <v>0</v>
      </c>
      <c r="L234" t="n">
        <v>0</v>
      </c>
      <c r="M234" t="n">
        <v>0</v>
      </c>
      <c r="N234" t="n">
        <v>0</v>
      </c>
      <c r="O234" t="n">
        <v>0</v>
      </c>
      <c r="P234" t="n">
        <v>0</v>
      </c>
      <c r="Q234" t="n">
        <v>0</v>
      </c>
      <c r="R234" s="2" t="inlineStr"/>
    </row>
    <row r="235" ht="15" customHeight="1">
      <c r="A235" t="inlineStr">
        <is>
          <t>A 32990-2025</t>
        </is>
      </c>
      <c r="B235" s="1" t="n">
        <v>45840.3191087963</v>
      </c>
      <c r="C235" s="1" t="n">
        <v>46089</v>
      </c>
      <c r="D235" t="inlineStr">
        <is>
          <t>NORRBOTTENS LÄN</t>
        </is>
      </c>
      <c r="E235" t="inlineStr">
        <is>
          <t>ARVIDSJAUR</t>
        </is>
      </c>
      <c r="G235" t="n">
        <v>3</v>
      </c>
      <c r="H235" t="n">
        <v>0</v>
      </c>
      <c r="I235" t="n">
        <v>0</v>
      </c>
      <c r="J235" t="n">
        <v>0</v>
      </c>
      <c r="K235" t="n">
        <v>0</v>
      </c>
      <c r="L235" t="n">
        <v>0</v>
      </c>
      <c r="M235" t="n">
        <v>0</v>
      </c>
      <c r="N235" t="n">
        <v>0</v>
      </c>
      <c r="O235" t="n">
        <v>0</v>
      </c>
      <c r="P235" t="n">
        <v>0</v>
      </c>
      <c r="Q235" t="n">
        <v>0</v>
      </c>
      <c r="R235" s="2" t="inlineStr"/>
    </row>
    <row r="236" ht="15" customHeight="1">
      <c r="A236" t="inlineStr">
        <is>
          <t>A 47177-2025</t>
        </is>
      </c>
      <c r="B236" s="1" t="n">
        <v>45930</v>
      </c>
      <c r="C236" s="1" t="n">
        <v>46089</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33302-2025</t>
        </is>
      </c>
      <c r="B237" s="1" t="n">
        <v>45841</v>
      </c>
      <c r="C237" s="1" t="n">
        <v>46089</v>
      </c>
      <c r="D237" t="inlineStr">
        <is>
          <t>NORRBOTTENS LÄN</t>
        </is>
      </c>
      <c r="E237" t="inlineStr">
        <is>
          <t>ARVIDSJAUR</t>
        </is>
      </c>
      <c r="F237" t="inlineStr">
        <is>
          <t>Sveaskog</t>
        </is>
      </c>
      <c r="G237" t="n">
        <v>11.1</v>
      </c>
      <c r="H237" t="n">
        <v>0</v>
      </c>
      <c r="I237" t="n">
        <v>0</v>
      </c>
      <c r="J237" t="n">
        <v>0</v>
      </c>
      <c r="K237" t="n">
        <v>0</v>
      </c>
      <c r="L237" t="n">
        <v>0</v>
      </c>
      <c r="M237" t="n">
        <v>0</v>
      </c>
      <c r="N237" t="n">
        <v>0</v>
      </c>
      <c r="O237" t="n">
        <v>0</v>
      </c>
      <c r="P237" t="n">
        <v>0</v>
      </c>
      <c r="Q237" t="n">
        <v>0</v>
      </c>
      <c r="R237" s="2" t="inlineStr"/>
    </row>
    <row r="238" ht="15" customHeight="1">
      <c r="A238" t="inlineStr">
        <is>
          <t>A 30343-2023</t>
        </is>
      </c>
      <c r="B238" s="1" t="n">
        <v>45111</v>
      </c>
      <c r="C238" s="1" t="n">
        <v>46089</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46089</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46089</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46089</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48312-2025</t>
        </is>
      </c>
      <c r="B242" s="1" t="n">
        <v>45933</v>
      </c>
      <c r="C242" s="1" t="n">
        <v>46089</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46089</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48286-2025</t>
        </is>
      </c>
      <c r="B244" s="1" t="n">
        <v>45933</v>
      </c>
      <c r="C244" s="1" t="n">
        <v>46089</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48008-2025</t>
        </is>
      </c>
      <c r="B245" s="1" t="n">
        <v>45932.64015046296</v>
      </c>
      <c r="C245" s="1" t="n">
        <v>46089</v>
      </c>
      <c r="D245" t="inlineStr">
        <is>
          <t>NORRBOTTENS LÄN</t>
        </is>
      </c>
      <c r="E245" t="inlineStr">
        <is>
          <t>ARVIDSJAUR</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36764-2024</t>
        </is>
      </c>
      <c r="B246" s="1" t="n">
        <v>45538</v>
      </c>
      <c r="C246" s="1" t="n">
        <v>46089</v>
      </c>
      <c r="D246" t="inlineStr">
        <is>
          <t>NORRBOTTENS LÄN</t>
        </is>
      </c>
      <c r="E246" t="inlineStr">
        <is>
          <t>ARVIDSJAUR</t>
        </is>
      </c>
      <c r="G246" t="n">
        <v>2.9</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46089</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31050-2024</t>
        </is>
      </c>
      <c r="B248" s="1" t="n">
        <v>45502.33652777778</v>
      </c>
      <c r="C248" s="1" t="n">
        <v>46089</v>
      </c>
      <c r="D248" t="inlineStr">
        <is>
          <t>NORRBOTTENS LÄN</t>
        </is>
      </c>
      <c r="E248" t="inlineStr">
        <is>
          <t>ARVIDSJAUR</t>
        </is>
      </c>
      <c r="G248" t="n">
        <v>0</v>
      </c>
      <c r="H248" t="n">
        <v>0</v>
      </c>
      <c r="I248" t="n">
        <v>0</v>
      </c>
      <c r="J248" t="n">
        <v>0</v>
      </c>
      <c r="K248" t="n">
        <v>0</v>
      </c>
      <c r="L248" t="n">
        <v>0</v>
      </c>
      <c r="M248" t="n">
        <v>0</v>
      </c>
      <c r="N248" t="n">
        <v>0</v>
      </c>
      <c r="O248" t="n">
        <v>0</v>
      </c>
      <c r="P248" t="n">
        <v>0</v>
      </c>
      <c r="Q248" t="n">
        <v>0</v>
      </c>
      <c r="R248" s="2" t="inlineStr"/>
    </row>
    <row r="249" ht="15" customHeight="1">
      <c r="A249" t="inlineStr">
        <is>
          <t>A 48856-2025</t>
        </is>
      </c>
      <c r="B249" s="1" t="n">
        <v>45937.43583333334</v>
      </c>
      <c r="C249" s="1" t="n">
        <v>46089</v>
      </c>
      <c r="D249" t="inlineStr">
        <is>
          <t>NORRBOTTENS LÄN</t>
        </is>
      </c>
      <c r="E249" t="inlineStr">
        <is>
          <t>ARVIDSJAUR</t>
        </is>
      </c>
      <c r="G249" t="n">
        <v>8.6</v>
      </c>
      <c r="H249" t="n">
        <v>0</v>
      </c>
      <c r="I249" t="n">
        <v>0</v>
      </c>
      <c r="J249" t="n">
        <v>0</v>
      </c>
      <c r="K249" t="n">
        <v>0</v>
      </c>
      <c r="L249" t="n">
        <v>0</v>
      </c>
      <c r="M249" t="n">
        <v>0</v>
      </c>
      <c r="N249" t="n">
        <v>0</v>
      </c>
      <c r="O249" t="n">
        <v>0</v>
      </c>
      <c r="P249" t="n">
        <v>0</v>
      </c>
      <c r="Q249" t="n">
        <v>0</v>
      </c>
      <c r="R249" s="2" t="inlineStr"/>
    </row>
    <row r="250" ht="15" customHeight="1">
      <c r="A250" t="inlineStr">
        <is>
          <t>A 48608-2024</t>
        </is>
      </c>
      <c r="B250" s="1" t="n">
        <v>45593.45075231481</v>
      </c>
      <c r="C250" s="1" t="n">
        <v>46089</v>
      </c>
      <c r="D250" t="inlineStr">
        <is>
          <t>NORRBOTTENS LÄN</t>
        </is>
      </c>
      <c r="E250" t="inlineStr">
        <is>
          <t>ARVIDSJAUR</t>
        </is>
      </c>
      <c r="F250" t="inlineStr">
        <is>
          <t>Sveaskog</t>
        </is>
      </c>
      <c r="G250" t="n">
        <v>16.6</v>
      </c>
      <c r="H250" t="n">
        <v>0</v>
      </c>
      <c r="I250" t="n">
        <v>0</v>
      </c>
      <c r="J250" t="n">
        <v>0</v>
      </c>
      <c r="K250" t="n">
        <v>0</v>
      </c>
      <c r="L250" t="n">
        <v>0</v>
      </c>
      <c r="M250" t="n">
        <v>0</v>
      </c>
      <c r="N250" t="n">
        <v>0</v>
      </c>
      <c r="O250" t="n">
        <v>0</v>
      </c>
      <c r="P250" t="n">
        <v>0</v>
      </c>
      <c r="Q250" t="n">
        <v>0</v>
      </c>
      <c r="R250" s="2" t="inlineStr"/>
    </row>
    <row r="251" ht="15" customHeight="1">
      <c r="A251" t="inlineStr">
        <is>
          <t>A 48858-2025</t>
        </is>
      </c>
      <c r="B251" s="1" t="n">
        <v>45937.43831018519</v>
      </c>
      <c r="C251" s="1" t="n">
        <v>46089</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53683-2024</t>
        </is>
      </c>
      <c r="B252" s="1" t="n">
        <v>45612</v>
      </c>
      <c r="C252" s="1" t="n">
        <v>46089</v>
      </c>
      <c r="D252" t="inlineStr">
        <is>
          <t>NORRBOTTENS LÄN</t>
        </is>
      </c>
      <c r="E252" t="inlineStr">
        <is>
          <t>ARVIDSJAUR</t>
        </is>
      </c>
      <c r="G252" t="n">
        <v>3.7</v>
      </c>
      <c r="H252" t="n">
        <v>0</v>
      </c>
      <c r="I252" t="n">
        <v>0</v>
      </c>
      <c r="J252" t="n">
        <v>0</v>
      </c>
      <c r="K252" t="n">
        <v>0</v>
      </c>
      <c r="L252" t="n">
        <v>0</v>
      </c>
      <c r="M252" t="n">
        <v>0</v>
      </c>
      <c r="N252" t="n">
        <v>0</v>
      </c>
      <c r="O252" t="n">
        <v>0</v>
      </c>
      <c r="P252" t="n">
        <v>0</v>
      </c>
      <c r="Q252" t="n">
        <v>0</v>
      </c>
      <c r="R252" s="2" t="inlineStr"/>
    </row>
    <row r="253" ht="15" customHeight="1">
      <c r="A253" t="inlineStr">
        <is>
          <t>A 60516-2022</t>
        </is>
      </c>
      <c r="B253" s="1" t="n">
        <v>44911</v>
      </c>
      <c r="C253" s="1" t="n">
        <v>46089</v>
      </c>
      <c r="D253" t="inlineStr">
        <is>
          <t>NORRBOTTENS LÄN</t>
        </is>
      </c>
      <c r="E253" t="inlineStr">
        <is>
          <t>ARVIDSJAUR</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48316-2025</t>
        </is>
      </c>
      <c r="B254" s="1" t="n">
        <v>45933</v>
      </c>
      <c r="C254" s="1" t="n">
        <v>46089</v>
      </c>
      <c r="D254" t="inlineStr">
        <is>
          <t>NORRBOTTENS LÄN</t>
        </is>
      </c>
      <c r="E254" t="inlineStr">
        <is>
          <t>ARVIDSJAUR</t>
        </is>
      </c>
      <c r="G254" t="n">
        <v>1.2</v>
      </c>
      <c r="H254" t="n">
        <v>0</v>
      </c>
      <c r="I254" t="n">
        <v>0</v>
      </c>
      <c r="J254" t="n">
        <v>0</v>
      </c>
      <c r="K254" t="n">
        <v>0</v>
      </c>
      <c r="L254" t="n">
        <v>0</v>
      </c>
      <c r="M254" t="n">
        <v>0</v>
      </c>
      <c r="N254" t="n">
        <v>0</v>
      </c>
      <c r="O254" t="n">
        <v>0</v>
      </c>
      <c r="P254" t="n">
        <v>0</v>
      </c>
      <c r="Q254" t="n">
        <v>0</v>
      </c>
      <c r="R254" s="2" t="inlineStr"/>
    </row>
    <row r="255" ht="15" customHeight="1">
      <c r="A255" t="inlineStr">
        <is>
          <t>A 35670-2025</t>
        </is>
      </c>
      <c r="B255" s="1" t="n">
        <v>45859.61556712963</v>
      </c>
      <c r="C255" s="1" t="n">
        <v>46089</v>
      </c>
      <c r="D255" t="inlineStr">
        <is>
          <t>NORRBOTTENS LÄN</t>
        </is>
      </c>
      <c r="E255" t="inlineStr">
        <is>
          <t>ARVIDSJAUR</t>
        </is>
      </c>
      <c r="G255" t="n">
        <v>0.8</v>
      </c>
      <c r="H255" t="n">
        <v>0</v>
      </c>
      <c r="I255" t="n">
        <v>0</v>
      </c>
      <c r="J255" t="n">
        <v>0</v>
      </c>
      <c r="K255" t="n">
        <v>0</v>
      </c>
      <c r="L255" t="n">
        <v>0</v>
      </c>
      <c r="M255" t="n">
        <v>0</v>
      </c>
      <c r="N255" t="n">
        <v>0</v>
      </c>
      <c r="O255" t="n">
        <v>0</v>
      </c>
      <c r="P255" t="n">
        <v>0</v>
      </c>
      <c r="Q255" t="n">
        <v>0</v>
      </c>
      <c r="R255" s="2" t="inlineStr"/>
    </row>
    <row r="256" ht="15" customHeight="1">
      <c r="A256" t="inlineStr">
        <is>
          <t>A 48048-2022</t>
        </is>
      </c>
      <c r="B256" s="1" t="n">
        <v>44855</v>
      </c>
      <c r="C256" s="1" t="n">
        <v>46089</v>
      </c>
      <c r="D256" t="inlineStr">
        <is>
          <t>NORRBOTTENS LÄN</t>
        </is>
      </c>
      <c r="E256" t="inlineStr">
        <is>
          <t>ARVIDSJAUR</t>
        </is>
      </c>
      <c r="G256" t="n">
        <v>3.2</v>
      </c>
      <c r="H256" t="n">
        <v>0</v>
      </c>
      <c r="I256" t="n">
        <v>0</v>
      </c>
      <c r="J256" t="n">
        <v>0</v>
      </c>
      <c r="K256" t="n">
        <v>0</v>
      </c>
      <c r="L256" t="n">
        <v>0</v>
      </c>
      <c r="M256" t="n">
        <v>0</v>
      </c>
      <c r="N256" t="n">
        <v>0</v>
      </c>
      <c r="O256" t="n">
        <v>0</v>
      </c>
      <c r="P256" t="n">
        <v>0</v>
      </c>
      <c r="Q256" t="n">
        <v>0</v>
      </c>
      <c r="R256" s="2" t="inlineStr"/>
    </row>
    <row r="257" ht="15" customHeight="1">
      <c r="A257" t="inlineStr">
        <is>
          <t>A 49927-2025</t>
        </is>
      </c>
      <c r="B257" s="1" t="n">
        <v>45939</v>
      </c>
      <c r="C257" s="1" t="n">
        <v>46089</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48321-2025</t>
        </is>
      </c>
      <c r="B258" s="1" t="n">
        <v>45933</v>
      </c>
      <c r="C258" s="1" t="n">
        <v>46089</v>
      </c>
      <c r="D258" t="inlineStr">
        <is>
          <t>NORRBOTTENS LÄN</t>
        </is>
      </c>
      <c r="E258" t="inlineStr">
        <is>
          <t>ARVIDSJAUR</t>
        </is>
      </c>
      <c r="G258" t="n">
        <v>3.6</v>
      </c>
      <c r="H258" t="n">
        <v>0</v>
      </c>
      <c r="I258" t="n">
        <v>0</v>
      </c>
      <c r="J258" t="n">
        <v>0</v>
      </c>
      <c r="K258" t="n">
        <v>0</v>
      </c>
      <c r="L258" t="n">
        <v>0</v>
      </c>
      <c r="M258" t="n">
        <v>0</v>
      </c>
      <c r="N258" t="n">
        <v>0</v>
      </c>
      <c r="O258" t="n">
        <v>0</v>
      </c>
      <c r="P258" t="n">
        <v>0</v>
      </c>
      <c r="Q258" t="n">
        <v>0</v>
      </c>
      <c r="R258" s="2" t="inlineStr"/>
    </row>
    <row r="259" ht="15" customHeight="1">
      <c r="A259" t="inlineStr">
        <is>
          <t>A 10838-2025</t>
        </is>
      </c>
      <c r="B259" s="1" t="n">
        <v>45722</v>
      </c>
      <c r="C259" s="1" t="n">
        <v>46089</v>
      </c>
      <c r="D259" t="inlineStr">
        <is>
          <t>NORRBOTTENS LÄN</t>
        </is>
      </c>
      <c r="E259" t="inlineStr">
        <is>
          <t>ARVIDSJAUR</t>
        </is>
      </c>
      <c r="G259" t="n">
        <v>3.4</v>
      </c>
      <c r="H259" t="n">
        <v>0</v>
      </c>
      <c r="I259" t="n">
        <v>0</v>
      </c>
      <c r="J259" t="n">
        <v>0</v>
      </c>
      <c r="K259" t="n">
        <v>0</v>
      </c>
      <c r="L259" t="n">
        <v>0</v>
      </c>
      <c r="M259" t="n">
        <v>0</v>
      </c>
      <c r="N259" t="n">
        <v>0</v>
      </c>
      <c r="O259" t="n">
        <v>0</v>
      </c>
      <c r="P259" t="n">
        <v>0</v>
      </c>
      <c r="Q259" t="n">
        <v>0</v>
      </c>
      <c r="R259" s="2" t="inlineStr"/>
    </row>
    <row r="260" ht="15" customHeight="1">
      <c r="A260" t="inlineStr">
        <is>
          <t>A 2309-2023</t>
        </is>
      </c>
      <c r="B260" s="1" t="n">
        <v>44942</v>
      </c>
      <c r="C260" s="1" t="n">
        <v>46089</v>
      </c>
      <c r="D260" t="inlineStr">
        <is>
          <t>NORRBOTTENS LÄN</t>
        </is>
      </c>
      <c r="E260" t="inlineStr">
        <is>
          <t>ARVIDSJAUR</t>
        </is>
      </c>
      <c r="G260" t="n">
        <v>0.5</v>
      </c>
      <c r="H260" t="n">
        <v>0</v>
      </c>
      <c r="I260" t="n">
        <v>0</v>
      </c>
      <c r="J260" t="n">
        <v>0</v>
      </c>
      <c r="K260" t="n">
        <v>0</v>
      </c>
      <c r="L260" t="n">
        <v>0</v>
      </c>
      <c r="M260" t="n">
        <v>0</v>
      </c>
      <c r="N260" t="n">
        <v>0</v>
      </c>
      <c r="O260" t="n">
        <v>0</v>
      </c>
      <c r="P260" t="n">
        <v>0</v>
      </c>
      <c r="Q260" t="n">
        <v>0</v>
      </c>
      <c r="R260" s="2" t="inlineStr"/>
    </row>
    <row r="261" ht="15" customHeight="1">
      <c r="A261" t="inlineStr">
        <is>
          <t>A 29514-2025</t>
        </is>
      </c>
      <c r="B261" s="1" t="n">
        <v>45825.3119212963</v>
      </c>
      <c r="C261" s="1" t="n">
        <v>46089</v>
      </c>
      <c r="D261" t="inlineStr">
        <is>
          <t>NORRBOTTENS LÄN</t>
        </is>
      </c>
      <c r="E261" t="inlineStr">
        <is>
          <t>ARVIDSJAUR</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50348-2025</t>
        </is>
      </c>
      <c r="B262" s="1" t="n">
        <v>45944.54674768518</v>
      </c>
      <c r="C262" s="1" t="n">
        <v>46089</v>
      </c>
      <c r="D262" t="inlineStr">
        <is>
          <t>NORRBOTTENS LÄN</t>
        </is>
      </c>
      <c r="E262" t="inlineStr">
        <is>
          <t>ARVIDSJAUR</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50350-2025</t>
        </is>
      </c>
      <c r="B263" s="1" t="n">
        <v>45944.55045138889</v>
      </c>
      <c r="C263" s="1" t="n">
        <v>46089</v>
      </c>
      <c r="D263" t="inlineStr">
        <is>
          <t>NORRBOTTENS LÄN</t>
        </is>
      </c>
      <c r="E263" t="inlineStr">
        <is>
          <t>ARVIDSJAUR</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2778-2023</t>
        </is>
      </c>
      <c r="B264" s="1" t="n">
        <v>44944</v>
      </c>
      <c r="C264" s="1" t="n">
        <v>46089</v>
      </c>
      <c r="D264" t="inlineStr">
        <is>
          <t>NORRBOTTENS LÄN</t>
        </is>
      </c>
      <c r="E264" t="inlineStr">
        <is>
          <t>ARVIDSJAUR</t>
        </is>
      </c>
      <c r="F264" t="inlineStr">
        <is>
          <t>Sveaskog</t>
        </is>
      </c>
      <c r="G264" t="n">
        <v>11.1</v>
      </c>
      <c r="H264" t="n">
        <v>0</v>
      </c>
      <c r="I264" t="n">
        <v>0</v>
      </c>
      <c r="J264" t="n">
        <v>0</v>
      </c>
      <c r="K264" t="n">
        <v>0</v>
      </c>
      <c r="L264" t="n">
        <v>0</v>
      </c>
      <c r="M264" t="n">
        <v>0</v>
      </c>
      <c r="N264" t="n">
        <v>0</v>
      </c>
      <c r="O264" t="n">
        <v>0</v>
      </c>
      <c r="P264" t="n">
        <v>0</v>
      </c>
      <c r="Q264" t="n">
        <v>0</v>
      </c>
      <c r="R264" s="2" t="inlineStr"/>
    </row>
    <row r="265" ht="15" customHeight="1">
      <c r="A265" t="inlineStr">
        <is>
          <t>A 50341-2025</t>
        </is>
      </c>
      <c r="B265" s="1" t="n">
        <v>45944.53100694445</v>
      </c>
      <c r="C265" s="1" t="n">
        <v>46089</v>
      </c>
      <c r="D265" t="inlineStr">
        <is>
          <t>NORRBOTTENS LÄN</t>
        </is>
      </c>
      <c r="E265" t="inlineStr">
        <is>
          <t>ARVIDSJAUR</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50835-2025</t>
        </is>
      </c>
      <c r="B266" s="1" t="n">
        <v>45946.55768518519</v>
      </c>
      <c r="C266" s="1" t="n">
        <v>46089</v>
      </c>
      <c r="D266" t="inlineStr">
        <is>
          <t>NORRBOTTENS LÄN</t>
        </is>
      </c>
      <c r="E266" t="inlineStr">
        <is>
          <t>ARVIDSJAUR</t>
        </is>
      </c>
      <c r="F266" t="inlineStr">
        <is>
          <t>Sveaskog</t>
        </is>
      </c>
      <c r="G266" t="n">
        <v>13.4</v>
      </c>
      <c r="H266" t="n">
        <v>0</v>
      </c>
      <c r="I266" t="n">
        <v>0</v>
      </c>
      <c r="J266" t="n">
        <v>0</v>
      </c>
      <c r="K266" t="n">
        <v>0</v>
      </c>
      <c r="L266" t="n">
        <v>0</v>
      </c>
      <c r="M266" t="n">
        <v>0</v>
      </c>
      <c r="N266" t="n">
        <v>0</v>
      </c>
      <c r="O266" t="n">
        <v>0</v>
      </c>
      <c r="P266" t="n">
        <v>0</v>
      </c>
      <c r="Q266" t="n">
        <v>0</v>
      </c>
      <c r="R266" s="2" t="inlineStr"/>
    </row>
    <row r="267" ht="15" customHeight="1">
      <c r="A267" t="inlineStr">
        <is>
          <t>A 36489-2025</t>
        </is>
      </c>
      <c r="B267" s="1" t="n">
        <v>45869.52704861111</v>
      </c>
      <c r="C267" s="1" t="n">
        <v>46089</v>
      </c>
      <c r="D267" t="inlineStr">
        <is>
          <t>NORRBOTTENS LÄN</t>
        </is>
      </c>
      <c r="E267" t="inlineStr">
        <is>
          <t>ARVIDSJAUR</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50838-2025</t>
        </is>
      </c>
      <c r="B268" s="1" t="n">
        <v>45946.56050925926</v>
      </c>
      <c r="C268" s="1" t="n">
        <v>46089</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50813-2025</t>
        </is>
      </c>
      <c r="B269" s="1" t="n">
        <v>45946.52356481482</v>
      </c>
      <c r="C269" s="1" t="n">
        <v>46089</v>
      </c>
      <c r="D269" t="inlineStr">
        <is>
          <t>NORRBOTTENS LÄN</t>
        </is>
      </c>
      <c r="E269" t="inlineStr">
        <is>
          <t>ARVIDSJAUR</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51406-2025</t>
        </is>
      </c>
      <c r="B270" s="1" t="n">
        <v>45950.48436342592</v>
      </c>
      <c r="C270" s="1" t="n">
        <v>46089</v>
      </c>
      <c r="D270" t="inlineStr">
        <is>
          <t>NORRBOTTENS LÄN</t>
        </is>
      </c>
      <c r="E270" t="inlineStr">
        <is>
          <t>ARVIDSJAUR</t>
        </is>
      </c>
      <c r="G270" t="n">
        <v>1.2</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46089</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51336-2025</t>
        </is>
      </c>
      <c r="B272" s="1" t="n">
        <v>45950</v>
      </c>
      <c r="C272" s="1" t="n">
        <v>46089</v>
      </c>
      <c r="D272" t="inlineStr">
        <is>
          <t>NORRBOTTENS LÄN</t>
        </is>
      </c>
      <c r="E272" t="inlineStr">
        <is>
          <t>ARVIDSJAUR</t>
        </is>
      </c>
      <c r="G272" t="n">
        <v>3.3</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46089</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46089</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51349-2025</t>
        </is>
      </c>
      <c r="B275" s="1" t="n">
        <v>45950.43512731481</v>
      </c>
      <c r="C275" s="1" t="n">
        <v>46089</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46089</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51403-2025</t>
        </is>
      </c>
      <c r="B277" s="1" t="n">
        <v>45950.48214120371</v>
      </c>
      <c r="C277" s="1" t="n">
        <v>46089</v>
      </c>
      <c r="D277" t="inlineStr">
        <is>
          <t>NORRBOTTENS LÄN</t>
        </is>
      </c>
      <c r="E277" t="inlineStr">
        <is>
          <t>ARVIDSJAUR</t>
        </is>
      </c>
      <c r="G277" t="n">
        <v>3.1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46089</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46089</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37191-2025</t>
        </is>
      </c>
      <c r="B280" s="1" t="n">
        <v>45875.64945601852</v>
      </c>
      <c r="C280" s="1" t="n">
        <v>46089</v>
      </c>
      <c r="D280" t="inlineStr">
        <is>
          <t>NORRBOTTENS LÄN</t>
        </is>
      </c>
      <c r="E280" t="inlineStr">
        <is>
          <t>ARVIDSJAUR</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51345-2025</t>
        </is>
      </c>
      <c r="B281" s="1" t="n">
        <v>45950.4332175926</v>
      </c>
      <c r="C281" s="1" t="n">
        <v>46089</v>
      </c>
      <c r="D281" t="inlineStr">
        <is>
          <t>NORRBOTTENS LÄN</t>
        </is>
      </c>
      <c r="E281" t="inlineStr">
        <is>
          <t>ARVIDSJAUR</t>
        </is>
      </c>
      <c r="G281" t="n">
        <v>2.9</v>
      </c>
      <c r="H281" t="n">
        <v>0</v>
      </c>
      <c r="I281" t="n">
        <v>0</v>
      </c>
      <c r="J281" t="n">
        <v>0</v>
      </c>
      <c r="K281" t="n">
        <v>0</v>
      </c>
      <c r="L281" t="n">
        <v>0</v>
      </c>
      <c r="M281" t="n">
        <v>0</v>
      </c>
      <c r="N281" t="n">
        <v>0</v>
      </c>
      <c r="O281" t="n">
        <v>0</v>
      </c>
      <c r="P281" t="n">
        <v>0</v>
      </c>
      <c r="Q281" t="n">
        <v>0</v>
      </c>
      <c r="R281" s="2" t="inlineStr"/>
    </row>
    <row r="282" ht="15" customHeight="1">
      <c r="A282" t="inlineStr">
        <is>
          <t>A 11537-2025</t>
        </is>
      </c>
      <c r="B282" s="1" t="n">
        <v>45726</v>
      </c>
      <c r="C282" s="1" t="n">
        <v>46089</v>
      </c>
      <c r="D282" t="inlineStr">
        <is>
          <t>NORRBOTTENS LÄN</t>
        </is>
      </c>
      <c r="E282" t="inlineStr">
        <is>
          <t>ARVIDSJAUR</t>
        </is>
      </c>
      <c r="F282" t="inlineStr">
        <is>
          <t>Allmännings- och besparingsskogar</t>
        </is>
      </c>
      <c r="G282" t="n">
        <v>9.1</v>
      </c>
      <c r="H282" t="n">
        <v>0</v>
      </c>
      <c r="I282" t="n">
        <v>0</v>
      </c>
      <c r="J282" t="n">
        <v>0</v>
      </c>
      <c r="K282" t="n">
        <v>0</v>
      </c>
      <c r="L282" t="n">
        <v>0</v>
      </c>
      <c r="M282" t="n">
        <v>0</v>
      </c>
      <c r="N282" t="n">
        <v>0</v>
      </c>
      <c r="O282" t="n">
        <v>0</v>
      </c>
      <c r="P282" t="n">
        <v>0</v>
      </c>
      <c r="Q282" t="n">
        <v>0</v>
      </c>
      <c r="R282" s="2" t="inlineStr"/>
    </row>
    <row r="283" ht="15" customHeight="1">
      <c r="A283" t="inlineStr">
        <is>
          <t>A 52127-2025</t>
        </is>
      </c>
      <c r="B283" s="1" t="n">
        <v>45952</v>
      </c>
      <c r="C283" s="1" t="n">
        <v>46089</v>
      </c>
      <c r="D283" t="inlineStr">
        <is>
          <t>NORRBOTTENS LÄN</t>
        </is>
      </c>
      <c r="E283" t="inlineStr">
        <is>
          <t>ARVIDSJAUR</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37454-2025</t>
        </is>
      </c>
      <c r="B284" s="1" t="n">
        <v>45877.56238425926</v>
      </c>
      <c r="C284" s="1" t="n">
        <v>46089</v>
      </c>
      <c r="D284" t="inlineStr">
        <is>
          <t>NORRBOTTENS LÄN</t>
        </is>
      </c>
      <c r="E284" t="inlineStr">
        <is>
          <t>ARVIDSJAUR</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37448-2025</t>
        </is>
      </c>
      <c r="B285" s="1" t="n">
        <v>45877</v>
      </c>
      <c r="C285" s="1" t="n">
        <v>46089</v>
      </c>
      <c r="D285" t="inlineStr">
        <is>
          <t>NORRBOTTENS LÄN</t>
        </is>
      </c>
      <c r="E285" t="inlineStr">
        <is>
          <t>ARVIDSJAUR</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52444-2025</t>
        </is>
      </c>
      <c r="B286" s="1" t="n">
        <v>45954.41598379629</v>
      </c>
      <c r="C286" s="1" t="n">
        <v>46089</v>
      </c>
      <c r="D286" t="inlineStr">
        <is>
          <t>NORRBOTTENS LÄN</t>
        </is>
      </c>
      <c r="E286" t="inlineStr">
        <is>
          <t>ARVIDSJAUR</t>
        </is>
      </c>
      <c r="F286" t="inlineStr">
        <is>
          <t>Sveaskog</t>
        </is>
      </c>
      <c r="G286" t="n">
        <v>11.1</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46089</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46089</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52948-2025</t>
        </is>
      </c>
      <c r="B289" s="1" t="n">
        <v>45957</v>
      </c>
      <c r="C289" s="1" t="n">
        <v>46089</v>
      </c>
      <c r="D289" t="inlineStr">
        <is>
          <t>NORRBOTTENS LÄN</t>
        </is>
      </c>
      <c r="E289" t="inlineStr">
        <is>
          <t>ARVIDSJAUR</t>
        </is>
      </c>
      <c r="F289" t="inlineStr">
        <is>
          <t>Sveaskog</t>
        </is>
      </c>
      <c r="G289" t="n">
        <v>35.3</v>
      </c>
      <c r="H289" t="n">
        <v>0</v>
      </c>
      <c r="I289" t="n">
        <v>0</v>
      </c>
      <c r="J289" t="n">
        <v>0</v>
      </c>
      <c r="K289" t="n">
        <v>0</v>
      </c>
      <c r="L289" t="n">
        <v>0</v>
      </c>
      <c r="M289" t="n">
        <v>0</v>
      </c>
      <c r="N289" t="n">
        <v>0</v>
      </c>
      <c r="O289" t="n">
        <v>0</v>
      </c>
      <c r="P289" t="n">
        <v>0</v>
      </c>
      <c r="Q289" t="n">
        <v>0</v>
      </c>
      <c r="R289" s="2" t="inlineStr"/>
    </row>
    <row r="290" ht="15" customHeight="1">
      <c r="A290" t="inlineStr">
        <is>
          <t>A 37788-2025</t>
        </is>
      </c>
      <c r="B290" s="1" t="n">
        <v>45881.30692129629</v>
      </c>
      <c r="C290" s="1" t="n">
        <v>46089</v>
      </c>
      <c r="D290" t="inlineStr">
        <is>
          <t>NORRBOTTENS LÄN</t>
        </is>
      </c>
      <c r="E290" t="inlineStr">
        <is>
          <t>ARVIDSJAUR</t>
        </is>
      </c>
      <c r="F290" t="inlineStr">
        <is>
          <t>Sveaskog</t>
        </is>
      </c>
      <c r="G290" t="n">
        <v>13.8</v>
      </c>
      <c r="H290" t="n">
        <v>0</v>
      </c>
      <c r="I290" t="n">
        <v>0</v>
      </c>
      <c r="J290" t="n">
        <v>0</v>
      </c>
      <c r="K290" t="n">
        <v>0</v>
      </c>
      <c r="L290" t="n">
        <v>0</v>
      </c>
      <c r="M290" t="n">
        <v>0</v>
      </c>
      <c r="N290" t="n">
        <v>0</v>
      </c>
      <c r="O290" t="n">
        <v>0</v>
      </c>
      <c r="P290" t="n">
        <v>0</v>
      </c>
      <c r="Q290" t="n">
        <v>0</v>
      </c>
      <c r="R290" s="2" t="inlineStr"/>
    </row>
    <row r="291" ht="15" customHeight="1">
      <c r="A291" t="inlineStr">
        <is>
          <t>A 28944-2025</t>
        </is>
      </c>
      <c r="B291" s="1" t="n">
        <v>45820</v>
      </c>
      <c r="C291" s="1" t="n">
        <v>46089</v>
      </c>
      <c r="D291" t="inlineStr">
        <is>
          <t>NORRBOTTENS LÄN</t>
        </is>
      </c>
      <c r="E291" t="inlineStr">
        <is>
          <t>ARVIDSJAUR</t>
        </is>
      </c>
      <c r="G291" t="n">
        <v>5.9</v>
      </c>
      <c r="H291" t="n">
        <v>0</v>
      </c>
      <c r="I291" t="n">
        <v>0</v>
      </c>
      <c r="J291" t="n">
        <v>0</v>
      </c>
      <c r="K291" t="n">
        <v>0</v>
      </c>
      <c r="L291" t="n">
        <v>0</v>
      </c>
      <c r="M291" t="n">
        <v>0</v>
      </c>
      <c r="N291" t="n">
        <v>0</v>
      </c>
      <c r="O291" t="n">
        <v>0</v>
      </c>
      <c r="P291" t="n">
        <v>0</v>
      </c>
      <c r="Q291" t="n">
        <v>0</v>
      </c>
      <c r="R291" s="2" t="inlineStr"/>
    </row>
    <row r="292" ht="15" customHeight="1">
      <c r="A292" t="inlineStr">
        <is>
          <t>A 52448-2025</t>
        </is>
      </c>
      <c r="B292" s="1" t="n">
        <v>45954.41857638889</v>
      </c>
      <c r="C292" s="1" t="n">
        <v>46089</v>
      </c>
      <c r="D292" t="inlineStr">
        <is>
          <t>NORRBOTTENS LÄN</t>
        </is>
      </c>
      <c r="E292" t="inlineStr">
        <is>
          <t>ARVIDSJAUR</t>
        </is>
      </c>
      <c r="F292" t="inlineStr">
        <is>
          <t>Sveaskog</t>
        </is>
      </c>
      <c r="G292" t="n">
        <v>18.6</v>
      </c>
      <c r="H292" t="n">
        <v>0</v>
      </c>
      <c r="I292" t="n">
        <v>0</v>
      </c>
      <c r="J292" t="n">
        <v>0</v>
      </c>
      <c r="K292" t="n">
        <v>0</v>
      </c>
      <c r="L292" t="n">
        <v>0</v>
      </c>
      <c r="M292" t="n">
        <v>0</v>
      </c>
      <c r="N292" t="n">
        <v>0</v>
      </c>
      <c r="O292" t="n">
        <v>0</v>
      </c>
      <c r="P292" t="n">
        <v>0</v>
      </c>
      <c r="Q292" t="n">
        <v>0</v>
      </c>
      <c r="R292" s="2" t="inlineStr"/>
    </row>
    <row r="293" ht="15" customHeight="1">
      <c r="A293" t="inlineStr">
        <is>
          <t>A 37789-2025</t>
        </is>
      </c>
      <c r="B293" s="1" t="n">
        <v>45881.30875</v>
      </c>
      <c r="C293" s="1" t="n">
        <v>46089</v>
      </c>
      <c r="D293" t="inlineStr">
        <is>
          <t>NORRBOTTENS LÄN</t>
        </is>
      </c>
      <c r="E293" t="inlineStr">
        <is>
          <t>ARVIDSJAUR</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52438-2025</t>
        </is>
      </c>
      <c r="B294" s="1" t="n">
        <v>45954.40479166667</v>
      </c>
      <c r="C294" s="1" t="n">
        <v>46089</v>
      </c>
      <c r="D294" t="inlineStr">
        <is>
          <t>NORRBOTTENS LÄN</t>
        </is>
      </c>
      <c r="E294" t="inlineStr">
        <is>
          <t>ARVIDSJAUR</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46089</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467-2026</t>
        </is>
      </c>
      <c r="B296" s="1" t="n">
        <v>46029.38594907407</v>
      </c>
      <c r="C296" s="1" t="n">
        <v>46089</v>
      </c>
      <c r="D296" t="inlineStr">
        <is>
          <t>NORRBOTTENS LÄN</t>
        </is>
      </c>
      <c r="E296" t="inlineStr">
        <is>
          <t>ARVIDSJAUR</t>
        </is>
      </c>
      <c r="G296" t="n">
        <v>2.8</v>
      </c>
      <c r="H296" t="n">
        <v>0</v>
      </c>
      <c r="I296" t="n">
        <v>0</v>
      </c>
      <c r="J296" t="n">
        <v>0</v>
      </c>
      <c r="K296" t="n">
        <v>0</v>
      </c>
      <c r="L296" t="n">
        <v>0</v>
      </c>
      <c r="M296" t="n">
        <v>0</v>
      </c>
      <c r="N296" t="n">
        <v>0</v>
      </c>
      <c r="O296" t="n">
        <v>0</v>
      </c>
      <c r="P296" t="n">
        <v>0</v>
      </c>
      <c r="Q296" t="n">
        <v>0</v>
      </c>
      <c r="R296" s="2" t="inlineStr"/>
    </row>
    <row r="297" ht="15" customHeight="1">
      <c r="A297" t="inlineStr">
        <is>
          <t>A 38348-2025</t>
        </is>
      </c>
      <c r="B297" s="1" t="n">
        <v>45883</v>
      </c>
      <c r="C297" s="1" t="n">
        <v>46089</v>
      </c>
      <c r="D297" t="inlineStr">
        <is>
          <t>NORRBOTTENS LÄN</t>
        </is>
      </c>
      <c r="E297" t="inlineStr">
        <is>
          <t>ARVIDSJAUR</t>
        </is>
      </c>
      <c r="G297" t="n">
        <v>1.4</v>
      </c>
      <c r="H297" t="n">
        <v>0</v>
      </c>
      <c r="I297" t="n">
        <v>0</v>
      </c>
      <c r="J297" t="n">
        <v>0</v>
      </c>
      <c r="K297" t="n">
        <v>0</v>
      </c>
      <c r="L297" t="n">
        <v>0</v>
      </c>
      <c r="M297" t="n">
        <v>0</v>
      </c>
      <c r="N297" t="n">
        <v>0</v>
      </c>
      <c r="O297" t="n">
        <v>0</v>
      </c>
      <c r="P297" t="n">
        <v>0</v>
      </c>
      <c r="Q297" t="n">
        <v>0</v>
      </c>
      <c r="R297" s="2" t="inlineStr"/>
    </row>
    <row r="298" ht="15" customHeight="1">
      <c r="A298" t="inlineStr">
        <is>
          <t>A 48892-2024</t>
        </is>
      </c>
      <c r="B298" s="1" t="n">
        <v>45594</v>
      </c>
      <c r="C298" s="1" t="n">
        <v>46089</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37790-2025</t>
        </is>
      </c>
      <c r="B299" s="1" t="n">
        <v>45881.31024305556</v>
      </c>
      <c r="C299" s="1" t="n">
        <v>46089</v>
      </c>
      <c r="D299" t="inlineStr">
        <is>
          <t>NORRBOTTENS LÄN</t>
        </is>
      </c>
      <c r="E299" t="inlineStr">
        <is>
          <t>ARVIDSJAUR</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53971-2025</t>
        </is>
      </c>
      <c r="B300" s="1" t="n">
        <v>45961</v>
      </c>
      <c r="C300" s="1" t="n">
        <v>46089</v>
      </c>
      <c r="D300" t="inlineStr">
        <is>
          <t>NORRBOTTENS LÄN</t>
        </is>
      </c>
      <c r="E300" t="inlineStr">
        <is>
          <t>ARVIDSJAUR</t>
        </is>
      </c>
      <c r="F300" t="inlineStr">
        <is>
          <t>Sveaskog</t>
        </is>
      </c>
      <c r="G300" t="n">
        <v>13.1</v>
      </c>
      <c r="H300" t="n">
        <v>0</v>
      </c>
      <c r="I300" t="n">
        <v>0</v>
      </c>
      <c r="J300" t="n">
        <v>0</v>
      </c>
      <c r="K300" t="n">
        <v>0</v>
      </c>
      <c r="L300" t="n">
        <v>0</v>
      </c>
      <c r="M300" t="n">
        <v>0</v>
      </c>
      <c r="N300" t="n">
        <v>0</v>
      </c>
      <c r="O300" t="n">
        <v>0</v>
      </c>
      <c r="P300" t="n">
        <v>0</v>
      </c>
      <c r="Q300" t="n">
        <v>0</v>
      </c>
      <c r="R300" s="2" t="inlineStr"/>
    </row>
    <row r="301" ht="15" customHeight="1">
      <c r="A301" t="inlineStr">
        <is>
          <t>A 56332-2025</t>
        </is>
      </c>
      <c r="B301" s="1" t="n">
        <v>45974</v>
      </c>
      <c r="C301" s="1" t="n">
        <v>46089</v>
      </c>
      <c r="D301" t="inlineStr">
        <is>
          <t>NORRBOTTENS LÄN</t>
        </is>
      </c>
      <c r="E301" t="inlineStr">
        <is>
          <t>ARVIDSJAUR</t>
        </is>
      </c>
      <c r="G301" t="n">
        <v>14.9</v>
      </c>
      <c r="H301" t="n">
        <v>0</v>
      </c>
      <c r="I301" t="n">
        <v>0</v>
      </c>
      <c r="J301" t="n">
        <v>0</v>
      </c>
      <c r="K301" t="n">
        <v>0</v>
      </c>
      <c r="L301" t="n">
        <v>0</v>
      </c>
      <c r="M301" t="n">
        <v>0</v>
      </c>
      <c r="N301" t="n">
        <v>0</v>
      </c>
      <c r="O301" t="n">
        <v>0</v>
      </c>
      <c r="P301" t="n">
        <v>0</v>
      </c>
      <c r="Q301" t="n">
        <v>0</v>
      </c>
      <c r="R301" s="2" t="inlineStr"/>
    </row>
    <row r="302" ht="15" customHeight="1">
      <c r="A302" t="inlineStr">
        <is>
          <t>A 53978-2025</t>
        </is>
      </c>
      <c r="B302" s="1" t="n">
        <v>45961.55643518519</v>
      </c>
      <c r="C302" s="1" t="n">
        <v>46089</v>
      </c>
      <c r="D302" t="inlineStr">
        <is>
          <t>NORRBOTTENS LÄN</t>
        </is>
      </c>
      <c r="E302" t="inlineStr">
        <is>
          <t>ARVIDSJAUR</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19232-2025</t>
        </is>
      </c>
      <c r="B303" s="1" t="n">
        <v>45769</v>
      </c>
      <c r="C303" s="1" t="n">
        <v>46089</v>
      </c>
      <c r="D303" t="inlineStr">
        <is>
          <t>NORRBOTTENS LÄN</t>
        </is>
      </c>
      <c r="E303" t="inlineStr">
        <is>
          <t>ARVIDSJAUR</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38919-2025</t>
        </is>
      </c>
      <c r="B304" s="1" t="n">
        <v>45884</v>
      </c>
      <c r="C304" s="1" t="n">
        <v>46089</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54360-2025</t>
        </is>
      </c>
      <c r="B305" s="1" t="n">
        <v>45965</v>
      </c>
      <c r="C305" s="1" t="n">
        <v>46089</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46089</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46089</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46089</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22997-2024</t>
        </is>
      </c>
      <c r="B309" s="1" t="n">
        <v>45450</v>
      </c>
      <c r="C309" s="1" t="n">
        <v>46089</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54096-2025</t>
        </is>
      </c>
      <c r="B310" s="1" t="n">
        <v>45964.40795138889</v>
      </c>
      <c r="C310" s="1" t="n">
        <v>46089</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54355-2025</t>
        </is>
      </c>
      <c r="B311" s="1" t="n">
        <v>45964</v>
      </c>
      <c r="C311" s="1" t="n">
        <v>46089</v>
      </c>
      <c r="D311" t="inlineStr">
        <is>
          <t>NORRBOTTENS LÄN</t>
        </is>
      </c>
      <c r="E311" t="inlineStr">
        <is>
          <t>ARVIDSJAUR</t>
        </is>
      </c>
      <c r="G311" t="n">
        <v>3.9</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45964.60665509259</v>
      </c>
      <c r="C312" s="1" t="n">
        <v>46089</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45965.29511574074</v>
      </c>
      <c r="C313" s="1" t="n">
        <v>46089</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54305-2025</t>
        </is>
      </c>
      <c r="B314" s="1" t="n">
        <v>45965.29879629629</v>
      </c>
      <c r="C314" s="1" t="n">
        <v>46089</v>
      </c>
      <c r="D314" t="inlineStr">
        <is>
          <t>NORRBOTTENS LÄN</t>
        </is>
      </c>
      <c r="E314" t="inlineStr">
        <is>
          <t>ARVIDSJAUR</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54363-2025</t>
        </is>
      </c>
      <c r="B315" s="1" t="n">
        <v>45965.39699074074</v>
      </c>
      <c r="C315" s="1" t="n">
        <v>46089</v>
      </c>
      <c r="D315" t="inlineStr">
        <is>
          <t>NORRBOTTENS LÄN</t>
        </is>
      </c>
      <c r="E315" t="inlineStr">
        <is>
          <t>ARVIDSJAUR</t>
        </is>
      </c>
      <c r="G315" t="n">
        <v>0.8</v>
      </c>
      <c r="H315" t="n">
        <v>0</v>
      </c>
      <c r="I315" t="n">
        <v>0</v>
      </c>
      <c r="J315" t="n">
        <v>0</v>
      </c>
      <c r="K315" t="n">
        <v>0</v>
      </c>
      <c r="L315" t="n">
        <v>0</v>
      </c>
      <c r="M315" t="n">
        <v>0</v>
      </c>
      <c r="N315" t="n">
        <v>0</v>
      </c>
      <c r="O315" t="n">
        <v>0</v>
      </c>
      <c r="P315" t="n">
        <v>0</v>
      </c>
      <c r="Q315" t="n">
        <v>0</v>
      </c>
      <c r="R315" s="2" t="inlineStr"/>
    </row>
    <row r="316" ht="15" customHeight="1">
      <c r="A316" t="inlineStr">
        <is>
          <t>A 54303-2025</t>
        </is>
      </c>
      <c r="B316" s="1" t="n">
        <v>45965.28409722223</v>
      </c>
      <c r="C316" s="1" t="n">
        <v>46089</v>
      </c>
      <c r="D316" t="inlineStr">
        <is>
          <t>NORRBOTTENS LÄN</t>
        </is>
      </c>
      <c r="E316" t="inlineStr">
        <is>
          <t>ARVIDSJAUR</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60888-2021</t>
        </is>
      </c>
      <c r="B317" s="1" t="n">
        <v>44497</v>
      </c>
      <c r="C317" s="1" t="n">
        <v>46089</v>
      </c>
      <c r="D317" t="inlineStr">
        <is>
          <t>NORRBOTTENS LÄN</t>
        </is>
      </c>
      <c r="E317" t="inlineStr">
        <is>
          <t>ARVIDSJAUR</t>
        </is>
      </c>
      <c r="F317" t="inlineStr">
        <is>
          <t>Sveaskog</t>
        </is>
      </c>
      <c r="G317" t="n">
        <v>12.1</v>
      </c>
      <c r="H317" t="n">
        <v>0</v>
      </c>
      <c r="I317" t="n">
        <v>0</v>
      </c>
      <c r="J317" t="n">
        <v>0</v>
      </c>
      <c r="K317" t="n">
        <v>0</v>
      </c>
      <c r="L317" t="n">
        <v>0</v>
      </c>
      <c r="M317" t="n">
        <v>0</v>
      </c>
      <c r="N317" t="n">
        <v>0</v>
      </c>
      <c r="O317" t="n">
        <v>0</v>
      </c>
      <c r="P317" t="n">
        <v>0</v>
      </c>
      <c r="Q317" t="n">
        <v>0</v>
      </c>
      <c r="R317" s="2" t="inlineStr"/>
    </row>
    <row r="318" ht="15" customHeight="1">
      <c r="A318" t="inlineStr">
        <is>
          <t>A 9854-2026</t>
        </is>
      </c>
      <c r="B318" s="1" t="n">
        <v>46072.83361111111</v>
      </c>
      <c r="C318" s="1" t="n">
        <v>46089</v>
      </c>
      <c r="D318" t="inlineStr">
        <is>
          <t>NORRBOTTENS LÄN</t>
        </is>
      </c>
      <c r="E318" t="inlineStr">
        <is>
          <t>ARVIDSJAUR</t>
        </is>
      </c>
      <c r="G318" t="n">
        <v>2.2</v>
      </c>
      <c r="H318" t="n">
        <v>0</v>
      </c>
      <c r="I318" t="n">
        <v>0</v>
      </c>
      <c r="J318" t="n">
        <v>0</v>
      </c>
      <c r="K318" t="n">
        <v>0</v>
      </c>
      <c r="L318" t="n">
        <v>0</v>
      </c>
      <c r="M318" t="n">
        <v>0</v>
      </c>
      <c r="N318" t="n">
        <v>0</v>
      </c>
      <c r="O318" t="n">
        <v>0</v>
      </c>
      <c r="P318" t="n">
        <v>0</v>
      </c>
      <c r="Q318" t="n">
        <v>0</v>
      </c>
      <c r="R318" s="2" t="inlineStr"/>
    </row>
    <row r="319" ht="15" customHeight="1">
      <c r="A319" t="inlineStr">
        <is>
          <t>A 11582-2025</t>
        </is>
      </c>
      <c r="B319" s="1" t="n">
        <v>45726</v>
      </c>
      <c r="C319" s="1" t="n">
        <v>46089</v>
      </c>
      <c r="D319" t="inlineStr">
        <is>
          <t>NORRBOTTENS LÄN</t>
        </is>
      </c>
      <c r="E319" t="inlineStr">
        <is>
          <t>ARVIDSJAUR</t>
        </is>
      </c>
      <c r="F319" t="inlineStr">
        <is>
          <t>Allmännings- och besparingsskogar</t>
        </is>
      </c>
      <c r="G319" t="n">
        <v>7.1</v>
      </c>
      <c r="H319" t="n">
        <v>0</v>
      </c>
      <c r="I319" t="n">
        <v>0</v>
      </c>
      <c r="J319" t="n">
        <v>0</v>
      </c>
      <c r="K319" t="n">
        <v>0</v>
      </c>
      <c r="L319" t="n">
        <v>0</v>
      </c>
      <c r="M319" t="n">
        <v>0</v>
      </c>
      <c r="N319" t="n">
        <v>0</v>
      </c>
      <c r="O319" t="n">
        <v>0</v>
      </c>
      <c r="P319" t="n">
        <v>0</v>
      </c>
      <c r="Q319" t="n">
        <v>0</v>
      </c>
      <c r="R319" s="2" t="inlineStr"/>
    </row>
    <row r="320" ht="15" customHeight="1">
      <c r="A320" t="inlineStr">
        <is>
          <t>A 45034-2023</t>
        </is>
      </c>
      <c r="B320" s="1" t="n">
        <v>45191.28909722222</v>
      </c>
      <c r="C320" s="1" t="n">
        <v>46089</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54604-2025</t>
        </is>
      </c>
      <c r="B321" s="1" t="n">
        <v>45965.88976851852</v>
      </c>
      <c r="C321" s="1" t="n">
        <v>46089</v>
      </c>
      <c r="D321" t="inlineStr">
        <is>
          <t>NORRBOTTENS LÄN</t>
        </is>
      </c>
      <c r="E321" t="inlineStr">
        <is>
          <t>ARVIDSJAUR</t>
        </is>
      </c>
      <c r="G321" t="n">
        <v>1.2</v>
      </c>
      <c r="H321" t="n">
        <v>0</v>
      </c>
      <c r="I321" t="n">
        <v>0</v>
      </c>
      <c r="J321" t="n">
        <v>0</v>
      </c>
      <c r="K321" t="n">
        <v>0</v>
      </c>
      <c r="L321" t="n">
        <v>0</v>
      </c>
      <c r="M321" t="n">
        <v>0</v>
      </c>
      <c r="N321" t="n">
        <v>0</v>
      </c>
      <c r="O321" t="n">
        <v>0</v>
      </c>
      <c r="P321" t="n">
        <v>0</v>
      </c>
      <c r="Q321" t="n">
        <v>0</v>
      </c>
      <c r="R321" s="2" t="inlineStr"/>
    </row>
    <row r="322" ht="15" customHeight="1">
      <c r="A322" t="inlineStr">
        <is>
          <t>A 1493-2026</t>
        </is>
      </c>
      <c r="B322" s="1" t="n">
        <v>46034</v>
      </c>
      <c r="C322" s="1" t="n">
        <v>46089</v>
      </c>
      <c r="D322" t="inlineStr">
        <is>
          <t>NORRBOTTENS LÄN</t>
        </is>
      </c>
      <c r="E322" t="inlineStr">
        <is>
          <t>ARVIDSJAUR</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1707-2026</t>
        </is>
      </c>
      <c r="B323" s="1" t="n">
        <v>46034.5994212963</v>
      </c>
      <c r="C323" s="1" t="n">
        <v>46089</v>
      </c>
      <c r="D323" t="inlineStr">
        <is>
          <t>NORRBOTTENS LÄN</t>
        </is>
      </c>
      <c r="E323" t="inlineStr">
        <is>
          <t>ARVIDSJAUR</t>
        </is>
      </c>
      <c r="F323" t="inlineStr">
        <is>
          <t>Allmännings- och besparingsskogar</t>
        </is>
      </c>
      <c r="G323" t="n">
        <v>25.5</v>
      </c>
      <c r="H323" t="n">
        <v>0</v>
      </c>
      <c r="I323" t="n">
        <v>0</v>
      </c>
      <c r="J323" t="n">
        <v>0</v>
      </c>
      <c r="K323" t="n">
        <v>0</v>
      </c>
      <c r="L323" t="n">
        <v>0</v>
      </c>
      <c r="M323" t="n">
        <v>0</v>
      </c>
      <c r="N323" t="n">
        <v>0</v>
      </c>
      <c r="O323" t="n">
        <v>0</v>
      </c>
      <c r="P323" t="n">
        <v>0</v>
      </c>
      <c r="Q323" t="n">
        <v>0</v>
      </c>
      <c r="R323" s="2" t="inlineStr"/>
    </row>
    <row r="324" ht="15" customHeight="1">
      <c r="A324" t="inlineStr">
        <is>
          <t>A 10329-2026</t>
        </is>
      </c>
      <c r="B324" s="1" t="n">
        <v>46076.66290509259</v>
      </c>
      <c r="C324" s="1" t="n">
        <v>46089</v>
      </c>
      <c r="D324" t="inlineStr">
        <is>
          <t>NORRBOTTENS LÄN</t>
        </is>
      </c>
      <c r="E324" t="inlineStr">
        <is>
          <t>ARVIDSJAUR</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55929-2025</t>
        </is>
      </c>
      <c r="B325" s="1" t="n">
        <v>45973.43658564815</v>
      </c>
      <c r="C325" s="1" t="n">
        <v>46089</v>
      </c>
      <c r="D325" t="inlineStr">
        <is>
          <t>NORRBOTTENS LÄN</t>
        </is>
      </c>
      <c r="E325" t="inlineStr">
        <is>
          <t>ARVIDSJAUR</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1620-2026</t>
        </is>
      </c>
      <c r="B326" s="1" t="n">
        <v>46034.47487268518</v>
      </c>
      <c r="C326" s="1" t="n">
        <v>46089</v>
      </c>
      <c r="D326" t="inlineStr">
        <is>
          <t>NORRBOTTENS LÄN</t>
        </is>
      </c>
      <c r="E326" t="inlineStr">
        <is>
          <t>ARVIDSJAUR</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55795-2025</t>
        </is>
      </c>
      <c r="B327" s="1" t="n">
        <v>45972.65466435185</v>
      </c>
      <c r="C327" s="1" t="n">
        <v>46089</v>
      </c>
      <c r="D327" t="inlineStr">
        <is>
          <t>NORRBOTTENS LÄN</t>
        </is>
      </c>
      <c r="E327" t="inlineStr">
        <is>
          <t>ARVIDSJAUR</t>
        </is>
      </c>
      <c r="F327" t="inlineStr">
        <is>
          <t>Sveaskog</t>
        </is>
      </c>
      <c r="G327" t="n">
        <v>13.5</v>
      </c>
      <c r="H327" t="n">
        <v>0</v>
      </c>
      <c r="I327" t="n">
        <v>0</v>
      </c>
      <c r="J327" t="n">
        <v>0</v>
      </c>
      <c r="K327" t="n">
        <v>0</v>
      </c>
      <c r="L327" t="n">
        <v>0</v>
      </c>
      <c r="M327" t="n">
        <v>0</v>
      </c>
      <c r="N327" t="n">
        <v>0</v>
      </c>
      <c r="O327" t="n">
        <v>0</v>
      </c>
      <c r="P327" t="n">
        <v>0</v>
      </c>
      <c r="Q327" t="n">
        <v>0</v>
      </c>
      <c r="R327" s="2" t="inlineStr"/>
    </row>
    <row r="328" ht="15" customHeight="1">
      <c r="A328" t="inlineStr">
        <is>
          <t>A 55755-2025</t>
        </is>
      </c>
      <c r="B328" s="1" t="n">
        <v>45972.59224537037</v>
      </c>
      <c r="C328" s="1" t="n">
        <v>46089</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46089</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56520-2025</t>
        </is>
      </c>
      <c r="B330" s="1" t="n">
        <v>45975.46047453704</v>
      </c>
      <c r="C330" s="1" t="n">
        <v>46089</v>
      </c>
      <c r="D330" t="inlineStr">
        <is>
          <t>NORRBOTTENS LÄN</t>
        </is>
      </c>
      <c r="E330" t="inlineStr">
        <is>
          <t>ARVIDSJAUR</t>
        </is>
      </c>
      <c r="F330" t="inlineStr">
        <is>
          <t>Sveaskog</t>
        </is>
      </c>
      <c r="G330" t="n">
        <v>14.9</v>
      </c>
      <c r="H330" t="n">
        <v>0</v>
      </c>
      <c r="I330" t="n">
        <v>0</v>
      </c>
      <c r="J330" t="n">
        <v>0</v>
      </c>
      <c r="K330" t="n">
        <v>0</v>
      </c>
      <c r="L330" t="n">
        <v>0</v>
      </c>
      <c r="M330" t="n">
        <v>0</v>
      </c>
      <c r="N330" t="n">
        <v>0</v>
      </c>
      <c r="O330" t="n">
        <v>0</v>
      </c>
      <c r="P330" t="n">
        <v>0</v>
      </c>
      <c r="Q330" t="n">
        <v>0</v>
      </c>
      <c r="R330" s="2" t="inlineStr"/>
    </row>
    <row r="331" ht="15" customHeight="1">
      <c r="A331" t="inlineStr">
        <is>
          <t>A 56588-2025</t>
        </is>
      </c>
      <c r="B331" s="1" t="n">
        <v>45975.56208333333</v>
      </c>
      <c r="C331" s="1" t="n">
        <v>46089</v>
      </c>
      <c r="D331" t="inlineStr">
        <is>
          <t>NORRBOTTENS LÄN</t>
        </is>
      </c>
      <c r="E331" t="inlineStr">
        <is>
          <t>ARVIDSJAUR</t>
        </is>
      </c>
      <c r="F331" t="inlineStr">
        <is>
          <t>Sveaskog</t>
        </is>
      </c>
      <c r="G331" t="n">
        <v>12.8</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46089</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56265-2025</t>
        </is>
      </c>
      <c r="B333" s="1" t="n">
        <v>45974.57791666667</v>
      </c>
      <c r="C333" s="1" t="n">
        <v>46089</v>
      </c>
      <c r="D333" t="inlineStr">
        <is>
          <t>NORRBOTTENS LÄN</t>
        </is>
      </c>
      <c r="E333" t="inlineStr">
        <is>
          <t>ARVIDSJAUR</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56723-2025</t>
        </is>
      </c>
      <c r="B334" s="1" t="n">
        <v>45975</v>
      </c>
      <c r="C334" s="1" t="n">
        <v>46089</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56430-2025</t>
        </is>
      </c>
      <c r="B335" s="1" t="n">
        <v>45975.34607638889</v>
      </c>
      <c r="C335" s="1" t="n">
        <v>46089</v>
      </c>
      <c r="D335" t="inlineStr">
        <is>
          <t>NORRBOTTENS LÄN</t>
        </is>
      </c>
      <c r="E335" t="inlineStr">
        <is>
          <t>ARVIDSJAUR</t>
        </is>
      </c>
      <c r="G335" t="n">
        <v>7.5</v>
      </c>
      <c r="H335" t="n">
        <v>0</v>
      </c>
      <c r="I335" t="n">
        <v>0</v>
      </c>
      <c r="J335" t="n">
        <v>0</v>
      </c>
      <c r="K335" t="n">
        <v>0</v>
      </c>
      <c r="L335" t="n">
        <v>0</v>
      </c>
      <c r="M335" t="n">
        <v>0</v>
      </c>
      <c r="N335" t="n">
        <v>0</v>
      </c>
      <c r="O335" t="n">
        <v>0</v>
      </c>
      <c r="P335" t="n">
        <v>0</v>
      </c>
      <c r="Q335" t="n">
        <v>0</v>
      </c>
      <c r="R335" s="2" t="inlineStr"/>
    </row>
    <row r="336" ht="15" customHeight="1">
      <c r="A336" t="inlineStr">
        <is>
          <t>A 56652-2025</t>
        </is>
      </c>
      <c r="B336" s="1" t="n">
        <v>45975.64438657407</v>
      </c>
      <c r="C336" s="1" t="n">
        <v>46089</v>
      </c>
      <c r="D336" t="inlineStr">
        <is>
          <t>NORRBOTTENS LÄN</t>
        </is>
      </c>
      <c r="E336" t="inlineStr">
        <is>
          <t>ARVIDSJAUR</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56657-2025</t>
        </is>
      </c>
      <c r="B337" s="1" t="n">
        <v>45975.65388888889</v>
      </c>
      <c r="C337" s="1" t="n">
        <v>46089</v>
      </c>
      <c r="D337" t="inlineStr">
        <is>
          <t>NORRBOTTENS LÄN</t>
        </is>
      </c>
      <c r="E337" t="inlineStr">
        <is>
          <t>ARVIDSJAUR</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56680-2025</t>
        </is>
      </c>
      <c r="B338" s="1" t="n">
        <v>45975</v>
      </c>
      <c r="C338" s="1" t="n">
        <v>46089</v>
      </c>
      <c r="D338" t="inlineStr">
        <is>
          <t>NORRBOTTENS LÄN</t>
        </is>
      </c>
      <c r="E338" t="inlineStr">
        <is>
          <t>ARVIDSJAUR</t>
        </is>
      </c>
      <c r="G338" t="n">
        <v>4.3</v>
      </c>
      <c r="H338" t="n">
        <v>0</v>
      </c>
      <c r="I338" t="n">
        <v>0</v>
      </c>
      <c r="J338" t="n">
        <v>0</v>
      </c>
      <c r="K338" t="n">
        <v>0</v>
      </c>
      <c r="L338" t="n">
        <v>0</v>
      </c>
      <c r="M338" t="n">
        <v>0</v>
      </c>
      <c r="N338" t="n">
        <v>0</v>
      </c>
      <c r="O338" t="n">
        <v>0</v>
      </c>
      <c r="P338" t="n">
        <v>0</v>
      </c>
      <c r="Q338" t="n">
        <v>0</v>
      </c>
      <c r="R338" s="2" t="inlineStr"/>
    </row>
    <row r="339" ht="15" customHeight="1">
      <c r="A339" t="inlineStr">
        <is>
          <t>A 56168-2025</t>
        </is>
      </c>
      <c r="B339" s="1" t="n">
        <v>45974.38932870371</v>
      </c>
      <c r="C339" s="1" t="n">
        <v>46089</v>
      </c>
      <c r="D339" t="inlineStr">
        <is>
          <t>NORRBOTTENS LÄN</t>
        </is>
      </c>
      <c r="E339" t="inlineStr">
        <is>
          <t>ARVIDSJAUR</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46089</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46089</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46089</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56606-2025</t>
        </is>
      </c>
      <c r="B343" s="1" t="n">
        <v>45975.58065972223</v>
      </c>
      <c r="C343" s="1" t="n">
        <v>46089</v>
      </c>
      <c r="D343" t="inlineStr">
        <is>
          <t>NORRBOTTENS LÄN</t>
        </is>
      </c>
      <c r="E343" t="inlineStr">
        <is>
          <t>ARVIDSJAUR</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56630-2025</t>
        </is>
      </c>
      <c r="B344" s="1" t="n">
        <v>45975.61517361111</v>
      </c>
      <c r="C344" s="1" t="n">
        <v>46089</v>
      </c>
      <c r="D344" t="inlineStr">
        <is>
          <t>NORRBOTTENS LÄN</t>
        </is>
      </c>
      <c r="E344" t="inlineStr">
        <is>
          <t>ARVIDSJAUR</t>
        </is>
      </c>
      <c r="G344" t="n">
        <v>7.2</v>
      </c>
      <c r="H344" t="n">
        <v>0</v>
      </c>
      <c r="I344" t="n">
        <v>0</v>
      </c>
      <c r="J344" t="n">
        <v>0</v>
      </c>
      <c r="K344" t="n">
        <v>0</v>
      </c>
      <c r="L344" t="n">
        <v>0</v>
      </c>
      <c r="M344" t="n">
        <v>0</v>
      </c>
      <c r="N344" t="n">
        <v>0</v>
      </c>
      <c r="O344" t="n">
        <v>0</v>
      </c>
      <c r="P344" t="n">
        <v>0</v>
      </c>
      <c r="Q344" t="n">
        <v>0</v>
      </c>
      <c r="R344" s="2" t="inlineStr"/>
    </row>
    <row r="345" ht="15" customHeight="1">
      <c r="A345" t="inlineStr">
        <is>
          <t>A 24810-2023</t>
        </is>
      </c>
      <c r="B345" s="1" t="n">
        <v>45084</v>
      </c>
      <c r="C345" s="1" t="n">
        <v>46089</v>
      </c>
      <c r="D345" t="inlineStr">
        <is>
          <t>NORRBOTTENS LÄN</t>
        </is>
      </c>
      <c r="E345" t="inlineStr">
        <is>
          <t>ARVIDSJAUR</t>
        </is>
      </c>
      <c r="G345" t="n">
        <v>5.2</v>
      </c>
      <c r="H345" t="n">
        <v>0</v>
      </c>
      <c r="I345" t="n">
        <v>0</v>
      </c>
      <c r="J345" t="n">
        <v>0</v>
      </c>
      <c r="K345" t="n">
        <v>0</v>
      </c>
      <c r="L345" t="n">
        <v>0</v>
      </c>
      <c r="M345" t="n">
        <v>0</v>
      </c>
      <c r="N345" t="n">
        <v>0</v>
      </c>
      <c r="O345" t="n">
        <v>0</v>
      </c>
      <c r="P345" t="n">
        <v>0</v>
      </c>
      <c r="Q345" t="n">
        <v>0</v>
      </c>
      <c r="R345" s="2" t="inlineStr"/>
    </row>
    <row r="346" ht="15" customHeight="1">
      <c r="A346" t="inlineStr">
        <is>
          <t>A 57158-2025</t>
        </is>
      </c>
      <c r="B346" s="1" t="n">
        <v>45978</v>
      </c>
      <c r="C346" s="1" t="n">
        <v>46089</v>
      </c>
      <c r="D346" t="inlineStr">
        <is>
          <t>NORRBOTTENS LÄN</t>
        </is>
      </c>
      <c r="E346" t="inlineStr">
        <is>
          <t>ARVIDSJAUR</t>
        </is>
      </c>
      <c r="G346" t="n">
        <v>9.5</v>
      </c>
      <c r="H346" t="n">
        <v>0</v>
      </c>
      <c r="I346" t="n">
        <v>0</v>
      </c>
      <c r="J346" t="n">
        <v>0</v>
      </c>
      <c r="K346" t="n">
        <v>0</v>
      </c>
      <c r="L346" t="n">
        <v>0</v>
      </c>
      <c r="M346" t="n">
        <v>0</v>
      </c>
      <c r="N346" t="n">
        <v>0</v>
      </c>
      <c r="O346" t="n">
        <v>0</v>
      </c>
      <c r="P346" t="n">
        <v>0</v>
      </c>
      <c r="Q346" t="n">
        <v>0</v>
      </c>
      <c r="R346" s="2" t="inlineStr"/>
    </row>
    <row r="347" ht="15" customHeight="1">
      <c r="A347" t="inlineStr">
        <is>
          <t>A 57166-2025</t>
        </is>
      </c>
      <c r="B347" s="1" t="n">
        <v>45978</v>
      </c>
      <c r="C347" s="1" t="n">
        <v>46089</v>
      </c>
      <c r="D347" t="inlineStr">
        <is>
          <t>NORRBOTTENS LÄN</t>
        </is>
      </c>
      <c r="E347" t="inlineStr">
        <is>
          <t>ARVIDSJAUR</t>
        </is>
      </c>
      <c r="G347" t="n">
        <v>4.9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46089</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10555-2026</t>
        </is>
      </c>
      <c r="B349" s="1" t="n">
        <v>46077.63511574074</v>
      </c>
      <c r="C349" s="1" t="n">
        <v>46089</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52645-2023</t>
        </is>
      </c>
      <c r="B350" s="1" t="n">
        <v>45225</v>
      </c>
      <c r="C350" s="1" t="n">
        <v>46089</v>
      </c>
      <c r="D350" t="inlineStr">
        <is>
          <t>NORRBOTTENS LÄN</t>
        </is>
      </c>
      <c r="E350" t="inlineStr">
        <is>
          <t>ARVIDSJAUR</t>
        </is>
      </c>
      <c r="G350" t="n">
        <v>2.7</v>
      </c>
      <c r="H350" t="n">
        <v>0</v>
      </c>
      <c r="I350" t="n">
        <v>0</v>
      </c>
      <c r="J350" t="n">
        <v>0</v>
      </c>
      <c r="K350" t="n">
        <v>0</v>
      </c>
      <c r="L350" t="n">
        <v>0</v>
      </c>
      <c r="M350" t="n">
        <v>0</v>
      </c>
      <c r="N350" t="n">
        <v>0</v>
      </c>
      <c r="O350" t="n">
        <v>0</v>
      </c>
      <c r="P350" t="n">
        <v>0</v>
      </c>
      <c r="Q350" t="n">
        <v>0</v>
      </c>
      <c r="R350" s="2" t="inlineStr"/>
    </row>
    <row r="351" ht="15" customHeight="1">
      <c r="A351" t="inlineStr">
        <is>
          <t>A 10317-2026</t>
        </is>
      </c>
      <c r="B351" s="1" t="n">
        <v>46076.65640046296</v>
      </c>
      <c r="C351" s="1" t="n">
        <v>46089</v>
      </c>
      <c r="D351" t="inlineStr">
        <is>
          <t>NORRBOTTENS LÄN</t>
        </is>
      </c>
      <c r="E351" t="inlineStr">
        <is>
          <t>ARVIDSJAUR</t>
        </is>
      </c>
      <c r="F351" t="inlineStr">
        <is>
          <t>Sveaskog</t>
        </is>
      </c>
      <c r="G351" t="n">
        <v>9.1</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46089</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46089</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57795-2025</t>
        </is>
      </c>
      <c r="B354" s="1" t="n">
        <v>45981</v>
      </c>
      <c r="C354" s="1" t="n">
        <v>46089</v>
      </c>
      <c r="D354" t="inlineStr">
        <is>
          <t>NORRBOTTENS LÄN</t>
        </is>
      </c>
      <c r="E354" t="inlineStr">
        <is>
          <t>ARVIDSJAUR</t>
        </is>
      </c>
      <c r="F354" t="inlineStr">
        <is>
          <t>Sveaskog</t>
        </is>
      </c>
      <c r="G354" t="n">
        <v>21.6</v>
      </c>
      <c r="H354" t="n">
        <v>0</v>
      </c>
      <c r="I354" t="n">
        <v>0</v>
      </c>
      <c r="J354" t="n">
        <v>0</v>
      </c>
      <c r="K354" t="n">
        <v>0</v>
      </c>
      <c r="L354" t="n">
        <v>0</v>
      </c>
      <c r="M354" t="n">
        <v>0</v>
      </c>
      <c r="N354" t="n">
        <v>0</v>
      </c>
      <c r="O354" t="n">
        <v>0</v>
      </c>
      <c r="P354" t="n">
        <v>0</v>
      </c>
      <c r="Q354" t="n">
        <v>0</v>
      </c>
      <c r="R354" s="2" t="inlineStr"/>
    </row>
    <row r="355" ht="15" customHeight="1">
      <c r="A355" t="inlineStr">
        <is>
          <t>A 39775-2022</t>
        </is>
      </c>
      <c r="B355" s="1" t="n">
        <v>44819</v>
      </c>
      <c r="C355" s="1" t="n">
        <v>46089</v>
      </c>
      <c r="D355" t="inlineStr">
        <is>
          <t>NORRBOTTENS LÄN</t>
        </is>
      </c>
      <c r="E355" t="inlineStr">
        <is>
          <t>ARVIDSJAUR</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57943-2025</t>
        </is>
      </c>
      <c r="B356" s="1" t="n">
        <v>45982.3181712963</v>
      </c>
      <c r="C356" s="1" t="n">
        <v>46089</v>
      </c>
      <c r="D356" t="inlineStr">
        <is>
          <t>NORRBOTTENS LÄN</t>
        </is>
      </c>
      <c r="E356" t="inlineStr">
        <is>
          <t>ARVIDSJAUR</t>
        </is>
      </c>
      <c r="F356" t="inlineStr">
        <is>
          <t>Sveaskog</t>
        </is>
      </c>
      <c r="G356" t="n">
        <v>18.9</v>
      </c>
      <c r="H356" t="n">
        <v>0</v>
      </c>
      <c r="I356" t="n">
        <v>0</v>
      </c>
      <c r="J356" t="n">
        <v>0</v>
      </c>
      <c r="K356" t="n">
        <v>0</v>
      </c>
      <c r="L356" t="n">
        <v>0</v>
      </c>
      <c r="M356" t="n">
        <v>0</v>
      </c>
      <c r="N356" t="n">
        <v>0</v>
      </c>
      <c r="O356" t="n">
        <v>0</v>
      </c>
      <c r="P356" t="n">
        <v>0</v>
      </c>
      <c r="Q356" t="n">
        <v>0</v>
      </c>
      <c r="R356" s="2" t="inlineStr"/>
    </row>
    <row r="357" ht="15" customHeight="1">
      <c r="A357" t="inlineStr">
        <is>
          <t>A 2299-2026</t>
        </is>
      </c>
      <c r="B357" s="1" t="n">
        <v>46034</v>
      </c>
      <c r="C357" s="1" t="n">
        <v>46089</v>
      </c>
      <c r="D357" t="inlineStr">
        <is>
          <t>NORRBOTTENS LÄN</t>
        </is>
      </c>
      <c r="E357" t="inlineStr">
        <is>
          <t>ARVIDSJAUR</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46089</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46089</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46089</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22565-2025</t>
        </is>
      </c>
      <c r="B361" s="1" t="n">
        <v>45786</v>
      </c>
      <c r="C361" s="1" t="n">
        <v>46089</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58570-2025</t>
        </is>
      </c>
      <c r="B362" s="1" t="n">
        <v>45986.37326388889</v>
      </c>
      <c r="C362" s="1" t="n">
        <v>46089</v>
      </c>
      <c r="D362" t="inlineStr">
        <is>
          <t>NORRBOTTENS LÄN</t>
        </is>
      </c>
      <c r="E362" t="inlineStr">
        <is>
          <t>ARVIDSJAUR</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58793-2025</t>
        </is>
      </c>
      <c r="B363" s="1" t="n">
        <v>45986</v>
      </c>
      <c r="C363" s="1" t="n">
        <v>46089</v>
      </c>
      <c r="D363" t="inlineStr">
        <is>
          <t>NORRBOTTENS LÄN</t>
        </is>
      </c>
      <c r="E363" t="inlineStr">
        <is>
          <t>ARVIDSJAUR</t>
        </is>
      </c>
      <c r="G363" t="n">
        <v>6.2</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46089</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22691-2024</t>
        </is>
      </c>
      <c r="B365" s="1" t="n">
        <v>45448</v>
      </c>
      <c r="C365" s="1" t="n">
        <v>46089</v>
      </c>
      <c r="D365" t="inlineStr">
        <is>
          <t>NORRBOTTENS LÄN</t>
        </is>
      </c>
      <c r="E365" t="inlineStr">
        <is>
          <t>ARVIDSJAUR</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46089</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49141-2022</t>
        </is>
      </c>
      <c r="B367" s="1" t="n">
        <v>44860</v>
      </c>
      <c r="C367" s="1" t="n">
        <v>46089</v>
      </c>
      <c r="D367" t="inlineStr">
        <is>
          <t>NORRBOTTENS LÄN</t>
        </is>
      </c>
      <c r="E367" t="inlineStr">
        <is>
          <t>ARVIDSJAUR</t>
        </is>
      </c>
      <c r="G367" t="n">
        <v>4</v>
      </c>
      <c r="H367" t="n">
        <v>0</v>
      </c>
      <c r="I367" t="n">
        <v>0</v>
      </c>
      <c r="J367" t="n">
        <v>0</v>
      </c>
      <c r="K367" t="n">
        <v>0</v>
      </c>
      <c r="L367" t="n">
        <v>0</v>
      </c>
      <c r="M367" t="n">
        <v>0</v>
      </c>
      <c r="N367" t="n">
        <v>0</v>
      </c>
      <c r="O367" t="n">
        <v>0</v>
      </c>
      <c r="P367" t="n">
        <v>0</v>
      </c>
      <c r="Q367" t="n">
        <v>0</v>
      </c>
      <c r="R367" s="2" t="inlineStr"/>
    </row>
    <row r="368" ht="15" customHeight="1">
      <c r="A368" t="inlineStr">
        <is>
          <t>A 36452-2024</t>
        </is>
      </c>
      <c r="B368" s="1" t="n">
        <v>45537</v>
      </c>
      <c r="C368" s="1" t="n">
        <v>46089</v>
      </c>
      <c r="D368" t="inlineStr">
        <is>
          <t>NORRBOTTENS LÄN</t>
        </is>
      </c>
      <c r="E368" t="inlineStr">
        <is>
          <t>ARVIDSJAUR</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59277-2025</t>
        </is>
      </c>
      <c r="B369" s="1" t="n">
        <v>45988</v>
      </c>
      <c r="C369" s="1" t="n">
        <v>46089</v>
      </c>
      <c r="D369" t="inlineStr">
        <is>
          <t>NORRBOTTENS LÄN</t>
        </is>
      </c>
      <c r="E369" t="inlineStr">
        <is>
          <t>ARVIDSJAUR</t>
        </is>
      </c>
      <c r="F369" t="inlineStr">
        <is>
          <t>Övriga Aktiebolag</t>
        </is>
      </c>
      <c r="G369" t="n">
        <v>4.3</v>
      </c>
      <c r="H369" t="n">
        <v>0</v>
      </c>
      <c r="I369" t="n">
        <v>0</v>
      </c>
      <c r="J369" t="n">
        <v>0</v>
      </c>
      <c r="K369" t="n">
        <v>0</v>
      </c>
      <c r="L369" t="n">
        <v>0</v>
      </c>
      <c r="M369" t="n">
        <v>0</v>
      </c>
      <c r="N369" t="n">
        <v>0</v>
      </c>
      <c r="O369" t="n">
        <v>0</v>
      </c>
      <c r="P369" t="n">
        <v>0</v>
      </c>
      <c r="Q369" t="n">
        <v>0</v>
      </c>
      <c r="R369" s="2" t="inlineStr"/>
    </row>
    <row r="370" ht="15" customHeight="1">
      <c r="A370" t="inlineStr">
        <is>
          <t>A 39591-2023</t>
        </is>
      </c>
      <c r="B370" s="1" t="n">
        <v>45167</v>
      </c>
      <c r="C370" s="1" t="n">
        <v>46089</v>
      </c>
      <c r="D370" t="inlineStr">
        <is>
          <t>NORRBOTTENS LÄN</t>
        </is>
      </c>
      <c r="E370" t="inlineStr">
        <is>
          <t>ARVIDSJAUR</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2286-2024</t>
        </is>
      </c>
      <c r="B371" s="1" t="n">
        <v>45310</v>
      </c>
      <c r="C371" s="1" t="n">
        <v>46089</v>
      </c>
      <c r="D371" t="inlineStr">
        <is>
          <t>NORRBOTTENS LÄN</t>
        </is>
      </c>
      <c r="E371" t="inlineStr">
        <is>
          <t>ARVIDSJAUR</t>
        </is>
      </c>
      <c r="G371" t="n">
        <v>1</v>
      </c>
      <c r="H371" t="n">
        <v>0</v>
      </c>
      <c r="I371" t="n">
        <v>0</v>
      </c>
      <c r="J371" t="n">
        <v>0</v>
      </c>
      <c r="K371" t="n">
        <v>0</v>
      </c>
      <c r="L371" t="n">
        <v>0</v>
      </c>
      <c r="M371" t="n">
        <v>0</v>
      </c>
      <c r="N371" t="n">
        <v>0</v>
      </c>
      <c r="O371" t="n">
        <v>0</v>
      </c>
      <c r="P371" t="n">
        <v>0</v>
      </c>
      <c r="Q371" t="n">
        <v>0</v>
      </c>
      <c r="R371" s="2" t="inlineStr"/>
    </row>
    <row r="372" ht="15" customHeight="1">
      <c r="A372" t="inlineStr">
        <is>
          <t>A 60560-2025</t>
        </is>
      </c>
      <c r="B372" s="1" t="n">
        <v>45994</v>
      </c>
      <c r="C372" s="1" t="n">
        <v>46089</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11030-2025</t>
        </is>
      </c>
      <c r="B373" s="1" t="n">
        <v>45723</v>
      </c>
      <c r="C373" s="1" t="n">
        <v>46089</v>
      </c>
      <c r="D373" t="inlineStr">
        <is>
          <t>NORRBOTTENS LÄN</t>
        </is>
      </c>
      <c r="E373" t="inlineStr">
        <is>
          <t>ARVIDSJAUR</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51353-2025</t>
        </is>
      </c>
      <c r="B374" s="1" t="n">
        <v>45950.43695601852</v>
      </c>
      <c r="C374" s="1" t="n">
        <v>46089</v>
      </c>
      <c r="D374" t="inlineStr">
        <is>
          <t>NORRBOTTENS LÄN</t>
        </is>
      </c>
      <c r="E374" t="inlineStr">
        <is>
          <t>ARVIDSJAUR</t>
        </is>
      </c>
      <c r="G374" t="n">
        <v>2.1</v>
      </c>
      <c r="H374" t="n">
        <v>0</v>
      </c>
      <c r="I374" t="n">
        <v>0</v>
      </c>
      <c r="J374" t="n">
        <v>0</v>
      </c>
      <c r="K374" t="n">
        <v>0</v>
      </c>
      <c r="L374" t="n">
        <v>0</v>
      </c>
      <c r="M374" t="n">
        <v>0</v>
      </c>
      <c r="N374" t="n">
        <v>0</v>
      </c>
      <c r="O374" t="n">
        <v>0</v>
      </c>
      <c r="P374" t="n">
        <v>0</v>
      </c>
      <c r="Q374" t="n">
        <v>0</v>
      </c>
      <c r="R374" s="2" t="inlineStr"/>
    </row>
    <row r="375" ht="15" customHeight="1">
      <c r="A375" t="inlineStr">
        <is>
          <t>A 10242-2026</t>
        </is>
      </c>
      <c r="B375" s="1" t="n">
        <v>46076</v>
      </c>
      <c r="C375" s="1" t="n">
        <v>46089</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11370-2026</t>
        </is>
      </c>
      <c r="B376" s="1" t="n">
        <v>46083.38574074074</v>
      </c>
      <c r="C376" s="1" t="n">
        <v>46089</v>
      </c>
      <c r="D376" t="inlineStr">
        <is>
          <t>NORRBOTTENS LÄN</t>
        </is>
      </c>
      <c r="E376" t="inlineStr">
        <is>
          <t>ARVIDSJAUR</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60391-2025</t>
        </is>
      </c>
      <c r="B377" s="1" t="n">
        <v>45995.38697916667</v>
      </c>
      <c r="C377" s="1" t="n">
        <v>46089</v>
      </c>
      <c r="D377" t="inlineStr">
        <is>
          <t>NORRBOTTENS LÄN</t>
        </is>
      </c>
      <c r="E377" t="inlineStr">
        <is>
          <t>ARVIDSJAUR</t>
        </is>
      </c>
      <c r="F377" t="inlineStr">
        <is>
          <t>Sveaskog</t>
        </is>
      </c>
      <c r="G377" t="n">
        <v>14.1</v>
      </c>
      <c r="H377" t="n">
        <v>0</v>
      </c>
      <c r="I377" t="n">
        <v>0</v>
      </c>
      <c r="J377" t="n">
        <v>0</v>
      </c>
      <c r="K377" t="n">
        <v>0</v>
      </c>
      <c r="L377" t="n">
        <v>0</v>
      </c>
      <c r="M377" t="n">
        <v>0</v>
      </c>
      <c r="N377" t="n">
        <v>0</v>
      </c>
      <c r="O377" t="n">
        <v>0</v>
      </c>
      <c r="P377" t="n">
        <v>0</v>
      </c>
      <c r="Q377" t="n">
        <v>0</v>
      </c>
      <c r="R377" s="2" t="inlineStr"/>
    </row>
    <row r="378" ht="15" customHeight="1">
      <c r="A378" t="inlineStr">
        <is>
          <t>A 3051-2026</t>
        </is>
      </c>
      <c r="B378" s="1" t="n">
        <v>46039.21565972222</v>
      </c>
      <c r="C378" s="1" t="n">
        <v>46089</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60584-2025</t>
        </is>
      </c>
      <c r="B379" s="1" t="n">
        <v>45996.33219907407</v>
      </c>
      <c r="C379" s="1" t="n">
        <v>46089</v>
      </c>
      <c r="D379" t="inlineStr">
        <is>
          <t>NORRBOTTENS LÄN</t>
        </is>
      </c>
      <c r="E379" t="inlineStr">
        <is>
          <t>ARVIDSJAUR</t>
        </is>
      </c>
      <c r="F379" t="inlineStr">
        <is>
          <t>Sveaskog</t>
        </is>
      </c>
      <c r="G379" t="n">
        <v>11.2</v>
      </c>
      <c r="H379" t="n">
        <v>0</v>
      </c>
      <c r="I379" t="n">
        <v>0</v>
      </c>
      <c r="J379" t="n">
        <v>0</v>
      </c>
      <c r="K379" t="n">
        <v>0</v>
      </c>
      <c r="L379" t="n">
        <v>0</v>
      </c>
      <c r="M379" t="n">
        <v>0</v>
      </c>
      <c r="N379" t="n">
        <v>0</v>
      </c>
      <c r="O379" t="n">
        <v>0</v>
      </c>
      <c r="P379" t="n">
        <v>0</v>
      </c>
      <c r="Q379" t="n">
        <v>0</v>
      </c>
      <c r="R379" s="2" t="inlineStr"/>
    </row>
    <row r="380" ht="15" customHeight="1">
      <c r="A380" t="inlineStr">
        <is>
          <t>A 61054-2025</t>
        </is>
      </c>
      <c r="B380" s="1" t="n">
        <v>46000</v>
      </c>
      <c r="C380" s="1" t="n">
        <v>46089</v>
      </c>
      <c r="D380" t="inlineStr">
        <is>
          <t>NORRBOTTENS LÄN</t>
        </is>
      </c>
      <c r="E380" t="inlineStr">
        <is>
          <t>ARVIDSJAUR</t>
        </is>
      </c>
      <c r="F380" t="inlineStr">
        <is>
          <t>Sveaskog</t>
        </is>
      </c>
      <c r="G380" t="n">
        <v>18.4</v>
      </c>
      <c r="H380" t="n">
        <v>0</v>
      </c>
      <c r="I380" t="n">
        <v>0</v>
      </c>
      <c r="J380" t="n">
        <v>0</v>
      </c>
      <c r="K380" t="n">
        <v>0</v>
      </c>
      <c r="L380" t="n">
        <v>0</v>
      </c>
      <c r="M380" t="n">
        <v>0</v>
      </c>
      <c r="N380" t="n">
        <v>0</v>
      </c>
      <c r="O380" t="n">
        <v>0</v>
      </c>
      <c r="P380" t="n">
        <v>0</v>
      </c>
      <c r="Q380" t="n">
        <v>0</v>
      </c>
      <c r="R380" s="2" t="inlineStr"/>
    </row>
    <row r="381" ht="15" customHeight="1">
      <c r="A381" t="inlineStr">
        <is>
          <t>A 48464-2024</t>
        </is>
      </c>
      <c r="B381" s="1" t="n">
        <v>45590</v>
      </c>
      <c r="C381" s="1" t="n">
        <v>46089</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36791-2024</t>
        </is>
      </c>
      <c r="B382" s="1" t="n">
        <v>45538</v>
      </c>
      <c r="C382" s="1" t="n">
        <v>46089</v>
      </c>
      <c r="D382" t="inlineStr">
        <is>
          <t>NORRBOTTENS LÄN</t>
        </is>
      </c>
      <c r="E382" t="inlineStr">
        <is>
          <t>ARVIDSJAUR</t>
        </is>
      </c>
      <c r="G382" t="n">
        <v>1.5</v>
      </c>
      <c r="H382" t="n">
        <v>0</v>
      </c>
      <c r="I382" t="n">
        <v>0</v>
      </c>
      <c r="J382" t="n">
        <v>0</v>
      </c>
      <c r="K382" t="n">
        <v>0</v>
      </c>
      <c r="L382" t="n">
        <v>0</v>
      </c>
      <c r="M382" t="n">
        <v>0</v>
      </c>
      <c r="N382" t="n">
        <v>0</v>
      </c>
      <c r="O382" t="n">
        <v>0</v>
      </c>
      <c r="P382" t="n">
        <v>0</v>
      </c>
      <c r="Q382" t="n">
        <v>0</v>
      </c>
      <c r="R382" s="2" t="inlineStr"/>
    </row>
    <row r="383" ht="15" customHeight="1">
      <c r="A383" t="inlineStr">
        <is>
          <t>A 61874-2025</t>
        </is>
      </c>
      <c r="B383" s="1" t="n">
        <v>46003</v>
      </c>
      <c r="C383" s="1" t="n">
        <v>46089</v>
      </c>
      <c r="D383" t="inlineStr">
        <is>
          <t>NORRBOTTENS LÄN</t>
        </is>
      </c>
      <c r="E383" t="inlineStr">
        <is>
          <t>ARVIDSJAUR</t>
        </is>
      </c>
      <c r="G383" t="n">
        <v>8.5</v>
      </c>
      <c r="H383" t="n">
        <v>0</v>
      </c>
      <c r="I383" t="n">
        <v>0</v>
      </c>
      <c r="J383" t="n">
        <v>0</v>
      </c>
      <c r="K383" t="n">
        <v>0</v>
      </c>
      <c r="L383" t="n">
        <v>0</v>
      </c>
      <c r="M383" t="n">
        <v>0</v>
      </c>
      <c r="N383" t="n">
        <v>0</v>
      </c>
      <c r="O383" t="n">
        <v>0</v>
      </c>
      <c r="P383" t="n">
        <v>0</v>
      </c>
      <c r="Q383" t="n">
        <v>0</v>
      </c>
      <c r="R383" s="2" t="inlineStr"/>
    </row>
    <row r="384" ht="15" customHeight="1">
      <c r="A384" t="inlineStr">
        <is>
          <t>A 11542-2025</t>
        </is>
      </c>
      <c r="B384" s="1" t="n">
        <v>45726</v>
      </c>
      <c r="C384" s="1" t="n">
        <v>46089</v>
      </c>
      <c r="D384" t="inlineStr">
        <is>
          <t>NORRBOTTENS LÄN</t>
        </is>
      </c>
      <c r="E384" t="inlineStr">
        <is>
          <t>ARVIDSJAUR</t>
        </is>
      </c>
      <c r="F384" t="inlineStr">
        <is>
          <t>Allmännings- och besparingsskogar</t>
        </is>
      </c>
      <c r="G384" t="n">
        <v>14.2</v>
      </c>
      <c r="H384" t="n">
        <v>0</v>
      </c>
      <c r="I384" t="n">
        <v>0</v>
      </c>
      <c r="J384" t="n">
        <v>0</v>
      </c>
      <c r="K384" t="n">
        <v>0</v>
      </c>
      <c r="L384" t="n">
        <v>0</v>
      </c>
      <c r="M384" t="n">
        <v>0</v>
      </c>
      <c r="N384" t="n">
        <v>0</v>
      </c>
      <c r="O384" t="n">
        <v>0</v>
      </c>
      <c r="P384" t="n">
        <v>0</v>
      </c>
      <c r="Q384" t="n">
        <v>0</v>
      </c>
      <c r="R384" s="2" t="inlineStr"/>
    </row>
    <row r="385" ht="15" customHeight="1">
      <c r="A385" t="inlineStr">
        <is>
          <t>A 61851-2025</t>
        </is>
      </c>
      <c r="B385" s="1" t="n">
        <v>46003</v>
      </c>
      <c r="C385" s="1" t="n">
        <v>46089</v>
      </c>
      <c r="D385" t="inlineStr">
        <is>
          <t>NORRBOTTENS LÄN</t>
        </is>
      </c>
      <c r="E385" t="inlineStr">
        <is>
          <t>ARVIDSJAUR</t>
        </is>
      </c>
      <c r="G385" t="n">
        <v>3.5</v>
      </c>
      <c r="H385" t="n">
        <v>0</v>
      </c>
      <c r="I385" t="n">
        <v>0</v>
      </c>
      <c r="J385" t="n">
        <v>0</v>
      </c>
      <c r="K385" t="n">
        <v>0</v>
      </c>
      <c r="L385" t="n">
        <v>0</v>
      </c>
      <c r="M385" t="n">
        <v>0</v>
      </c>
      <c r="N385" t="n">
        <v>0</v>
      </c>
      <c r="O385" t="n">
        <v>0</v>
      </c>
      <c r="P385" t="n">
        <v>0</v>
      </c>
      <c r="Q385" t="n">
        <v>0</v>
      </c>
      <c r="R385" s="2" t="inlineStr"/>
    </row>
    <row r="386" ht="15" customHeight="1">
      <c r="A386" t="inlineStr">
        <is>
          <t>A 11670-2026</t>
        </is>
      </c>
      <c r="B386" s="1" t="n">
        <v>46084.5583449074</v>
      </c>
      <c r="C386" s="1" t="n">
        <v>46089</v>
      </c>
      <c r="D386" t="inlineStr">
        <is>
          <t>NORRBOTTENS LÄN</t>
        </is>
      </c>
      <c r="E386" t="inlineStr">
        <is>
          <t>ARVIDSJAUR</t>
        </is>
      </c>
      <c r="G386" t="n">
        <v>2.7</v>
      </c>
      <c r="H386" t="n">
        <v>0</v>
      </c>
      <c r="I386" t="n">
        <v>0</v>
      </c>
      <c r="J386" t="n">
        <v>0</v>
      </c>
      <c r="K386" t="n">
        <v>0</v>
      </c>
      <c r="L386" t="n">
        <v>0</v>
      </c>
      <c r="M386" t="n">
        <v>0</v>
      </c>
      <c r="N386" t="n">
        <v>0</v>
      </c>
      <c r="O386" t="n">
        <v>0</v>
      </c>
      <c r="P386" t="n">
        <v>0</v>
      </c>
      <c r="Q386" t="n">
        <v>0</v>
      </c>
      <c r="R386" s="2" t="inlineStr"/>
    </row>
    <row r="387" ht="15" customHeight="1">
      <c r="A387" t="inlineStr">
        <is>
          <t>A 11565-2026</t>
        </is>
      </c>
      <c r="B387" s="1" t="n">
        <v>46084.36946759259</v>
      </c>
      <c r="C387" s="1" t="n">
        <v>46089</v>
      </c>
      <c r="D387" t="inlineStr">
        <is>
          <t>NORRBOTTENS LÄN</t>
        </is>
      </c>
      <c r="E387" t="inlineStr">
        <is>
          <t>ARVIDSJAUR</t>
        </is>
      </c>
      <c r="G387" t="n">
        <v>3.5</v>
      </c>
      <c r="H387" t="n">
        <v>0</v>
      </c>
      <c r="I387" t="n">
        <v>0</v>
      </c>
      <c r="J387" t="n">
        <v>0</v>
      </c>
      <c r="K387" t="n">
        <v>0</v>
      </c>
      <c r="L387" t="n">
        <v>0</v>
      </c>
      <c r="M387" t="n">
        <v>0</v>
      </c>
      <c r="N387" t="n">
        <v>0</v>
      </c>
      <c r="O387" t="n">
        <v>0</v>
      </c>
      <c r="P387" t="n">
        <v>0</v>
      </c>
      <c r="Q387" t="n">
        <v>0</v>
      </c>
      <c r="R387" s="2" t="inlineStr"/>
    </row>
    <row r="388" ht="15" customHeight="1">
      <c r="A388" t="inlineStr">
        <is>
          <t>A 11674-2026</t>
        </is>
      </c>
      <c r="B388" s="1" t="n">
        <v>46084.56123842593</v>
      </c>
      <c r="C388" s="1" t="n">
        <v>46089</v>
      </c>
      <c r="D388" t="inlineStr">
        <is>
          <t>NORRBOTTENS LÄN</t>
        </is>
      </c>
      <c r="E388" t="inlineStr">
        <is>
          <t>ARVIDSJAUR</t>
        </is>
      </c>
      <c r="G388" t="n">
        <v>1.4</v>
      </c>
      <c r="H388" t="n">
        <v>0</v>
      </c>
      <c r="I388" t="n">
        <v>0</v>
      </c>
      <c r="J388" t="n">
        <v>0</v>
      </c>
      <c r="K388" t="n">
        <v>0</v>
      </c>
      <c r="L388" t="n">
        <v>0</v>
      </c>
      <c r="M388" t="n">
        <v>0</v>
      </c>
      <c r="N388" t="n">
        <v>0</v>
      </c>
      <c r="O388" t="n">
        <v>0</v>
      </c>
      <c r="P388" t="n">
        <v>0</v>
      </c>
      <c r="Q388" t="n">
        <v>0</v>
      </c>
      <c r="R388" s="2" t="inlineStr"/>
    </row>
    <row r="389" ht="15" customHeight="1">
      <c r="A389" t="inlineStr">
        <is>
          <t>A 62286-2025</t>
        </is>
      </c>
      <c r="B389" s="1" t="n">
        <v>46006</v>
      </c>
      <c r="C389" s="1" t="n">
        <v>46089</v>
      </c>
      <c r="D389" t="inlineStr">
        <is>
          <t>NORRBOTTENS LÄN</t>
        </is>
      </c>
      <c r="E389" t="inlineStr">
        <is>
          <t>ARVIDSJAUR</t>
        </is>
      </c>
      <c r="F389" t="inlineStr">
        <is>
          <t>Allmännings- och besparingsskogar</t>
        </is>
      </c>
      <c r="G389" t="n">
        <v>15.1</v>
      </c>
      <c r="H389" t="n">
        <v>0</v>
      </c>
      <c r="I389" t="n">
        <v>0</v>
      </c>
      <c r="J389" t="n">
        <v>0</v>
      </c>
      <c r="K389" t="n">
        <v>0</v>
      </c>
      <c r="L389" t="n">
        <v>0</v>
      </c>
      <c r="M389" t="n">
        <v>0</v>
      </c>
      <c r="N389" t="n">
        <v>0</v>
      </c>
      <c r="O389" t="n">
        <v>0</v>
      </c>
      <c r="P389" t="n">
        <v>0</v>
      </c>
      <c r="Q389" t="n">
        <v>0</v>
      </c>
      <c r="R389" s="2" t="inlineStr"/>
    </row>
    <row r="390" ht="15" customHeight="1">
      <c r="A390" t="inlineStr">
        <is>
          <t>A 11567-2026</t>
        </is>
      </c>
      <c r="B390" s="1" t="n">
        <v>46084.37118055556</v>
      </c>
      <c r="C390" s="1" t="n">
        <v>46089</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27778-2023</t>
        </is>
      </c>
      <c r="B391" s="1" t="n">
        <v>45098</v>
      </c>
      <c r="C391" s="1" t="n">
        <v>46089</v>
      </c>
      <c r="D391" t="inlineStr">
        <is>
          <t>NORRBOTTENS LÄN</t>
        </is>
      </c>
      <c r="E391" t="inlineStr">
        <is>
          <t>ARVIDSJAUR</t>
        </is>
      </c>
      <c r="F391" t="inlineStr">
        <is>
          <t>Sveaskog</t>
        </is>
      </c>
      <c r="G391" t="n">
        <v>15.2</v>
      </c>
      <c r="H391" t="n">
        <v>0</v>
      </c>
      <c r="I391" t="n">
        <v>0</v>
      </c>
      <c r="J391" t="n">
        <v>0</v>
      </c>
      <c r="K391" t="n">
        <v>0</v>
      </c>
      <c r="L391" t="n">
        <v>0</v>
      </c>
      <c r="M391" t="n">
        <v>0</v>
      </c>
      <c r="N391" t="n">
        <v>0</v>
      </c>
      <c r="O391" t="n">
        <v>0</v>
      </c>
      <c r="P391" t="n">
        <v>0</v>
      </c>
      <c r="Q391" t="n">
        <v>0</v>
      </c>
      <c r="R391" s="2" t="inlineStr"/>
    </row>
    <row r="392" ht="15" customHeight="1">
      <c r="A392" t="inlineStr">
        <is>
          <t>A 5314-2026</t>
        </is>
      </c>
      <c r="B392" s="1" t="n">
        <v>46050.37045138889</v>
      </c>
      <c r="C392" s="1" t="n">
        <v>46089</v>
      </c>
      <c r="D392" t="inlineStr">
        <is>
          <t>NORRBOTTENS LÄN</t>
        </is>
      </c>
      <c r="E392" t="inlineStr">
        <is>
          <t>ARVIDSJAUR</t>
        </is>
      </c>
      <c r="F392" t="inlineStr">
        <is>
          <t>Allmännings- och besparingsskogar</t>
        </is>
      </c>
      <c r="G392" t="n">
        <v>1.3</v>
      </c>
      <c r="H392" t="n">
        <v>0</v>
      </c>
      <c r="I392" t="n">
        <v>0</v>
      </c>
      <c r="J392" t="n">
        <v>0</v>
      </c>
      <c r="K392" t="n">
        <v>0</v>
      </c>
      <c r="L392" t="n">
        <v>0</v>
      </c>
      <c r="M392" t="n">
        <v>0</v>
      </c>
      <c r="N392" t="n">
        <v>0</v>
      </c>
      <c r="O392" t="n">
        <v>0</v>
      </c>
      <c r="P392" t="n">
        <v>0</v>
      </c>
      <c r="Q392" t="n">
        <v>0</v>
      </c>
      <c r="R392" s="2" t="inlineStr"/>
    </row>
    <row r="393" ht="15" customHeight="1">
      <c r="A393" t="inlineStr">
        <is>
          <t>A 32268-2023</t>
        </is>
      </c>
      <c r="B393" s="1" t="n">
        <v>45120</v>
      </c>
      <c r="C393" s="1" t="n">
        <v>46089</v>
      </c>
      <c r="D393" t="inlineStr">
        <is>
          <t>NORRBOTTENS LÄN</t>
        </is>
      </c>
      <c r="E393" t="inlineStr">
        <is>
          <t>ARVIDSJAUR</t>
        </is>
      </c>
      <c r="F393" t="inlineStr">
        <is>
          <t>Sveaskog</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45188-2025</t>
        </is>
      </c>
      <c r="B394" s="1" t="n">
        <v>45919</v>
      </c>
      <c r="C394" s="1" t="n">
        <v>46089</v>
      </c>
      <c r="D394" t="inlineStr">
        <is>
          <t>NORRBOTTENS LÄN</t>
        </is>
      </c>
      <c r="E394" t="inlineStr">
        <is>
          <t>ARVIDSJAUR</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46045.4275</v>
      </c>
      <c r="C395" s="1" t="n">
        <v>46089</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12290-2026</t>
        </is>
      </c>
      <c r="B396" s="1" t="n">
        <v>46087</v>
      </c>
      <c r="C396" s="1" t="n">
        <v>46089</v>
      </c>
      <c r="D396" t="inlineStr">
        <is>
          <t>NORRBOTTENS LÄN</t>
        </is>
      </c>
      <c r="E396" t="inlineStr">
        <is>
          <t>ARVIDSJAUR</t>
        </is>
      </c>
      <c r="G396" t="n">
        <v>4.9</v>
      </c>
      <c r="H396" t="n">
        <v>0</v>
      </c>
      <c r="I396" t="n">
        <v>0</v>
      </c>
      <c r="J396" t="n">
        <v>0</v>
      </c>
      <c r="K396" t="n">
        <v>0</v>
      </c>
      <c r="L396" t="n">
        <v>0</v>
      </c>
      <c r="M396" t="n">
        <v>0</v>
      </c>
      <c r="N396" t="n">
        <v>0</v>
      </c>
      <c r="O396" t="n">
        <v>0</v>
      </c>
      <c r="P396" t="n">
        <v>0</v>
      </c>
      <c r="Q396" t="n">
        <v>0</v>
      </c>
      <c r="R396" s="2" t="inlineStr"/>
    </row>
    <row r="397" ht="15" customHeight="1">
      <c r="A397" t="inlineStr">
        <is>
          <t>A 5849-2026</t>
        </is>
      </c>
      <c r="B397" s="1" t="n">
        <v>46052.35591435185</v>
      </c>
      <c r="C397" s="1" t="n">
        <v>46089</v>
      </c>
      <c r="D397" t="inlineStr">
        <is>
          <t>NORRBOTTENS LÄN</t>
        </is>
      </c>
      <c r="E397" t="inlineStr">
        <is>
          <t>ARVIDSJAUR</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11623-2025</t>
        </is>
      </c>
      <c r="B398" s="1" t="n">
        <v>45726</v>
      </c>
      <c r="C398" s="1" t="n">
        <v>46089</v>
      </c>
      <c r="D398" t="inlineStr">
        <is>
          <t>NORRBOTTENS LÄN</t>
        </is>
      </c>
      <c r="E398" t="inlineStr">
        <is>
          <t>ARVIDSJAUR</t>
        </is>
      </c>
      <c r="F398" t="inlineStr">
        <is>
          <t>Allmännings- och besparingsskogar</t>
        </is>
      </c>
      <c r="G398" t="n">
        <v>1.3</v>
      </c>
      <c r="H398" t="n">
        <v>0</v>
      </c>
      <c r="I398" t="n">
        <v>0</v>
      </c>
      <c r="J398" t="n">
        <v>0</v>
      </c>
      <c r="K398" t="n">
        <v>0</v>
      </c>
      <c r="L398" t="n">
        <v>0</v>
      </c>
      <c r="M398" t="n">
        <v>0</v>
      </c>
      <c r="N398" t="n">
        <v>0</v>
      </c>
      <c r="O398" t="n">
        <v>0</v>
      </c>
      <c r="P398" t="n">
        <v>0</v>
      </c>
      <c r="Q398" t="n">
        <v>0</v>
      </c>
      <c r="R398" s="2" t="inlineStr"/>
    </row>
    <row r="399" ht="15" customHeight="1">
      <c r="A399" t="inlineStr">
        <is>
          <t>A 11626-2025</t>
        </is>
      </c>
      <c r="B399" s="1" t="n">
        <v>45726</v>
      </c>
      <c r="C399" s="1" t="n">
        <v>46089</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63135-2025</t>
        </is>
      </c>
      <c r="B400" s="1" t="n">
        <v>46010</v>
      </c>
      <c r="C400" s="1" t="n">
        <v>46089</v>
      </c>
      <c r="D400" t="inlineStr">
        <is>
          <t>NORRBOTTENS LÄN</t>
        </is>
      </c>
      <c r="E400" t="inlineStr">
        <is>
          <t>ARVIDSJAUR</t>
        </is>
      </c>
      <c r="F400" t="inlineStr">
        <is>
          <t>Allmännings- och besparingsskogar</t>
        </is>
      </c>
      <c r="G400" t="n">
        <v>10.7</v>
      </c>
      <c r="H400" t="n">
        <v>0</v>
      </c>
      <c r="I400" t="n">
        <v>0</v>
      </c>
      <c r="J400" t="n">
        <v>0</v>
      </c>
      <c r="K400" t="n">
        <v>0</v>
      </c>
      <c r="L400" t="n">
        <v>0</v>
      </c>
      <c r="M400" t="n">
        <v>0</v>
      </c>
      <c r="N400" t="n">
        <v>0</v>
      </c>
      <c r="O400" t="n">
        <v>0</v>
      </c>
      <c r="P400" t="n">
        <v>0</v>
      </c>
      <c r="Q400" t="n">
        <v>0</v>
      </c>
      <c r="R400" s="2" t="inlineStr"/>
    </row>
    <row r="401" ht="15" customHeight="1">
      <c r="A401" t="inlineStr">
        <is>
          <t>A 5851-2026</t>
        </is>
      </c>
      <c r="B401" s="1" t="n">
        <v>46052.35887731481</v>
      </c>
      <c r="C401" s="1" t="n">
        <v>46089</v>
      </c>
      <c r="D401" t="inlineStr">
        <is>
          <t>NORRBOTTENS LÄN</t>
        </is>
      </c>
      <c r="E401" t="inlineStr">
        <is>
          <t>ARVIDSJAUR</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5853-2026</t>
        </is>
      </c>
      <c r="B402" s="1" t="n">
        <v>46052.36274305556</v>
      </c>
      <c r="C402" s="1" t="n">
        <v>46089</v>
      </c>
      <c r="D402" t="inlineStr">
        <is>
          <t>NORRBOTTENS LÄN</t>
        </is>
      </c>
      <c r="E402" t="inlineStr">
        <is>
          <t>ARVIDSJAUR</t>
        </is>
      </c>
      <c r="F402" t="inlineStr">
        <is>
          <t>Sveaskog</t>
        </is>
      </c>
      <c r="G402" t="n">
        <v>7</v>
      </c>
      <c r="H402" t="n">
        <v>0</v>
      </c>
      <c r="I402" t="n">
        <v>0</v>
      </c>
      <c r="J402" t="n">
        <v>0</v>
      </c>
      <c r="K402" t="n">
        <v>0</v>
      </c>
      <c r="L402" t="n">
        <v>0</v>
      </c>
      <c r="M402" t="n">
        <v>0</v>
      </c>
      <c r="N402" t="n">
        <v>0</v>
      </c>
      <c r="O402" t="n">
        <v>0</v>
      </c>
      <c r="P402" t="n">
        <v>0</v>
      </c>
      <c r="Q402" t="n">
        <v>0</v>
      </c>
      <c r="R402" s="2" t="inlineStr"/>
    </row>
    <row r="403" ht="15" customHeight="1">
      <c r="A403" t="inlineStr">
        <is>
          <t>A 64113-2025</t>
        </is>
      </c>
      <c r="B403" s="1" t="n">
        <v>46013</v>
      </c>
      <c r="C403" s="1" t="n">
        <v>46089</v>
      </c>
      <c r="D403" t="inlineStr">
        <is>
          <t>NORRBOTTENS LÄN</t>
        </is>
      </c>
      <c r="E403" t="inlineStr">
        <is>
          <t>ARVIDSJAUR</t>
        </is>
      </c>
      <c r="G403" t="n">
        <v>14.4</v>
      </c>
      <c r="H403" t="n">
        <v>0</v>
      </c>
      <c r="I403" t="n">
        <v>0</v>
      </c>
      <c r="J403" t="n">
        <v>0</v>
      </c>
      <c r="K403" t="n">
        <v>0</v>
      </c>
      <c r="L403" t="n">
        <v>0</v>
      </c>
      <c r="M403" t="n">
        <v>0</v>
      </c>
      <c r="N403" t="n">
        <v>0</v>
      </c>
      <c r="O403" t="n">
        <v>0</v>
      </c>
      <c r="P403" t="n">
        <v>0</v>
      </c>
      <c r="Q403" t="n">
        <v>0</v>
      </c>
      <c r="R403" s="2" t="inlineStr"/>
    </row>
    <row r="404" ht="15" customHeight="1">
      <c r="A404" t="inlineStr">
        <is>
          <t>A 41313-2021</t>
        </is>
      </c>
      <c r="B404" s="1" t="n">
        <v>44424</v>
      </c>
      <c r="C404" s="1" t="n">
        <v>46089</v>
      </c>
      <c r="D404" t="inlineStr">
        <is>
          <t>NORRBOTTENS LÄN</t>
        </is>
      </c>
      <c r="E404" t="inlineStr">
        <is>
          <t>ARVIDSJAUR</t>
        </is>
      </c>
      <c r="G404" t="n">
        <v>2</v>
      </c>
      <c r="H404" t="n">
        <v>0</v>
      </c>
      <c r="I404" t="n">
        <v>0</v>
      </c>
      <c r="J404" t="n">
        <v>0</v>
      </c>
      <c r="K404" t="n">
        <v>0</v>
      </c>
      <c r="L404" t="n">
        <v>0</v>
      </c>
      <c r="M404" t="n">
        <v>0</v>
      </c>
      <c r="N404" t="n">
        <v>0</v>
      </c>
      <c r="O404" t="n">
        <v>0</v>
      </c>
      <c r="P404" t="n">
        <v>0</v>
      </c>
      <c r="Q404" t="n">
        <v>0</v>
      </c>
      <c r="R404" s="2" t="inlineStr"/>
    </row>
    <row r="405" ht="15" customHeight="1">
      <c r="A405" t="inlineStr">
        <is>
          <t>A 20811-2024</t>
        </is>
      </c>
      <c r="B405" s="1" t="n">
        <v>45439</v>
      </c>
      <c r="C405" s="1" t="n">
        <v>46089</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46089</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11574-2025</t>
        </is>
      </c>
      <c r="B407" s="1" t="n">
        <v>45726</v>
      </c>
      <c r="C407" s="1" t="n">
        <v>46089</v>
      </c>
      <c r="D407" t="inlineStr">
        <is>
          <t>NORRBOTTENS LÄN</t>
        </is>
      </c>
      <c r="E407" t="inlineStr">
        <is>
          <t>ARVIDSJAUR</t>
        </is>
      </c>
      <c r="F407" t="inlineStr">
        <is>
          <t>Allmännings- och besparingsskogar</t>
        </is>
      </c>
      <c r="G407" t="n">
        <v>3.6</v>
      </c>
      <c r="H407" t="n">
        <v>0</v>
      </c>
      <c r="I407" t="n">
        <v>0</v>
      </c>
      <c r="J407" t="n">
        <v>0</v>
      </c>
      <c r="K407" t="n">
        <v>0</v>
      </c>
      <c r="L407" t="n">
        <v>0</v>
      </c>
      <c r="M407" t="n">
        <v>0</v>
      </c>
      <c r="N407" t="n">
        <v>0</v>
      </c>
      <c r="O407" t="n">
        <v>0</v>
      </c>
      <c r="P407" t="n">
        <v>0</v>
      </c>
      <c r="Q407" t="n">
        <v>0</v>
      </c>
      <c r="R407" s="2" t="inlineStr"/>
    </row>
    <row r="408" ht="15" customHeight="1">
      <c r="A408" t="inlineStr">
        <is>
          <t>A 11591-2025</t>
        </is>
      </c>
      <c r="B408" s="1" t="n">
        <v>45726</v>
      </c>
      <c r="C408" s="1" t="n">
        <v>46089</v>
      </c>
      <c r="D408" t="inlineStr">
        <is>
          <t>NORRBOTTENS LÄN</t>
        </is>
      </c>
      <c r="E408" t="inlineStr">
        <is>
          <t>ARVIDSJAUR</t>
        </is>
      </c>
      <c r="F408" t="inlineStr">
        <is>
          <t>Allmännings- och besparingsskogar</t>
        </is>
      </c>
      <c r="G408" t="n">
        <v>10.9</v>
      </c>
      <c r="H408" t="n">
        <v>0</v>
      </c>
      <c r="I408" t="n">
        <v>0</v>
      </c>
      <c r="J408" t="n">
        <v>0</v>
      </c>
      <c r="K408" t="n">
        <v>0</v>
      </c>
      <c r="L408" t="n">
        <v>0</v>
      </c>
      <c r="M408" t="n">
        <v>0</v>
      </c>
      <c r="N408" t="n">
        <v>0</v>
      </c>
      <c r="O408" t="n">
        <v>0</v>
      </c>
      <c r="P408" t="n">
        <v>0</v>
      </c>
      <c r="Q408" t="n">
        <v>0</v>
      </c>
      <c r="R408" s="2" t="inlineStr"/>
    </row>
    <row r="409" ht="15" customHeight="1">
      <c r="A409" t="inlineStr">
        <is>
          <t>A 6653-2026</t>
        </is>
      </c>
      <c r="B409" s="1" t="n">
        <v>46056.55535879629</v>
      </c>
      <c r="C409" s="1" t="n">
        <v>46089</v>
      </c>
      <c r="D409" t="inlineStr">
        <is>
          <t>NORRBOTTENS LÄN</t>
        </is>
      </c>
      <c r="E409" t="inlineStr">
        <is>
          <t>ARVIDSJAUR</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46089</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41872-2021</t>
        </is>
      </c>
      <c r="B411" s="1" t="n">
        <v>44426</v>
      </c>
      <c r="C411" s="1" t="n">
        <v>46089</v>
      </c>
      <c r="D411" t="inlineStr">
        <is>
          <t>NORRBOTTENS LÄN</t>
        </is>
      </c>
      <c r="E411" t="inlineStr">
        <is>
          <t>ARVIDSJAUR</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49172-2024</t>
        </is>
      </c>
      <c r="B412" s="1" t="n">
        <v>45595.31174768518</v>
      </c>
      <c r="C412" s="1" t="n">
        <v>46089</v>
      </c>
      <c r="D412" t="inlineStr">
        <is>
          <t>NORRBOTTENS LÄN</t>
        </is>
      </c>
      <c r="E412" t="inlineStr">
        <is>
          <t>ARVIDSJAUR</t>
        </is>
      </c>
      <c r="F412" t="inlineStr">
        <is>
          <t>Sveaskog</t>
        </is>
      </c>
      <c r="G412" t="n">
        <v>10.8</v>
      </c>
      <c r="H412" t="n">
        <v>0</v>
      </c>
      <c r="I412" t="n">
        <v>0</v>
      </c>
      <c r="J412" t="n">
        <v>0</v>
      </c>
      <c r="K412" t="n">
        <v>0</v>
      </c>
      <c r="L412" t="n">
        <v>0</v>
      </c>
      <c r="M412" t="n">
        <v>0</v>
      </c>
      <c r="N412" t="n">
        <v>0</v>
      </c>
      <c r="O412" t="n">
        <v>0</v>
      </c>
      <c r="P412" t="n">
        <v>0</v>
      </c>
      <c r="Q412" t="n">
        <v>0</v>
      </c>
      <c r="R412" s="2" t="inlineStr"/>
    </row>
    <row r="413" ht="15" customHeight="1">
      <c r="A413" t="inlineStr">
        <is>
          <t>A 54218-2024</t>
        </is>
      </c>
      <c r="B413" s="1" t="n">
        <v>45616</v>
      </c>
      <c r="C413" s="1" t="n">
        <v>46089</v>
      </c>
      <c r="D413" t="inlineStr">
        <is>
          <t>NORRBOTTENS LÄN</t>
        </is>
      </c>
      <c r="E413" t="inlineStr">
        <is>
          <t>ARVIDSJAUR</t>
        </is>
      </c>
      <c r="G413" t="n">
        <v>4.4</v>
      </c>
      <c r="H413" t="n">
        <v>0</v>
      </c>
      <c r="I413" t="n">
        <v>0</v>
      </c>
      <c r="J413" t="n">
        <v>0</v>
      </c>
      <c r="K413" t="n">
        <v>0</v>
      </c>
      <c r="L413" t="n">
        <v>0</v>
      </c>
      <c r="M413" t="n">
        <v>0</v>
      </c>
      <c r="N413" t="n">
        <v>0</v>
      </c>
      <c r="O413" t="n">
        <v>0</v>
      </c>
      <c r="P413" t="n">
        <v>0</v>
      </c>
      <c r="Q413" t="n">
        <v>0</v>
      </c>
      <c r="R413" s="2" t="inlineStr"/>
    </row>
    <row r="414" ht="15" customHeight="1">
      <c r="A414" t="inlineStr">
        <is>
          <t>A 40836-2021</t>
        </is>
      </c>
      <c r="B414" s="1" t="n">
        <v>44421</v>
      </c>
      <c r="C414" s="1" t="n">
        <v>46089</v>
      </c>
      <c r="D414" t="inlineStr">
        <is>
          <t>NORRBOTTENS LÄN</t>
        </is>
      </c>
      <c r="E414" t="inlineStr">
        <is>
          <t>ARVIDSJAUR</t>
        </is>
      </c>
      <c r="G414" t="n">
        <v>1.5</v>
      </c>
      <c r="H414" t="n">
        <v>0</v>
      </c>
      <c r="I414" t="n">
        <v>0</v>
      </c>
      <c r="J414" t="n">
        <v>0</v>
      </c>
      <c r="K414" t="n">
        <v>0</v>
      </c>
      <c r="L414" t="n">
        <v>0</v>
      </c>
      <c r="M414" t="n">
        <v>0</v>
      </c>
      <c r="N414" t="n">
        <v>0</v>
      </c>
      <c r="O414" t="n">
        <v>0</v>
      </c>
      <c r="P414" t="n">
        <v>0</v>
      </c>
      <c r="Q414" t="n">
        <v>0</v>
      </c>
      <c r="R414" s="2" t="inlineStr"/>
    </row>
    <row r="415" ht="15" customHeight="1">
      <c r="A415" t="inlineStr">
        <is>
          <t>A 48614-2024</t>
        </is>
      </c>
      <c r="B415" s="1" t="n">
        <v>45593</v>
      </c>
      <c r="C415" s="1" t="n">
        <v>46089</v>
      </c>
      <c r="D415" t="inlineStr">
        <is>
          <t>NORRBOTTENS LÄN</t>
        </is>
      </c>
      <c r="E415" t="inlineStr">
        <is>
          <t>ARVIDSJAUR</t>
        </is>
      </c>
      <c r="G415" t="n">
        <v>13.4</v>
      </c>
      <c r="H415" t="n">
        <v>0</v>
      </c>
      <c r="I415" t="n">
        <v>0</v>
      </c>
      <c r="J415" t="n">
        <v>0</v>
      </c>
      <c r="K415" t="n">
        <v>0</v>
      </c>
      <c r="L415" t="n">
        <v>0</v>
      </c>
      <c r="M415" t="n">
        <v>0</v>
      </c>
      <c r="N415" t="n">
        <v>0</v>
      </c>
      <c r="O415" t="n">
        <v>0</v>
      </c>
      <c r="P415" t="n">
        <v>0</v>
      </c>
      <c r="Q415" t="n">
        <v>0</v>
      </c>
      <c r="R415" s="2" t="inlineStr"/>
    </row>
    <row r="416" ht="15" customHeight="1">
      <c r="A416" t="inlineStr">
        <is>
          <t>A 3165-2024</t>
        </is>
      </c>
      <c r="B416" s="1" t="n">
        <v>45316</v>
      </c>
      <c r="C416" s="1" t="n">
        <v>46089</v>
      </c>
      <c r="D416" t="inlineStr">
        <is>
          <t>NORRBOTTENS LÄN</t>
        </is>
      </c>
      <c r="E416" t="inlineStr">
        <is>
          <t>ARVIDSJAUR</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40500-2022</t>
        </is>
      </c>
      <c r="B417" s="1" t="n">
        <v>44819</v>
      </c>
      <c r="C417" s="1" t="n">
        <v>46089</v>
      </c>
      <c r="D417" t="inlineStr">
        <is>
          <t>NORRBOTTENS LÄN</t>
        </is>
      </c>
      <c r="E417" t="inlineStr">
        <is>
          <t>ARVIDSJAUR</t>
        </is>
      </c>
      <c r="F417" t="inlineStr">
        <is>
          <t>Allmännings- och besparingsskogar</t>
        </is>
      </c>
      <c r="G417" t="n">
        <v>3.5</v>
      </c>
      <c r="H417" t="n">
        <v>0</v>
      </c>
      <c r="I417" t="n">
        <v>0</v>
      </c>
      <c r="J417" t="n">
        <v>0</v>
      </c>
      <c r="K417" t="n">
        <v>0</v>
      </c>
      <c r="L417" t="n">
        <v>0</v>
      </c>
      <c r="M417" t="n">
        <v>0</v>
      </c>
      <c r="N417" t="n">
        <v>0</v>
      </c>
      <c r="O417" t="n">
        <v>0</v>
      </c>
      <c r="P417" t="n">
        <v>0</v>
      </c>
      <c r="Q417" t="n">
        <v>0</v>
      </c>
      <c r="R417" s="2" t="inlineStr"/>
    </row>
    <row r="418" ht="15" customHeight="1">
      <c r="A418" t="inlineStr">
        <is>
          <t>A 48364-2024</t>
        </is>
      </c>
      <c r="B418" s="1" t="n">
        <v>45590.57606481481</v>
      </c>
      <c r="C418" s="1" t="n">
        <v>46089</v>
      </c>
      <c r="D418" t="inlineStr">
        <is>
          <t>NORRBOTTENS LÄN</t>
        </is>
      </c>
      <c r="E418" t="inlineStr">
        <is>
          <t>ARVIDSJAUR</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46089</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41659-2024</t>
        </is>
      </c>
      <c r="B420" s="1" t="n">
        <v>45560</v>
      </c>
      <c r="C420" s="1" t="n">
        <v>46089</v>
      </c>
      <c r="D420" t="inlineStr">
        <is>
          <t>NORRBOTTENS LÄN</t>
        </is>
      </c>
      <c r="E420" t="inlineStr">
        <is>
          <t>ARVIDSJAUR</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46072-2021</t>
        </is>
      </c>
      <c r="B421" s="1" t="n">
        <v>44442</v>
      </c>
      <c r="C421" s="1" t="n">
        <v>46089</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46089</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29674-2024</t>
        </is>
      </c>
      <c r="B423" s="1" t="n">
        <v>45484.94219907407</v>
      </c>
      <c r="C423" s="1" t="n">
        <v>46089</v>
      </c>
      <c r="D423" t="inlineStr">
        <is>
          <t>NORRBOTTENS LÄN</t>
        </is>
      </c>
      <c r="E423" t="inlineStr">
        <is>
          <t>ARVIDSJAUR</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29681-2024</t>
        </is>
      </c>
      <c r="B424" s="1" t="n">
        <v>45484.94334490741</v>
      </c>
      <c r="C424" s="1" t="n">
        <v>46089</v>
      </c>
      <c r="D424" t="inlineStr">
        <is>
          <t>NORRBOTTENS LÄN</t>
        </is>
      </c>
      <c r="E424" t="inlineStr">
        <is>
          <t>ARVIDSJAUR</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27944-2024</t>
        </is>
      </c>
      <c r="B425" s="1" t="n">
        <v>45476</v>
      </c>
      <c r="C425" s="1" t="n">
        <v>46089</v>
      </c>
      <c r="D425" t="inlineStr">
        <is>
          <t>NORRBOTTENS LÄN</t>
        </is>
      </c>
      <c r="E425" t="inlineStr">
        <is>
          <t>ARVIDSJAUR</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34510-2021</t>
        </is>
      </c>
      <c r="B426" s="1" t="n">
        <v>44382</v>
      </c>
      <c r="C426" s="1" t="n">
        <v>46089</v>
      </c>
      <c r="D426" t="inlineStr">
        <is>
          <t>NORRBOTTENS LÄN</t>
        </is>
      </c>
      <c r="E426" t="inlineStr">
        <is>
          <t>ARVIDSJAUR</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36815-2024</t>
        </is>
      </c>
      <c r="B427" s="1" t="n">
        <v>45538</v>
      </c>
      <c r="C427" s="1" t="n">
        <v>46089</v>
      </c>
      <c r="D427" t="inlineStr">
        <is>
          <t>NORRBOTTENS LÄN</t>
        </is>
      </c>
      <c r="E427" t="inlineStr">
        <is>
          <t>ARVIDSJAUR</t>
        </is>
      </c>
      <c r="G427" t="n">
        <v>6</v>
      </c>
      <c r="H427" t="n">
        <v>0</v>
      </c>
      <c r="I427" t="n">
        <v>0</v>
      </c>
      <c r="J427" t="n">
        <v>0</v>
      </c>
      <c r="K427" t="n">
        <v>0</v>
      </c>
      <c r="L427" t="n">
        <v>0</v>
      </c>
      <c r="M427" t="n">
        <v>0</v>
      </c>
      <c r="N427" t="n">
        <v>0</v>
      </c>
      <c r="O427" t="n">
        <v>0</v>
      </c>
      <c r="P427" t="n">
        <v>0</v>
      </c>
      <c r="Q427" t="n">
        <v>0</v>
      </c>
      <c r="R427" s="2" t="inlineStr"/>
    </row>
    <row r="428" ht="15" customHeight="1">
      <c r="A428" t="inlineStr">
        <is>
          <t>A 58942-2024</t>
        </is>
      </c>
      <c r="B428" s="1" t="n">
        <v>45636</v>
      </c>
      <c r="C428" s="1" t="n">
        <v>46089</v>
      </c>
      <c r="D428" t="inlineStr">
        <is>
          <t>NORRBOTTENS LÄN</t>
        </is>
      </c>
      <c r="E428" t="inlineStr">
        <is>
          <t>ARVIDSJAUR</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61133-2022</t>
        </is>
      </c>
      <c r="B429" s="1" t="n">
        <v>44915.44876157407</v>
      </c>
      <c r="C429" s="1" t="n">
        <v>46089</v>
      </c>
      <c r="D429" t="inlineStr">
        <is>
          <t>NORRBOTTENS LÄN</t>
        </is>
      </c>
      <c r="E429" t="inlineStr">
        <is>
          <t>ARVIDSJAUR</t>
        </is>
      </c>
      <c r="F429" t="inlineStr">
        <is>
          <t>Sveaskog</t>
        </is>
      </c>
      <c r="G429" t="n">
        <v>7.6</v>
      </c>
      <c r="H429" t="n">
        <v>0</v>
      </c>
      <c r="I429" t="n">
        <v>0</v>
      </c>
      <c r="J429" t="n">
        <v>0</v>
      </c>
      <c r="K429" t="n">
        <v>0</v>
      </c>
      <c r="L429" t="n">
        <v>0</v>
      </c>
      <c r="M429" t="n">
        <v>0</v>
      </c>
      <c r="N429" t="n">
        <v>0</v>
      </c>
      <c r="O429" t="n">
        <v>0</v>
      </c>
      <c r="P429" t="n">
        <v>0</v>
      </c>
      <c r="Q429" t="n">
        <v>0</v>
      </c>
      <c r="R429" s="2" t="inlineStr"/>
    </row>
    <row r="430" ht="15" customHeight="1">
      <c r="A430" t="inlineStr">
        <is>
          <t>A 48461-2024</t>
        </is>
      </c>
      <c r="B430" s="1" t="n">
        <v>45590</v>
      </c>
      <c r="C430" s="1" t="n">
        <v>46089</v>
      </c>
      <c r="D430" t="inlineStr">
        <is>
          <t>NORRBOTTENS LÄN</t>
        </is>
      </c>
      <c r="E430" t="inlineStr">
        <is>
          <t>ARVIDSJAUR</t>
        </is>
      </c>
      <c r="G430" t="n">
        <v>3.1</v>
      </c>
      <c r="H430" t="n">
        <v>0</v>
      </c>
      <c r="I430" t="n">
        <v>0</v>
      </c>
      <c r="J430" t="n">
        <v>0</v>
      </c>
      <c r="K430" t="n">
        <v>0</v>
      </c>
      <c r="L430" t="n">
        <v>0</v>
      </c>
      <c r="M430" t="n">
        <v>0</v>
      </c>
      <c r="N430" t="n">
        <v>0</v>
      </c>
      <c r="O430" t="n">
        <v>0</v>
      </c>
      <c r="P430" t="n">
        <v>0</v>
      </c>
      <c r="Q430" t="n">
        <v>0</v>
      </c>
      <c r="R430" s="2" t="inlineStr"/>
    </row>
    <row r="431" ht="15" customHeight="1">
      <c r="A431" t="inlineStr">
        <is>
          <t>A 10664-2023</t>
        </is>
      </c>
      <c r="B431" s="1" t="n">
        <v>44988</v>
      </c>
      <c r="C431" s="1" t="n">
        <v>46089</v>
      </c>
      <c r="D431" t="inlineStr">
        <is>
          <t>NORRBOTTENS LÄN</t>
        </is>
      </c>
      <c r="E431" t="inlineStr">
        <is>
          <t>ARVIDSJAUR</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50119-2024</t>
        </is>
      </c>
      <c r="B432" s="1" t="n">
        <v>45600.41550925926</v>
      </c>
      <c r="C432" s="1" t="n">
        <v>46089</v>
      </c>
      <c r="D432" t="inlineStr">
        <is>
          <t>NORRBOTTENS LÄN</t>
        </is>
      </c>
      <c r="E432" t="inlineStr">
        <is>
          <t>ARVIDSJAUR</t>
        </is>
      </c>
      <c r="F432" t="inlineStr">
        <is>
          <t>Sveaskog</t>
        </is>
      </c>
      <c r="G432" t="n">
        <v>5.7</v>
      </c>
      <c r="H432" t="n">
        <v>0</v>
      </c>
      <c r="I432" t="n">
        <v>0</v>
      </c>
      <c r="J432" t="n">
        <v>0</v>
      </c>
      <c r="K432" t="n">
        <v>0</v>
      </c>
      <c r="L432" t="n">
        <v>0</v>
      </c>
      <c r="M432" t="n">
        <v>0</v>
      </c>
      <c r="N432" t="n">
        <v>0</v>
      </c>
      <c r="O432" t="n">
        <v>0</v>
      </c>
      <c r="P432" t="n">
        <v>0</v>
      </c>
      <c r="Q432" t="n">
        <v>0</v>
      </c>
      <c r="R432" s="2" t="inlineStr"/>
    </row>
    <row r="433" ht="15" customHeight="1">
      <c r="A433" t="inlineStr">
        <is>
          <t>A 39328-2023</t>
        </is>
      </c>
      <c r="B433" s="1" t="n">
        <v>45166</v>
      </c>
      <c r="C433" s="1" t="n">
        <v>46089</v>
      </c>
      <c r="D433" t="inlineStr">
        <is>
          <t>NORRBOTTENS LÄN</t>
        </is>
      </c>
      <c r="E433" t="inlineStr">
        <is>
          <t>ARVIDSJAUR</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26686-2024</t>
        </is>
      </c>
      <c r="B434" s="1" t="n">
        <v>45470.35486111111</v>
      </c>
      <c r="C434" s="1" t="n">
        <v>46089</v>
      </c>
      <c r="D434" t="inlineStr">
        <is>
          <t>NORRBOTTENS LÄN</t>
        </is>
      </c>
      <c r="E434" t="inlineStr">
        <is>
          <t>ARVIDSJAUR</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46089</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46089</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33084-2024</t>
        </is>
      </c>
      <c r="B437" s="1" t="n">
        <v>45517</v>
      </c>
      <c r="C437" s="1" t="n">
        <v>46089</v>
      </c>
      <c r="D437" t="inlineStr">
        <is>
          <t>NORRBOTTENS LÄN</t>
        </is>
      </c>
      <c r="E437" t="inlineStr">
        <is>
          <t>ARVIDSJAUR</t>
        </is>
      </c>
      <c r="G437" t="n">
        <v>0.5</v>
      </c>
      <c r="H437" t="n">
        <v>0</v>
      </c>
      <c r="I437" t="n">
        <v>0</v>
      </c>
      <c r="J437" t="n">
        <v>0</v>
      </c>
      <c r="K437" t="n">
        <v>0</v>
      </c>
      <c r="L437" t="n">
        <v>0</v>
      </c>
      <c r="M437" t="n">
        <v>0</v>
      </c>
      <c r="N437" t="n">
        <v>0</v>
      </c>
      <c r="O437" t="n">
        <v>0</v>
      </c>
      <c r="P437" t="n">
        <v>0</v>
      </c>
      <c r="Q437" t="n">
        <v>0</v>
      </c>
      <c r="R437" s="2" t="inlineStr"/>
    </row>
    <row r="438" ht="15" customHeight="1">
      <c r="A438" t="inlineStr">
        <is>
          <t>A 37649-2024</t>
        </is>
      </c>
      <c r="B438" s="1" t="n">
        <v>45541</v>
      </c>
      <c r="C438" s="1" t="n">
        <v>46089</v>
      </c>
      <c r="D438" t="inlineStr">
        <is>
          <t>NORRBOTTENS LÄN</t>
        </is>
      </c>
      <c r="E438" t="inlineStr">
        <is>
          <t>ARVIDSJAUR</t>
        </is>
      </c>
      <c r="F438" t="inlineStr">
        <is>
          <t>Allmännings- och besparingsskogar</t>
        </is>
      </c>
      <c r="G438" t="n">
        <v>6.1</v>
      </c>
      <c r="H438" t="n">
        <v>0</v>
      </c>
      <c r="I438" t="n">
        <v>0</v>
      </c>
      <c r="J438" t="n">
        <v>0</v>
      </c>
      <c r="K438" t="n">
        <v>0</v>
      </c>
      <c r="L438" t="n">
        <v>0</v>
      </c>
      <c r="M438" t="n">
        <v>0</v>
      </c>
      <c r="N438" t="n">
        <v>0</v>
      </c>
      <c r="O438" t="n">
        <v>0</v>
      </c>
      <c r="P438" t="n">
        <v>0</v>
      </c>
      <c r="Q438" t="n">
        <v>0</v>
      </c>
      <c r="R438" s="2" t="inlineStr"/>
      <c r="U438">
        <f>HYPERLINK("https://klasma.github.io/Logging_2505/knärot/A 37649-2024 karta knärot.png", "A 37649-2024")</f>
        <v/>
      </c>
      <c r="V438">
        <f>HYPERLINK("https://klasma.github.io/Logging_2505/klagomål/A 37649-2024 FSC-klagomål.docx", "A 37649-2024")</f>
        <v/>
      </c>
      <c r="W438">
        <f>HYPERLINK("https://klasma.github.io/Logging_2505/klagomålsmail/A 37649-2024 FSC-klagomål mail.docx", "A 37649-2024")</f>
        <v/>
      </c>
      <c r="X438">
        <f>HYPERLINK("https://klasma.github.io/Logging_2505/tillsyn/A 37649-2024 tillsynsbegäran.docx", "A 37649-2024")</f>
        <v/>
      </c>
      <c r="Y438">
        <f>HYPERLINK("https://klasma.github.io/Logging_2505/tillsynsmail/A 37649-2024 tillsynsbegäran mail.docx", "A 37649-2024")</f>
        <v/>
      </c>
    </row>
    <row r="439" ht="15" customHeight="1">
      <c r="A439" t="inlineStr">
        <is>
          <t>A 50109-2024</t>
        </is>
      </c>
      <c r="B439" s="1" t="n">
        <v>45600</v>
      </c>
      <c r="C439" s="1" t="n">
        <v>46089</v>
      </c>
      <c r="D439" t="inlineStr">
        <is>
          <t>NORRBOTTENS LÄN</t>
        </is>
      </c>
      <c r="E439" t="inlineStr">
        <is>
          <t>ARVIDSJAUR</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49170-2024</t>
        </is>
      </c>
      <c r="B440" s="1" t="n">
        <v>45595.305</v>
      </c>
      <c r="C440" s="1" t="n">
        <v>46089</v>
      </c>
      <c r="D440" t="inlineStr">
        <is>
          <t>NORRBOTTENS LÄN</t>
        </is>
      </c>
      <c r="E440" t="inlineStr">
        <is>
          <t>ARVIDSJAUR</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26689-2024</t>
        </is>
      </c>
      <c r="B441" s="1" t="n">
        <v>45470.35973379629</v>
      </c>
      <c r="C441" s="1" t="n">
        <v>46089</v>
      </c>
      <c r="D441" t="inlineStr">
        <is>
          <t>NORRBOTTENS LÄN</t>
        </is>
      </c>
      <c r="E441" t="inlineStr">
        <is>
          <t>ARVIDSJAUR</t>
        </is>
      </c>
      <c r="F441" t="inlineStr">
        <is>
          <t>Sveaskog</t>
        </is>
      </c>
      <c r="G441" t="n">
        <v>11.8</v>
      </c>
      <c r="H441" t="n">
        <v>0</v>
      </c>
      <c r="I441" t="n">
        <v>0</v>
      </c>
      <c r="J441" t="n">
        <v>0</v>
      </c>
      <c r="K441" t="n">
        <v>0</v>
      </c>
      <c r="L441" t="n">
        <v>0</v>
      </c>
      <c r="M441" t="n">
        <v>0</v>
      </c>
      <c r="N441" t="n">
        <v>0</v>
      </c>
      <c r="O441" t="n">
        <v>0</v>
      </c>
      <c r="P441" t="n">
        <v>0</v>
      </c>
      <c r="Q441" t="n">
        <v>0</v>
      </c>
      <c r="R441" s="2" t="inlineStr"/>
    </row>
    <row r="442" ht="15" customHeight="1">
      <c r="A442" t="inlineStr">
        <is>
          <t>A 36403-2023</t>
        </is>
      </c>
      <c r="B442" s="1" t="n">
        <v>45152</v>
      </c>
      <c r="C442" s="1" t="n">
        <v>46089</v>
      </c>
      <c r="D442" t="inlineStr">
        <is>
          <t>NORRBOTTENS LÄN</t>
        </is>
      </c>
      <c r="E442" t="inlineStr">
        <is>
          <t>ARVIDSJAUR</t>
        </is>
      </c>
      <c r="F442" t="inlineStr">
        <is>
          <t>Sveaskog</t>
        </is>
      </c>
      <c r="G442" t="n">
        <v>5.6</v>
      </c>
      <c r="H442" t="n">
        <v>0</v>
      </c>
      <c r="I442" t="n">
        <v>0</v>
      </c>
      <c r="J442" t="n">
        <v>0</v>
      </c>
      <c r="K442" t="n">
        <v>0</v>
      </c>
      <c r="L442" t="n">
        <v>0</v>
      </c>
      <c r="M442" t="n">
        <v>0</v>
      </c>
      <c r="N442" t="n">
        <v>0</v>
      </c>
      <c r="O442" t="n">
        <v>0</v>
      </c>
      <c r="P442" t="n">
        <v>0</v>
      </c>
      <c r="Q442" t="n">
        <v>0</v>
      </c>
      <c r="R442" s="2" t="inlineStr"/>
    </row>
    <row r="443" ht="15" customHeight="1">
      <c r="A443" t="inlineStr">
        <is>
          <t>A 36443-2023</t>
        </is>
      </c>
      <c r="B443" s="1" t="n">
        <v>45152</v>
      </c>
      <c r="C443" s="1" t="n">
        <v>46089</v>
      </c>
      <c r="D443" t="inlineStr">
        <is>
          <t>NORRBOTTENS LÄN</t>
        </is>
      </c>
      <c r="E443" t="inlineStr">
        <is>
          <t>ARVIDSJAUR</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22996-2024</t>
        </is>
      </c>
      <c r="B444" s="1" t="n">
        <v>45450</v>
      </c>
      <c r="C444" s="1" t="n">
        <v>46089</v>
      </c>
      <c r="D444" t="inlineStr">
        <is>
          <t>NORRBOTTENS LÄN</t>
        </is>
      </c>
      <c r="E444" t="inlineStr">
        <is>
          <t>ARVIDSJAUR</t>
        </is>
      </c>
      <c r="F444" t="inlineStr">
        <is>
          <t>Sveaskog</t>
        </is>
      </c>
      <c r="G444" t="n">
        <v>8.9</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46089</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54311-2023</t>
        </is>
      </c>
      <c r="B446" s="1" t="n">
        <v>45225</v>
      </c>
      <c r="C446" s="1" t="n">
        <v>46089</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26673-2023</t>
        </is>
      </c>
      <c r="B447" s="1" t="n">
        <v>45093</v>
      </c>
      <c r="C447" s="1" t="n">
        <v>46089</v>
      </c>
      <c r="D447" t="inlineStr">
        <is>
          <t>NORRBOTTENS LÄN</t>
        </is>
      </c>
      <c r="E447" t="inlineStr">
        <is>
          <t>ARVIDSJAUR</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39436-2024</t>
        </is>
      </c>
      <c r="B448" s="1" t="n">
        <v>45551</v>
      </c>
      <c r="C448" s="1" t="n">
        <v>46089</v>
      </c>
      <c r="D448" t="inlineStr">
        <is>
          <t>NORRBOTTENS LÄN</t>
        </is>
      </c>
      <c r="E448" t="inlineStr">
        <is>
          <t>ARVIDSJAUR</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39439-2024</t>
        </is>
      </c>
      <c r="B449" s="1" t="n">
        <v>45551.60893518518</v>
      </c>
      <c r="C449" s="1" t="n">
        <v>46089</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37483-2024</t>
        </is>
      </c>
      <c r="B450" s="1" t="n">
        <v>45541.33534722222</v>
      </c>
      <c r="C450" s="1" t="n">
        <v>46089</v>
      </c>
      <c r="D450" t="inlineStr">
        <is>
          <t>NORRBOTTENS LÄN</t>
        </is>
      </c>
      <c r="E450" t="inlineStr">
        <is>
          <t>ARVIDSJAUR</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26819-2024</t>
        </is>
      </c>
      <c r="B451" s="1" t="n">
        <v>45470.55719907407</v>
      </c>
      <c r="C451" s="1" t="n">
        <v>46089</v>
      </c>
      <c r="D451" t="inlineStr">
        <is>
          <t>NORRBOTTENS LÄN</t>
        </is>
      </c>
      <c r="E451" t="inlineStr">
        <is>
          <t>ARVIDSJAUR</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36954-2023</t>
        </is>
      </c>
      <c r="B452" s="1" t="n">
        <v>45154</v>
      </c>
      <c r="C452" s="1" t="n">
        <v>46089</v>
      </c>
      <c r="D452" t="inlineStr">
        <is>
          <t>NORRBOTTENS LÄN</t>
        </is>
      </c>
      <c r="E452" t="inlineStr">
        <is>
          <t>ARVIDSJAUR</t>
        </is>
      </c>
      <c r="G452" t="n">
        <v>3.7</v>
      </c>
      <c r="H452" t="n">
        <v>0</v>
      </c>
      <c r="I452" t="n">
        <v>0</v>
      </c>
      <c r="J452" t="n">
        <v>0</v>
      </c>
      <c r="K452" t="n">
        <v>0</v>
      </c>
      <c r="L452" t="n">
        <v>0</v>
      </c>
      <c r="M452" t="n">
        <v>0</v>
      </c>
      <c r="N452" t="n">
        <v>0</v>
      </c>
      <c r="O452" t="n">
        <v>0</v>
      </c>
      <c r="P452" t="n">
        <v>0</v>
      </c>
      <c r="Q452" t="n">
        <v>0</v>
      </c>
      <c r="R452" s="2" t="inlineStr"/>
    </row>
    <row r="453" ht="15" customHeight="1">
      <c r="A453" t="inlineStr">
        <is>
          <t>A 10845-2025</t>
        </is>
      </c>
      <c r="B453" s="1" t="n">
        <v>45722</v>
      </c>
      <c r="C453" s="1" t="n">
        <v>46089</v>
      </c>
      <c r="D453" t="inlineStr">
        <is>
          <t>NORRBOTTENS LÄN</t>
        </is>
      </c>
      <c r="E453" t="inlineStr">
        <is>
          <t>ARVIDSJAUR</t>
        </is>
      </c>
      <c r="G453" t="n">
        <v>5.3</v>
      </c>
      <c r="H453" t="n">
        <v>0</v>
      </c>
      <c r="I453" t="n">
        <v>0</v>
      </c>
      <c r="J453" t="n">
        <v>0</v>
      </c>
      <c r="K453" t="n">
        <v>0</v>
      </c>
      <c r="L453" t="n">
        <v>0</v>
      </c>
      <c r="M453" t="n">
        <v>0</v>
      </c>
      <c r="N453" t="n">
        <v>0</v>
      </c>
      <c r="O453" t="n">
        <v>0</v>
      </c>
      <c r="P453" t="n">
        <v>0</v>
      </c>
      <c r="Q453" t="n">
        <v>0</v>
      </c>
      <c r="R453" s="2" t="inlineStr"/>
    </row>
    <row r="454" ht="15" customHeight="1">
      <c r="A454" t="inlineStr">
        <is>
          <t>A 53878-2024</t>
        </is>
      </c>
      <c r="B454" s="1" t="n">
        <v>45614</v>
      </c>
      <c r="C454" s="1" t="n">
        <v>46089</v>
      </c>
      <c r="D454" t="inlineStr">
        <is>
          <t>NORRBOTTENS LÄN</t>
        </is>
      </c>
      <c r="E454" t="inlineStr">
        <is>
          <t>ARVIDSJAUR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24836-2024</t>
        </is>
      </c>
      <c r="B455" s="1" t="n">
        <v>45461</v>
      </c>
      <c r="C455" s="1" t="n">
        <v>46089</v>
      </c>
      <c r="D455" t="inlineStr">
        <is>
          <t>NORRBOTTENS LÄN</t>
        </is>
      </c>
      <c r="E455" t="inlineStr">
        <is>
          <t>ARVIDSJAUR</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48616-2024</t>
        </is>
      </c>
      <c r="B456" s="1" t="n">
        <v>45593.45395833333</v>
      </c>
      <c r="C456" s="1" t="n">
        <v>46089</v>
      </c>
      <c r="D456" t="inlineStr">
        <is>
          <t>NORRBOTTENS LÄN</t>
        </is>
      </c>
      <c r="E456" t="inlineStr">
        <is>
          <t>ARVIDSJAUR</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5702-2024</t>
        </is>
      </c>
      <c r="B457" s="1" t="n">
        <v>45334</v>
      </c>
      <c r="C457" s="1" t="n">
        <v>46089</v>
      </c>
      <c r="D457" t="inlineStr">
        <is>
          <t>NORRBOTTENS LÄN</t>
        </is>
      </c>
      <c r="E457" t="inlineStr">
        <is>
          <t>ARVIDSJAUR</t>
        </is>
      </c>
      <c r="G457" t="n">
        <v>1</v>
      </c>
      <c r="H457" t="n">
        <v>0</v>
      </c>
      <c r="I457" t="n">
        <v>0</v>
      </c>
      <c r="J457" t="n">
        <v>0</v>
      </c>
      <c r="K457" t="n">
        <v>0</v>
      </c>
      <c r="L457" t="n">
        <v>0</v>
      </c>
      <c r="M457" t="n">
        <v>0</v>
      </c>
      <c r="N457" t="n">
        <v>0</v>
      </c>
      <c r="O457" t="n">
        <v>0</v>
      </c>
      <c r="P457" t="n">
        <v>0</v>
      </c>
      <c r="Q457" t="n">
        <v>0</v>
      </c>
      <c r="R457" s="2" t="inlineStr"/>
    </row>
    <row r="458" ht="15" customHeight="1">
      <c r="A458" t="inlineStr">
        <is>
          <t>A 56980-2024</t>
        </is>
      </c>
      <c r="B458" s="1" t="n">
        <v>45628</v>
      </c>
      <c r="C458" s="1" t="n">
        <v>46089</v>
      </c>
      <c r="D458" t="inlineStr">
        <is>
          <t>NORRBOTTENS LÄN</t>
        </is>
      </c>
      <c r="E458" t="inlineStr">
        <is>
          <t>ARVIDSJAUR</t>
        </is>
      </c>
      <c r="F458" t="inlineStr">
        <is>
          <t>Övriga Aktiebolag</t>
        </is>
      </c>
      <c r="G458" t="n">
        <v>5.1</v>
      </c>
      <c r="H458" t="n">
        <v>0</v>
      </c>
      <c r="I458" t="n">
        <v>0</v>
      </c>
      <c r="J458" t="n">
        <v>0</v>
      </c>
      <c r="K458" t="n">
        <v>0</v>
      </c>
      <c r="L458" t="n">
        <v>0</v>
      </c>
      <c r="M458" t="n">
        <v>0</v>
      </c>
      <c r="N458" t="n">
        <v>0</v>
      </c>
      <c r="O458" t="n">
        <v>0</v>
      </c>
      <c r="P458" t="n">
        <v>0</v>
      </c>
      <c r="Q458" t="n">
        <v>0</v>
      </c>
      <c r="R458" s="2" t="inlineStr"/>
    </row>
    <row r="459" ht="15" customHeight="1">
      <c r="A459" t="inlineStr">
        <is>
          <t>A 25913-2024</t>
        </is>
      </c>
      <c r="B459" s="1" t="n">
        <v>45467</v>
      </c>
      <c r="C459" s="1" t="n">
        <v>46089</v>
      </c>
      <c r="D459" t="inlineStr">
        <is>
          <t>NORRBOTTENS LÄN</t>
        </is>
      </c>
      <c r="E459" t="inlineStr">
        <is>
          <t>ARVIDSJAUR</t>
        </is>
      </c>
      <c r="G459" t="n">
        <v>4.8</v>
      </c>
      <c r="H459" t="n">
        <v>0</v>
      </c>
      <c r="I459" t="n">
        <v>0</v>
      </c>
      <c r="J459" t="n">
        <v>0</v>
      </c>
      <c r="K459" t="n">
        <v>0</v>
      </c>
      <c r="L459" t="n">
        <v>0</v>
      </c>
      <c r="M459" t="n">
        <v>0</v>
      </c>
      <c r="N459" t="n">
        <v>0</v>
      </c>
      <c r="O459" t="n">
        <v>0</v>
      </c>
      <c r="P459" t="n">
        <v>0</v>
      </c>
      <c r="Q459" t="n">
        <v>0</v>
      </c>
      <c r="R459" s="2" t="inlineStr"/>
    </row>
    <row r="460" ht="15" customHeight="1">
      <c r="A460" t="inlineStr">
        <is>
          <t>A 42862-2024</t>
        </is>
      </c>
      <c r="B460" s="1" t="n">
        <v>45566</v>
      </c>
      <c r="C460" s="1" t="n">
        <v>46089</v>
      </c>
      <c r="D460" t="inlineStr">
        <is>
          <t>NORRBOTTENS LÄN</t>
        </is>
      </c>
      <c r="E460" t="inlineStr">
        <is>
          <t>ARVIDSJAUR</t>
        </is>
      </c>
      <c r="F460" t="inlineStr">
        <is>
          <t>Sveaskog</t>
        </is>
      </c>
      <c r="G460" t="n">
        <v>26.6</v>
      </c>
      <c r="H460" t="n">
        <v>0</v>
      </c>
      <c r="I460" t="n">
        <v>0</v>
      </c>
      <c r="J460" t="n">
        <v>0</v>
      </c>
      <c r="K460" t="n">
        <v>0</v>
      </c>
      <c r="L460" t="n">
        <v>0</v>
      </c>
      <c r="M460" t="n">
        <v>0</v>
      </c>
      <c r="N460" t="n">
        <v>0</v>
      </c>
      <c r="O460" t="n">
        <v>0</v>
      </c>
      <c r="P460" t="n">
        <v>0</v>
      </c>
      <c r="Q460" t="n">
        <v>0</v>
      </c>
      <c r="R460" s="2" t="inlineStr"/>
    </row>
    <row r="461" ht="15" customHeight="1">
      <c r="A461" t="inlineStr">
        <is>
          <t>A 11741-2025</t>
        </is>
      </c>
      <c r="B461" s="1" t="n">
        <v>45727</v>
      </c>
      <c r="C461" s="1" t="n">
        <v>46089</v>
      </c>
      <c r="D461" t="inlineStr">
        <is>
          <t>NORRBOTTENS LÄN</t>
        </is>
      </c>
      <c r="E461" t="inlineStr">
        <is>
          <t>ARVIDSJAUR</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42674-2021</t>
        </is>
      </c>
      <c r="B462" s="1" t="n">
        <v>44428</v>
      </c>
      <c r="C462" s="1" t="n">
        <v>46089</v>
      </c>
      <c r="D462" t="inlineStr">
        <is>
          <t>NORRBOTTENS LÄN</t>
        </is>
      </c>
      <c r="E462" t="inlineStr">
        <is>
          <t>ARVIDSJAUR</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11615-2025</t>
        </is>
      </c>
      <c r="B463" s="1" t="n">
        <v>45726</v>
      </c>
      <c r="C463" s="1" t="n">
        <v>46089</v>
      </c>
      <c r="D463" t="inlineStr">
        <is>
          <t>NORRBOTTENS LÄN</t>
        </is>
      </c>
      <c r="E463" t="inlineStr">
        <is>
          <t>ARVIDSJAUR</t>
        </is>
      </c>
      <c r="F463" t="inlineStr">
        <is>
          <t>Allmännings- och besparingsskogar</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25790-2024</t>
        </is>
      </c>
      <c r="B464" s="1" t="n">
        <v>45467</v>
      </c>
      <c r="C464" s="1" t="n">
        <v>46089</v>
      </c>
      <c r="D464" t="inlineStr">
        <is>
          <t>NORRBOTTENS LÄN</t>
        </is>
      </c>
      <c r="E464" t="inlineStr">
        <is>
          <t>ARVIDSJAUR</t>
        </is>
      </c>
      <c r="F464" t="inlineStr">
        <is>
          <t>Sveaskog</t>
        </is>
      </c>
      <c r="G464" t="n">
        <v>5.6</v>
      </c>
      <c r="H464" t="n">
        <v>0</v>
      </c>
      <c r="I464" t="n">
        <v>0</v>
      </c>
      <c r="J464" t="n">
        <v>0</v>
      </c>
      <c r="K464" t="n">
        <v>0</v>
      </c>
      <c r="L464" t="n">
        <v>0</v>
      </c>
      <c r="M464" t="n">
        <v>0</v>
      </c>
      <c r="N464" t="n">
        <v>0</v>
      </c>
      <c r="O464" t="n">
        <v>0</v>
      </c>
      <c r="P464" t="n">
        <v>0</v>
      </c>
      <c r="Q464" t="n">
        <v>0</v>
      </c>
      <c r="R464" s="2" t="inlineStr"/>
    </row>
    <row r="465" ht="15" customHeight="1">
      <c r="A465" t="inlineStr">
        <is>
          <t>A 31666-2023</t>
        </is>
      </c>
      <c r="B465" s="1" t="n">
        <v>45105</v>
      </c>
      <c r="C465" s="1" t="n">
        <v>46089</v>
      </c>
      <c r="D465" t="inlineStr">
        <is>
          <t>NORRBOTTENS LÄN</t>
        </is>
      </c>
      <c r="E465" t="inlineStr">
        <is>
          <t>ARVIDSJAUR</t>
        </is>
      </c>
      <c r="G465" t="n">
        <v>6.5</v>
      </c>
      <c r="H465" t="n">
        <v>0</v>
      </c>
      <c r="I465" t="n">
        <v>0</v>
      </c>
      <c r="J465" t="n">
        <v>0</v>
      </c>
      <c r="K465" t="n">
        <v>0</v>
      </c>
      <c r="L465" t="n">
        <v>0</v>
      </c>
      <c r="M465" t="n">
        <v>0</v>
      </c>
      <c r="N465" t="n">
        <v>0</v>
      </c>
      <c r="O465" t="n">
        <v>0</v>
      </c>
      <c r="P465" t="n">
        <v>0</v>
      </c>
      <c r="Q465" t="n">
        <v>0</v>
      </c>
      <c r="R465" s="2" t="inlineStr"/>
    </row>
    <row r="466" ht="15" customHeight="1">
      <c r="A466" t="inlineStr">
        <is>
          <t>A 10243-2024</t>
        </is>
      </c>
      <c r="B466" s="1" t="n">
        <v>45365</v>
      </c>
      <c r="C466" s="1" t="n">
        <v>46089</v>
      </c>
      <c r="D466" t="inlineStr">
        <is>
          <t>NORRBOTTENS LÄN</t>
        </is>
      </c>
      <c r="E466" t="inlineStr">
        <is>
          <t>ARVIDSJAUR</t>
        </is>
      </c>
      <c r="F466" t="inlineStr">
        <is>
          <t>Sveaskog</t>
        </is>
      </c>
      <c r="G466" t="n">
        <v>7.5</v>
      </c>
      <c r="H466" t="n">
        <v>0</v>
      </c>
      <c r="I466" t="n">
        <v>0</v>
      </c>
      <c r="J466" t="n">
        <v>0</v>
      </c>
      <c r="K466" t="n">
        <v>0</v>
      </c>
      <c r="L466" t="n">
        <v>0</v>
      </c>
      <c r="M466" t="n">
        <v>0</v>
      </c>
      <c r="N466" t="n">
        <v>0</v>
      </c>
      <c r="O466" t="n">
        <v>0</v>
      </c>
      <c r="P466" t="n">
        <v>0</v>
      </c>
      <c r="Q466" t="n">
        <v>0</v>
      </c>
      <c r="R466" s="2" t="inlineStr"/>
    </row>
    <row r="467" ht="15" customHeight="1">
      <c r="A467" t="inlineStr">
        <is>
          <t>A 48009-2024</t>
        </is>
      </c>
      <c r="B467" s="1" t="n">
        <v>45589</v>
      </c>
      <c r="C467" s="1" t="n">
        <v>46089</v>
      </c>
      <c r="D467" t="inlineStr">
        <is>
          <t>NORRBOTTENS LÄN</t>
        </is>
      </c>
      <c r="E467" t="inlineStr">
        <is>
          <t>ARVIDSJAUR</t>
        </is>
      </c>
      <c r="G467" t="n">
        <v>6.4</v>
      </c>
      <c r="H467" t="n">
        <v>0</v>
      </c>
      <c r="I467" t="n">
        <v>0</v>
      </c>
      <c r="J467" t="n">
        <v>0</v>
      </c>
      <c r="K467" t="n">
        <v>0</v>
      </c>
      <c r="L467" t="n">
        <v>0</v>
      </c>
      <c r="M467" t="n">
        <v>0</v>
      </c>
      <c r="N467" t="n">
        <v>0</v>
      </c>
      <c r="O467" t="n">
        <v>0</v>
      </c>
      <c r="P467" t="n">
        <v>0</v>
      </c>
      <c r="Q467" t="n">
        <v>0</v>
      </c>
      <c r="R467" s="2" t="inlineStr"/>
    </row>
    <row r="468" ht="15" customHeight="1">
      <c r="A468" t="inlineStr">
        <is>
          <t>A 24854-2024</t>
        </is>
      </c>
      <c r="B468" s="1" t="n">
        <v>45461</v>
      </c>
      <c r="C468" s="1" t="n">
        <v>46089</v>
      </c>
      <c r="D468" t="inlineStr">
        <is>
          <t>NORRBOTTENS LÄN</t>
        </is>
      </c>
      <c r="E468" t="inlineStr">
        <is>
          <t>ARVIDSJAUR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40756-2022</t>
        </is>
      </c>
      <c r="B469" s="1" t="n">
        <v>44824</v>
      </c>
      <c r="C469" s="1" t="n">
        <v>46089</v>
      </c>
      <c r="D469" t="inlineStr">
        <is>
          <t>NORRBOTTENS LÄN</t>
        </is>
      </c>
      <c r="E469" t="inlineStr">
        <is>
          <t>ARVIDSJAUR</t>
        </is>
      </c>
      <c r="F469" t="inlineStr">
        <is>
          <t>Sveaskog</t>
        </is>
      </c>
      <c r="G469" t="n">
        <v>4.2</v>
      </c>
      <c r="H469" t="n">
        <v>0</v>
      </c>
      <c r="I469" t="n">
        <v>0</v>
      </c>
      <c r="J469" t="n">
        <v>0</v>
      </c>
      <c r="K469" t="n">
        <v>0</v>
      </c>
      <c r="L469" t="n">
        <v>0</v>
      </c>
      <c r="M469" t="n">
        <v>0</v>
      </c>
      <c r="N469" t="n">
        <v>0</v>
      </c>
      <c r="O469" t="n">
        <v>0</v>
      </c>
      <c r="P469" t="n">
        <v>0</v>
      </c>
      <c r="Q469" t="n">
        <v>0</v>
      </c>
      <c r="R469" s="2" t="inlineStr"/>
    </row>
    <row r="470" ht="15" customHeight="1">
      <c r="A470" t="inlineStr">
        <is>
          <t>A 45960-2023</t>
        </is>
      </c>
      <c r="B470" s="1" t="n">
        <v>45195</v>
      </c>
      <c r="C470" s="1" t="n">
        <v>46089</v>
      </c>
      <c r="D470" t="inlineStr">
        <is>
          <t>NORRBOTTENS LÄN</t>
        </is>
      </c>
      <c r="E470" t="inlineStr">
        <is>
          <t>ARVIDSJAUR</t>
        </is>
      </c>
      <c r="F470" t="inlineStr">
        <is>
          <t>SCA</t>
        </is>
      </c>
      <c r="G470" t="n">
        <v>12.3</v>
      </c>
      <c r="H470" t="n">
        <v>0</v>
      </c>
      <c r="I470" t="n">
        <v>0</v>
      </c>
      <c r="J470" t="n">
        <v>0</v>
      </c>
      <c r="K470" t="n">
        <v>0</v>
      </c>
      <c r="L470" t="n">
        <v>0</v>
      </c>
      <c r="M470" t="n">
        <v>0</v>
      </c>
      <c r="N470" t="n">
        <v>0</v>
      </c>
      <c r="O470" t="n">
        <v>0</v>
      </c>
      <c r="P470" t="n">
        <v>0</v>
      </c>
      <c r="Q470" t="n">
        <v>0</v>
      </c>
      <c r="R470" s="2" t="inlineStr"/>
    </row>
    <row r="471" ht="15" customHeight="1">
      <c r="A471" t="inlineStr">
        <is>
          <t>A 8626-2023</t>
        </is>
      </c>
      <c r="B471" s="1" t="n">
        <v>44977</v>
      </c>
      <c r="C471" s="1" t="n">
        <v>46089</v>
      </c>
      <c r="D471" t="inlineStr">
        <is>
          <t>NORRBOTTENS LÄN</t>
        </is>
      </c>
      <c r="E471" t="inlineStr">
        <is>
          <t>ARVIDSJAUR</t>
        </is>
      </c>
      <c r="G471" t="n">
        <v>3.4</v>
      </c>
      <c r="H471" t="n">
        <v>0</v>
      </c>
      <c r="I471" t="n">
        <v>0</v>
      </c>
      <c r="J471" t="n">
        <v>0</v>
      </c>
      <c r="K471" t="n">
        <v>0</v>
      </c>
      <c r="L471" t="n">
        <v>0</v>
      </c>
      <c r="M471" t="n">
        <v>0</v>
      </c>
      <c r="N471" t="n">
        <v>0</v>
      </c>
      <c r="O471" t="n">
        <v>0</v>
      </c>
      <c r="P471" t="n">
        <v>0</v>
      </c>
      <c r="Q471" t="n">
        <v>0</v>
      </c>
      <c r="R471" s="2" t="inlineStr"/>
    </row>
    <row r="472" ht="15" customHeight="1">
      <c r="A472" t="inlineStr">
        <is>
          <t>A 56495-2024</t>
        </is>
      </c>
      <c r="B472" s="1" t="n">
        <v>45625</v>
      </c>
      <c r="C472" s="1" t="n">
        <v>46089</v>
      </c>
      <c r="D472" t="inlineStr">
        <is>
          <t>NORRBOTTENS LÄN</t>
        </is>
      </c>
      <c r="E472" t="inlineStr">
        <is>
          <t>ARVIDSJAUR</t>
        </is>
      </c>
      <c r="G472" t="n">
        <v>14.1</v>
      </c>
      <c r="H472" t="n">
        <v>0</v>
      </c>
      <c r="I472" t="n">
        <v>0</v>
      </c>
      <c r="J472" t="n">
        <v>0</v>
      </c>
      <c r="K472" t="n">
        <v>0</v>
      </c>
      <c r="L472" t="n">
        <v>0</v>
      </c>
      <c r="M472" t="n">
        <v>0</v>
      </c>
      <c r="N472" t="n">
        <v>0</v>
      </c>
      <c r="O472" t="n">
        <v>0</v>
      </c>
      <c r="P472" t="n">
        <v>0</v>
      </c>
      <c r="Q472" t="n">
        <v>0</v>
      </c>
      <c r="R472" s="2" t="inlineStr"/>
    </row>
    <row r="473" ht="15" customHeight="1">
      <c r="A473" t="inlineStr">
        <is>
          <t>A 15475-2023</t>
        </is>
      </c>
      <c r="B473" s="1" t="n">
        <v>45020</v>
      </c>
      <c r="C473" s="1" t="n">
        <v>46089</v>
      </c>
      <c r="D473" t="inlineStr">
        <is>
          <t>NORRBOTTENS LÄN</t>
        </is>
      </c>
      <c r="E473" t="inlineStr">
        <is>
          <t>ARVIDSJAUR</t>
        </is>
      </c>
      <c r="F473" t="inlineStr">
        <is>
          <t>Sveaskog</t>
        </is>
      </c>
      <c r="G473" t="n">
        <v>5.5</v>
      </c>
      <c r="H473" t="n">
        <v>0</v>
      </c>
      <c r="I473" t="n">
        <v>0</v>
      </c>
      <c r="J473" t="n">
        <v>0</v>
      </c>
      <c r="K473" t="n">
        <v>0</v>
      </c>
      <c r="L473" t="n">
        <v>0</v>
      </c>
      <c r="M473" t="n">
        <v>0</v>
      </c>
      <c r="N473" t="n">
        <v>0</v>
      </c>
      <c r="O473" t="n">
        <v>0</v>
      </c>
      <c r="P473" t="n">
        <v>0</v>
      </c>
      <c r="Q473" t="n">
        <v>0</v>
      </c>
      <c r="R473" s="2" t="inlineStr"/>
    </row>
    <row r="474" ht="15" customHeight="1">
      <c r="A474" t="inlineStr">
        <is>
          <t>A 45794-2024</t>
        </is>
      </c>
      <c r="B474" s="1" t="n">
        <v>45579.6725</v>
      </c>
      <c r="C474" s="1" t="n">
        <v>46089</v>
      </c>
      <c r="D474" t="inlineStr">
        <is>
          <t>NORRBOTTENS LÄN</t>
        </is>
      </c>
      <c r="E474" t="inlineStr">
        <is>
          <t>ARVIDSJAUR</t>
        </is>
      </c>
      <c r="F474" t="inlineStr">
        <is>
          <t>Sveaskog</t>
        </is>
      </c>
      <c r="G474" t="n">
        <v>37.7</v>
      </c>
      <c r="H474" t="n">
        <v>0</v>
      </c>
      <c r="I474" t="n">
        <v>0</v>
      </c>
      <c r="J474" t="n">
        <v>0</v>
      </c>
      <c r="K474" t="n">
        <v>0</v>
      </c>
      <c r="L474" t="n">
        <v>0</v>
      </c>
      <c r="M474" t="n">
        <v>0</v>
      </c>
      <c r="N474" t="n">
        <v>0</v>
      </c>
      <c r="O474" t="n">
        <v>0</v>
      </c>
      <c r="P474" t="n">
        <v>0</v>
      </c>
      <c r="Q474" t="n">
        <v>0</v>
      </c>
      <c r="R474" s="2" t="inlineStr"/>
    </row>
    <row r="475" ht="15" customHeight="1">
      <c r="A475" t="inlineStr">
        <is>
          <t>A 44557-2023</t>
        </is>
      </c>
      <c r="B475" s="1" t="n">
        <v>45189.53853009259</v>
      </c>
      <c r="C475" s="1" t="n">
        <v>46089</v>
      </c>
      <c r="D475" t="inlineStr">
        <is>
          <t>NORRBOTTENS LÄN</t>
        </is>
      </c>
      <c r="E475" t="inlineStr">
        <is>
          <t>ARVIDSJAUR</t>
        </is>
      </c>
      <c r="F475" t="inlineStr">
        <is>
          <t>Sveaskog</t>
        </is>
      </c>
      <c r="G475" t="n">
        <v>3.8</v>
      </c>
      <c r="H475" t="n">
        <v>0</v>
      </c>
      <c r="I475" t="n">
        <v>0</v>
      </c>
      <c r="J475" t="n">
        <v>0</v>
      </c>
      <c r="K475" t="n">
        <v>0</v>
      </c>
      <c r="L475" t="n">
        <v>0</v>
      </c>
      <c r="M475" t="n">
        <v>0</v>
      </c>
      <c r="N475" t="n">
        <v>0</v>
      </c>
      <c r="O475" t="n">
        <v>0</v>
      </c>
      <c r="P475" t="n">
        <v>0</v>
      </c>
      <c r="Q475" t="n">
        <v>0</v>
      </c>
      <c r="R475" s="2" t="inlineStr"/>
    </row>
    <row r="476" ht="15" customHeight="1">
      <c r="A476" t="inlineStr">
        <is>
          <t>A 23583-2021</t>
        </is>
      </c>
      <c r="B476" s="1" t="n">
        <v>44334</v>
      </c>
      <c r="C476" s="1" t="n">
        <v>46089</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30749-2023</t>
        </is>
      </c>
      <c r="B477" s="1" t="n">
        <v>45103</v>
      </c>
      <c r="C477" s="1" t="n">
        <v>46089</v>
      </c>
      <c r="D477" t="inlineStr">
        <is>
          <t>NORRBOTTENS LÄN</t>
        </is>
      </c>
      <c r="E477" t="inlineStr">
        <is>
          <t>ARVIDSJAUR</t>
        </is>
      </c>
      <c r="G477" t="n">
        <v>5</v>
      </c>
      <c r="H477" t="n">
        <v>0</v>
      </c>
      <c r="I477" t="n">
        <v>0</v>
      </c>
      <c r="J477" t="n">
        <v>0</v>
      </c>
      <c r="K477" t="n">
        <v>0</v>
      </c>
      <c r="L477" t="n">
        <v>0</v>
      </c>
      <c r="M477" t="n">
        <v>0</v>
      </c>
      <c r="N477" t="n">
        <v>0</v>
      </c>
      <c r="O477" t="n">
        <v>0</v>
      </c>
      <c r="P477" t="n">
        <v>0</v>
      </c>
      <c r="Q477" t="n">
        <v>0</v>
      </c>
      <c r="R477" s="2" t="inlineStr"/>
    </row>
    <row r="478" ht="15" customHeight="1">
      <c r="A478" t="inlineStr">
        <is>
          <t>A 50472-2022</t>
        </is>
      </c>
      <c r="B478" s="1" t="n">
        <v>44861</v>
      </c>
      <c r="C478" s="1" t="n">
        <v>46089</v>
      </c>
      <c r="D478" t="inlineStr">
        <is>
          <t>NORRBOTTENS LÄN</t>
        </is>
      </c>
      <c r="E478" t="inlineStr">
        <is>
          <t>ARVIDSJAUR</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54211-2024</t>
        </is>
      </c>
      <c r="B479" s="1" t="n">
        <v>45616</v>
      </c>
      <c r="C479" s="1" t="n">
        <v>46089</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10126-2024</t>
        </is>
      </c>
      <c r="B480" s="1" t="n">
        <v>45364</v>
      </c>
      <c r="C480" s="1" t="n">
        <v>46089</v>
      </c>
      <c r="D480" t="inlineStr">
        <is>
          <t>NORRBOTTENS LÄN</t>
        </is>
      </c>
      <c r="E480" t="inlineStr">
        <is>
          <t>ARVIDSJAUR</t>
        </is>
      </c>
      <c r="F480" t="inlineStr">
        <is>
          <t>Sveaskog</t>
        </is>
      </c>
      <c r="G480" t="n">
        <v>19.8</v>
      </c>
      <c r="H480" t="n">
        <v>0</v>
      </c>
      <c r="I480" t="n">
        <v>0</v>
      </c>
      <c r="J480" t="n">
        <v>0</v>
      </c>
      <c r="K480" t="n">
        <v>0</v>
      </c>
      <c r="L480" t="n">
        <v>0</v>
      </c>
      <c r="M480" t="n">
        <v>0</v>
      </c>
      <c r="N480" t="n">
        <v>0</v>
      </c>
      <c r="O480" t="n">
        <v>0</v>
      </c>
      <c r="P480" t="n">
        <v>0</v>
      </c>
      <c r="Q480" t="n">
        <v>0</v>
      </c>
      <c r="R480" s="2" t="inlineStr"/>
    </row>
    <row r="481" ht="15" customHeight="1">
      <c r="A481" t="inlineStr">
        <is>
          <t>A 7327-2025</t>
        </is>
      </c>
      <c r="B481" s="1" t="n">
        <v>45702</v>
      </c>
      <c r="C481" s="1" t="n">
        <v>46089</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20393-2025</t>
        </is>
      </c>
      <c r="B482" s="1" t="n">
        <v>45775.44886574074</v>
      </c>
      <c r="C482" s="1" t="n">
        <v>46089</v>
      </c>
      <c r="D482" t="inlineStr">
        <is>
          <t>NORRBOTTENS LÄN</t>
        </is>
      </c>
      <c r="E482" t="inlineStr">
        <is>
          <t>ARVIDSJAUR</t>
        </is>
      </c>
      <c r="G482" t="n">
        <v>7.6</v>
      </c>
      <c r="H482" t="n">
        <v>0</v>
      </c>
      <c r="I482" t="n">
        <v>0</v>
      </c>
      <c r="J482" t="n">
        <v>0</v>
      </c>
      <c r="K482" t="n">
        <v>0</v>
      </c>
      <c r="L482" t="n">
        <v>0</v>
      </c>
      <c r="M482" t="n">
        <v>0</v>
      </c>
      <c r="N482" t="n">
        <v>0</v>
      </c>
      <c r="O482" t="n">
        <v>0</v>
      </c>
      <c r="P482" t="n">
        <v>0</v>
      </c>
      <c r="Q482" t="n">
        <v>0</v>
      </c>
      <c r="R482" s="2" t="inlineStr"/>
    </row>
    <row r="483" ht="15" customHeight="1">
      <c r="A483" t="inlineStr">
        <is>
          <t>A 11538-2025</t>
        </is>
      </c>
      <c r="B483" s="1" t="n">
        <v>45726</v>
      </c>
      <c r="C483" s="1" t="n">
        <v>46089</v>
      </c>
      <c r="D483" t="inlineStr">
        <is>
          <t>NORRBOTTENS LÄN</t>
        </is>
      </c>
      <c r="E483" t="inlineStr">
        <is>
          <t>ARVIDSJAUR</t>
        </is>
      </c>
      <c r="F483" t="inlineStr">
        <is>
          <t>Allmännings- och besparingsskogar</t>
        </is>
      </c>
      <c r="G483" t="n">
        <v>15.3</v>
      </c>
      <c r="H483" t="n">
        <v>0</v>
      </c>
      <c r="I483" t="n">
        <v>0</v>
      </c>
      <c r="J483" t="n">
        <v>0</v>
      </c>
      <c r="K483" t="n">
        <v>0</v>
      </c>
      <c r="L483" t="n">
        <v>0</v>
      </c>
      <c r="M483" t="n">
        <v>0</v>
      </c>
      <c r="N483" t="n">
        <v>0</v>
      </c>
      <c r="O483" t="n">
        <v>0</v>
      </c>
      <c r="P483" t="n">
        <v>0</v>
      </c>
      <c r="Q483" t="n">
        <v>0</v>
      </c>
      <c r="R483" s="2" t="inlineStr"/>
    </row>
    <row r="484" ht="15" customHeight="1">
      <c r="A484" t="inlineStr">
        <is>
          <t>A 54521-2023</t>
        </is>
      </c>
      <c r="B484" s="1" t="n">
        <v>45226</v>
      </c>
      <c r="C484" s="1" t="n">
        <v>46089</v>
      </c>
      <c r="D484" t="inlineStr">
        <is>
          <t>NORRBOTTENS LÄN</t>
        </is>
      </c>
      <c r="E484" t="inlineStr">
        <is>
          <t>ARVIDSJAUR</t>
        </is>
      </c>
      <c r="G484" t="n">
        <v>2.5</v>
      </c>
      <c r="H484" t="n">
        <v>0</v>
      </c>
      <c r="I484" t="n">
        <v>0</v>
      </c>
      <c r="J484" t="n">
        <v>0</v>
      </c>
      <c r="K484" t="n">
        <v>0</v>
      </c>
      <c r="L484" t="n">
        <v>0</v>
      </c>
      <c r="M484" t="n">
        <v>0</v>
      </c>
      <c r="N484" t="n">
        <v>0</v>
      </c>
      <c r="O484" t="n">
        <v>0</v>
      </c>
      <c r="P484" t="n">
        <v>0</v>
      </c>
      <c r="Q484" t="n">
        <v>0</v>
      </c>
      <c r="R484" s="2" t="inlineStr"/>
    </row>
    <row r="485" ht="15" customHeight="1">
      <c r="A485" t="inlineStr">
        <is>
          <t>A 61625-2024</t>
        </is>
      </c>
      <c r="B485" s="1" t="n">
        <v>45646</v>
      </c>
      <c r="C485" s="1" t="n">
        <v>46089</v>
      </c>
      <c r="D485" t="inlineStr">
        <is>
          <t>NORRBOTTENS LÄN</t>
        </is>
      </c>
      <c r="E485" t="inlineStr">
        <is>
          <t>ARVIDSJAUR</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22696-2024</t>
        </is>
      </c>
      <c r="B486" s="1" t="n">
        <v>45448</v>
      </c>
      <c r="C486" s="1" t="n">
        <v>46089</v>
      </c>
      <c r="D486" t="inlineStr">
        <is>
          <t>NORRBOTTENS LÄN</t>
        </is>
      </c>
      <c r="E486" t="inlineStr">
        <is>
          <t>ARVIDSJAUR</t>
        </is>
      </c>
      <c r="F486" t="inlineStr">
        <is>
          <t>Sveaskog</t>
        </is>
      </c>
      <c r="G486" t="n">
        <v>23.1</v>
      </c>
      <c r="H486" t="n">
        <v>0</v>
      </c>
      <c r="I486" t="n">
        <v>0</v>
      </c>
      <c r="J486" t="n">
        <v>0</v>
      </c>
      <c r="K486" t="n">
        <v>0</v>
      </c>
      <c r="L486" t="n">
        <v>0</v>
      </c>
      <c r="M486" t="n">
        <v>0</v>
      </c>
      <c r="N486" t="n">
        <v>0</v>
      </c>
      <c r="O486" t="n">
        <v>0</v>
      </c>
      <c r="P486" t="n">
        <v>0</v>
      </c>
      <c r="Q486" t="n">
        <v>0</v>
      </c>
      <c r="R486" s="2" t="inlineStr"/>
    </row>
    <row r="487" ht="15" customHeight="1">
      <c r="A487" t="inlineStr">
        <is>
          <t>A 58025-2023</t>
        </is>
      </c>
      <c r="B487" s="1" t="n">
        <v>45244</v>
      </c>
      <c r="C487" s="1" t="n">
        <v>46089</v>
      </c>
      <c r="D487" t="inlineStr">
        <is>
          <t>NORRBOTTENS LÄN</t>
        </is>
      </c>
      <c r="E487" t="inlineStr">
        <is>
          <t>ARVIDSJAUR</t>
        </is>
      </c>
      <c r="G487" t="n">
        <v>4.2</v>
      </c>
      <c r="H487" t="n">
        <v>0</v>
      </c>
      <c r="I487" t="n">
        <v>0</v>
      </c>
      <c r="J487" t="n">
        <v>0</v>
      </c>
      <c r="K487" t="n">
        <v>0</v>
      </c>
      <c r="L487" t="n">
        <v>0</v>
      </c>
      <c r="M487" t="n">
        <v>0</v>
      </c>
      <c r="N487" t="n">
        <v>0</v>
      </c>
      <c r="O487" t="n">
        <v>0</v>
      </c>
      <c r="P487" t="n">
        <v>0</v>
      </c>
      <c r="Q487" t="n">
        <v>0</v>
      </c>
      <c r="R487" s="2" t="inlineStr"/>
    </row>
    <row r="488" ht="15" customHeight="1">
      <c r="A488" t="inlineStr">
        <is>
          <t>A 58941-2022</t>
        </is>
      </c>
      <c r="B488" s="1" t="n">
        <v>44903</v>
      </c>
      <c r="C488" s="1" t="n">
        <v>46089</v>
      </c>
      <c r="D488" t="inlineStr">
        <is>
          <t>NORRBOTTENS LÄN</t>
        </is>
      </c>
      <c r="E488" t="inlineStr">
        <is>
          <t>ARVIDSJAUR</t>
        </is>
      </c>
      <c r="F488" t="inlineStr">
        <is>
          <t>Sveaskog</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42695-2023</t>
        </is>
      </c>
      <c r="B489" s="1" t="n">
        <v>45176</v>
      </c>
      <c r="C489" s="1" t="n">
        <v>46089</v>
      </c>
      <c r="D489" t="inlineStr">
        <is>
          <t>NORRBOTTENS LÄN</t>
        </is>
      </c>
      <c r="E489" t="inlineStr">
        <is>
          <t>ARVIDSJAUR</t>
        </is>
      </c>
      <c r="G489" t="n">
        <v>2.7</v>
      </c>
      <c r="H489" t="n">
        <v>0</v>
      </c>
      <c r="I489" t="n">
        <v>0</v>
      </c>
      <c r="J489" t="n">
        <v>0</v>
      </c>
      <c r="K489" t="n">
        <v>0</v>
      </c>
      <c r="L489" t="n">
        <v>0</v>
      </c>
      <c r="M489" t="n">
        <v>0</v>
      </c>
      <c r="N489" t="n">
        <v>0</v>
      </c>
      <c r="O489" t="n">
        <v>0</v>
      </c>
      <c r="P489" t="n">
        <v>0</v>
      </c>
      <c r="Q489" t="n">
        <v>0</v>
      </c>
      <c r="R489" s="2" t="inlineStr"/>
    </row>
    <row r="490" ht="15" customHeight="1">
      <c r="A490" t="inlineStr">
        <is>
          <t>A 52407-2021</t>
        </is>
      </c>
      <c r="B490" s="1" t="n">
        <v>44463</v>
      </c>
      <c r="C490" s="1" t="n">
        <v>46089</v>
      </c>
      <c r="D490" t="inlineStr">
        <is>
          <t>NORRBOTTENS LÄN</t>
        </is>
      </c>
      <c r="E490" t="inlineStr">
        <is>
          <t>ARVIDSJAUR</t>
        </is>
      </c>
      <c r="G490" t="n">
        <v>10.3</v>
      </c>
      <c r="H490" t="n">
        <v>0</v>
      </c>
      <c r="I490" t="n">
        <v>0</v>
      </c>
      <c r="J490" t="n">
        <v>0</v>
      </c>
      <c r="K490" t="n">
        <v>0</v>
      </c>
      <c r="L490" t="n">
        <v>0</v>
      </c>
      <c r="M490" t="n">
        <v>0</v>
      </c>
      <c r="N490" t="n">
        <v>0</v>
      </c>
      <c r="O490" t="n">
        <v>0</v>
      </c>
      <c r="P490" t="n">
        <v>0</v>
      </c>
      <c r="Q490" t="n">
        <v>0</v>
      </c>
      <c r="R490" s="2" t="inlineStr"/>
    </row>
    <row r="491" ht="15" customHeight="1">
      <c r="A491" t="inlineStr">
        <is>
          <t>A 48373-2024</t>
        </is>
      </c>
      <c r="B491" s="1" t="n">
        <v>45590</v>
      </c>
      <c r="C491" s="1" t="n">
        <v>46089</v>
      </c>
      <c r="D491" t="inlineStr">
        <is>
          <t>NORRBOTTENS LÄN</t>
        </is>
      </c>
      <c r="E491" t="inlineStr">
        <is>
          <t>ARVIDSJAUR</t>
        </is>
      </c>
      <c r="F491" t="inlineStr">
        <is>
          <t>Sveaskog</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10832-2025</t>
        </is>
      </c>
      <c r="B492" s="1" t="n">
        <v>45722</v>
      </c>
      <c r="C492" s="1" t="n">
        <v>46089</v>
      </c>
      <c r="D492" t="inlineStr">
        <is>
          <t>NORRBOTTENS LÄN</t>
        </is>
      </c>
      <c r="E492" t="inlineStr">
        <is>
          <t>ARVIDSJAUR</t>
        </is>
      </c>
      <c r="G492" t="n">
        <v>1</v>
      </c>
      <c r="H492" t="n">
        <v>0</v>
      </c>
      <c r="I492" t="n">
        <v>0</v>
      </c>
      <c r="J492" t="n">
        <v>0</v>
      </c>
      <c r="K492" t="n">
        <v>0</v>
      </c>
      <c r="L492" t="n">
        <v>0</v>
      </c>
      <c r="M492" t="n">
        <v>0</v>
      </c>
      <c r="N492" t="n">
        <v>0</v>
      </c>
      <c r="O492" t="n">
        <v>0</v>
      </c>
      <c r="P492" t="n">
        <v>0</v>
      </c>
      <c r="Q492" t="n">
        <v>0</v>
      </c>
      <c r="R492" s="2" t="inlineStr"/>
    </row>
    <row r="493" ht="15" customHeight="1">
      <c r="A493" t="inlineStr">
        <is>
          <t>A 10852-2025</t>
        </is>
      </c>
      <c r="B493" s="1" t="n">
        <v>45722</v>
      </c>
      <c r="C493" s="1" t="n">
        <v>46089</v>
      </c>
      <c r="D493" t="inlineStr">
        <is>
          <t>NORRBOTTENS LÄN</t>
        </is>
      </c>
      <c r="E493" t="inlineStr">
        <is>
          <t>ARVIDSJAUR</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30756-2023</t>
        </is>
      </c>
      <c r="B494" s="1" t="n">
        <v>45103</v>
      </c>
      <c r="C494" s="1" t="n">
        <v>46089</v>
      </c>
      <c r="D494" t="inlineStr">
        <is>
          <t>NORRBOTTENS LÄN</t>
        </is>
      </c>
      <c r="E494" t="inlineStr">
        <is>
          <t>ARVIDSJAUR</t>
        </is>
      </c>
      <c r="G494" t="n">
        <v>1.9</v>
      </c>
      <c r="H494" t="n">
        <v>0</v>
      </c>
      <c r="I494" t="n">
        <v>0</v>
      </c>
      <c r="J494" t="n">
        <v>0</v>
      </c>
      <c r="K494" t="n">
        <v>0</v>
      </c>
      <c r="L494" t="n">
        <v>0</v>
      </c>
      <c r="M494" t="n">
        <v>0</v>
      </c>
      <c r="N494" t="n">
        <v>0</v>
      </c>
      <c r="O494" t="n">
        <v>0</v>
      </c>
      <c r="P494" t="n">
        <v>0</v>
      </c>
      <c r="Q494" t="n">
        <v>0</v>
      </c>
      <c r="R494" s="2" t="inlineStr"/>
    </row>
    <row r="495" ht="15" customHeight="1">
      <c r="A495" t="inlineStr">
        <is>
          <t>A 41599-2024</t>
        </is>
      </c>
      <c r="B495" s="1" t="n">
        <v>45560</v>
      </c>
      <c r="C495" s="1" t="n">
        <v>46089</v>
      </c>
      <c r="D495" t="inlineStr">
        <is>
          <t>NORRBOTTENS LÄN</t>
        </is>
      </c>
      <c r="E495" t="inlineStr">
        <is>
          <t>ARVIDSJAUR</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3265-2024</t>
        </is>
      </c>
      <c r="B496" s="1" t="n">
        <v>45316</v>
      </c>
      <c r="C496" s="1" t="n">
        <v>46089</v>
      </c>
      <c r="D496" t="inlineStr">
        <is>
          <t>NORRBOTTENS LÄN</t>
        </is>
      </c>
      <c r="E496" t="inlineStr">
        <is>
          <t>ARVIDSJAUR</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51631-2023</t>
        </is>
      </c>
      <c r="B497" s="1" t="n">
        <v>45222.53628472222</v>
      </c>
      <c r="C497" s="1" t="n">
        <v>46089</v>
      </c>
      <c r="D497" t="inlineStr">
        <is>
          <t>NORRBOTTENS LÄN</t>
        </is>
      </c>
      <c r="E497" t="inlineStr">
        <is>
          <t>ARVIDSJAUR</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9621-2024</t>
        </is>
      </c>
      <c r="B498" s="1" t="n">
        <v>45361</v>
      </c>
      <c r="C498" s="1" t="n">
        <v>46089</v>
      </c>
      <c r="D498" t="inlineStr">
        <is>
          <t>NORRBOTTENS LÄN</t>
        </is>
      </c>
      <c r="E498" t="inlineStr">
        <is>
          <t>ARVIDSJAUR</t>
        </is>
      </c>
      <c r="G498" t="n">
        <v>0.4</v>
      </c>
      <c r="H498" t="n">
        <v>0</v>
      </c>
      <c r="I498" t="n">
        <v>0</v>
      </c>
      <c r="J498" t="n">
        <v>0</v>
      </c>
      <c r="K498" t="n">
        <v>0</v>
      </c>
      <c r="L498" t="n">
        <v>0</v>
      </c>
      <c r="M498" t="n">
        <v>0</v>
      </c>
      <c r="N498" t="n">
        <v>0</v>
      </c>
      <c r="O498" t="n">
        <v>0</v>
      </c>
      <c r="P498" t="n">
        <v>0</v>
      </c>
      <c r="Q498" t="n">
        <v>0</v>
      </c>
      <c r="R498" s="2" t="inlineStr"/>
    </row>
    <row r="499" ht="15" customHeight="1">
      <c r="A499" t="inlineStr">
        <is>
          <t>A 29677-2024</t>
        </is>
      </c>
      <c r="B499" s="1" t="n">
        <v>45484</v>
      </c>
      <c r="C499" s="1" t="n">
        <v>46089</v>
      </c>
      <c r="D499" t="inlineStr">
        <is>
          <t>NORRBOTTENS LÄN</t>
        </is>
      </c>
      <c r="E499" t="inlineStr">
        <is>
          <t>ARVIDSJAUR</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61202-2022</t>
        </is>
      </c>
      <c r="B500" s="1" t="n">
        <v>44915</v>
      </c>
      <c r="C500" s="1" t="n">
        <v>46089</v>
      </c>
      <c r="D500" t="inlineStr">
        <is>
          <t>NORRBOTTENS LÄN</t>
        </is>
      </c>
      <c r="E500" t="inlineStr">
        <is>
          <t>ARVIDSJAUR</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11571-2025</t>
        </is>
      </c>
      <c r="B501" s="1" t="n">
        <v>45726</v>
      </c>
      <c r="C501" s="1" t="n">
        <v>46089</v>
      </c>
      <c r="D501" t="inlineStr">
        <is>
          <t>NORRBOTTENS LÄN</t>
        </is>
      </c>
      <c r="E501" t="inlineStr">
        <is>
          <t>ARVIDSJAUR</t>
        </is>
      </c>
      <c r="F501" t="inlineStr">
        <is>
          <t>Allmännings- och besparingsskogar</t>
        </is>
      </c>
      <c r="G501" t="n">
        <v>1.3</v>
      </c>
      <c r="H501" t="n">
        <v>0</v>
      </c>
      <c r="I501" t="n">
        <v>0</v>
      </c>
      <c r="J501" t="n">
        <v>0</v>
      </c>
      <c r="K501" t="n">
        <v>0</v>
      </c>
      <c r="L501" t="n">
        <v>0</v>
      </c>
      <c r="M501" t="n">
        <v>0</v>
      </c>
      <c r="N501" t="n">
        <v>0</v>
      </c>
      <c r="O501" t="n">
        <v>0</v>
      </c>
      <c r="P501" t="n">
        <v>0</v>
      </c>
      <c r="Q501" t="n">
        <v>0</v>
      </c>
      <c r="R501" s="2" t="inlineStr"/>
    </row>
    <row r="502" ht="15" customHeight="1">
      <c r="A502" t="inlineStr">
        <is>
          <t>A 7084-2025</t>
        </is>
      </c>
      <c r="B502" s="1" t="n">
        <v>45701</v>
      </c>
      <c r="C502" s="1" t="n">
        <v>46089</v>
      </c>
      <c r="D502" t="inlineStr">
        <is>
          <t>NORRBOTTENS LÄN</t>
        </is>
      </c>
      <c r="E502" t="inlineStr">
        <is>
          <t>ARVIDSJAUR</t>
        </is>
      </c>
      <c r="G502" t="n">
        <v>1.7</v>
      </c>
      <c r="H502" t="n">
        <v>0</v>
      </c>
      <c r="I502" t="n">
        <v>0</v>
      </c>
      <c r="J502" t="n">
        <v>0</v>
      </c>
      <c r="K502" t="n">
        <v>0</v>
      </c>
      <c r="L502" t="n">
        <v>0</v>
      </c>
      <c r="M502" t="n">
        <v>0</v>
      </c>
      <c r="N502" t="n">
        <v>0</v>
      </c>
      <c r="O502" t="n">
        <v>0</v>
      </c>
      <c r="P502" t="n">
        <v>0</v>
      </c>
      <c r="Q502" t="n">
        <v>0</v>
      </c>
      <c r="R502" s="2" t="inlineStr"/>
    </row>
    <row r="503" ht="15" customHeight="1">
      <c r="A503" t="inlineStr">
        <is>
          <t>A 46443-2024</t>
        </is>
      </c>
      <c r="B503" s="1" t="n">
        <v>45582</v>
      </c>
      <c r="C503" s="1" t="n">
        <v>46089</v>
      </c>
      <c r="D503" t="inlineStr">
        <is>
          <t>NORRBOTTENS LÄN</t>
        </is>
      </c>
      <c r="E503" t="inlineStr">
        <is>
          <t>ARVIDSJAUR</t>
        </is>
      </c>
      <c r="G503" t="n">
        <v>4.3</v>
      </c>
      <c r="H503" t="n">
        <v>0</v>
      </c>
      <c r="I503" t="n">
        <v>0</v>
      </c>
      <c r="J503" t="n">
        <v>0</v>
      </c>
      <c r="K503" t="n">
        <v>0</v>
      </c>
      <c r="L503" t="n">
        <v>0</v>
      </c>
      <c r="M503" t="n">
        <v>0</v>
      </c>
      <c r="N503" t="n">
        <v>0</v>
      </c>
      <c r="O503" t="n">
        <v>0</v>
      </c>
      <c r="P503" t="n">
        <v>0</v>
      </c>
      <c r="Q503" t="n">
        <v>0</v>
      </c>
      <c r="R503" s="2" t="inlineStr"/>
    </row>
    <row r="504" ht="15" customHeight="1">
      <c r="A504" t="inlineStr">
        <is>
          <t>A 50323-2024</t>
        </is>
      </c>
      <c r="B504" s="1" t="n">
        <v>45600.67706018518</v>
      </c>
      <c r="C504" s="1" t="n">
        <v>46089</v>
      </c>
      <c r="D504" t="inlineStr">
        <is>
          <t>NORRBOTTENS LÄN</t>
        </is>
      </c>
      <c r="E504" t="inlineStr">
        <is>
          <t>ARVIDSJAUR</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26841-2024</t>
        </is>
      </c>
      <c r="B505" s="1" t="n">
        <v>45470.57751157408</v>
      </c>
      <c r="C505" s="1" t="n">
        <v>46089</v>
      </c>
      <c r="D505" t="inlineStr">
        <is>
          <t>NORRBOTTENS LÄN</t>
        </is>
      </c>
      <c r="E505" t="inlineStr">
        <is>
          <t>ARVIDSJAUR</t>
        </is>
      </c>
      <c r="G505" t="n">
        <v>1.5</v>
      </c>
      <c r="H505" t="n">
        <v>0</v>
      </c>
      <c r="I505" t="n">
        <v>0</v>
      </c>
      <c r="J505" t="n">
        <v>0</v>
      </c>
      <c r="K505" t="n">
        <v>0</v>
      </c>
      <c r="L505" t="n">
        <v>0</v>
      </c>
      <c r="M505" t="n">
        <v>0</v>
      </c>
      <c r="N505" t="n">
        <v>0</v>
      </c>
      <c r="O505" t="n">
        <v>0</v>
      </c>
      <c r="P505" t="n">
        <v>0</v>
      </c>
      <c r="Q505" t="n">
        <v>0</v>
      </c>
      <c r="R505" s="2" t="inlineStr"/>
    </row>
    <row r="506" ht="15" customHeight="1">
      <c r="A506" t="inlineStr">
        <is>
          <t>A 26835-2024</t>
        </is>
      </c>
      <c r="B506" s="1" t="n">
        <v>45470.57364583333</v>
      </c>
      <c r="C506" s="1" t="n">
        <v>46089</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2908-2024</t>
        </is>
      </c>
      <c r="B507" s="1" t="n">
        <v>45315</v>
      </c>
      <c r="C507" s="1" t="n">
        <v>46089</v>
      </c>
      <c r="D507" t="inlineStr">
        <is>
          <t>NORRBOTTENS LÄN</t>
        </is>
      </c>
      <c r="E507" t="inlineStr">
        <is>
          <t>ARVIDSJAUR</t>
        </is>
      </c>
      <c r="F507" t="inlineStr">
        <is>
          <t>Allmännings- och besparingsskogar</t>
        </is>
      </c>
      <c r="G507" t="n">
        <v>6.1</v>
      </c>
      <c r="H507" t="n">
        <v>0</v>
      </c>
      <c r="I507" t="n">
        <v>0</v>
      </c>
      <c r="J507" t="n">
        <v>0</v>
      </c>
      <c r="K507" t="n">
        <v>0</v>
      </c>
      <c r="L507" t="n">
        <v>0</v>
      </c>
      <c r="M507" t="n">
        <v>0</v>
      </c>
      <c r="N507" t="n">
        <v>0</v>
      </c>
      <c r="O507" t="n">
        <v>0</v>
      </c>
      <c r="P507" t="n">
        <v>0</v>
      </c>
      <c r="Q507" t="n">
        <v>0</v>
      </c>
      <c r="R507" s="2" t="inlineStr"/>
    </row>
    <row r="508" ht="15" customHeight="1">
      <c r="A508" t="inlineStr">
        <is>
          <t>A 33134-2023</t>
        </is>
      </c>
      <c r="B508" s="1" t="n">
        <v>45114</v>
      </c>
      <c r="C508" s="1" t="n">
        <v>46089</v>
      </c>
      <c r="D508" t="inlineStr">
        <is>
          <t>NORRBOTTENS LÄN</t>
        </is>
      </c>
      <c r="E508" t="inlineStr">
        <is>
          <t>ARVIDSJAUR</t>
        </is>
      </c>
      <c r="G508" t="n">
        <v>16.3</v>
      </c>
      <c r="H508" t="n">
        <v>0</v>
      </c>
      <c r="I508" t="n">
        <v>0</v>
      </c>
      <c r="J508" t="n">
        <v>0</v>
      </c>
      <c r="K508" t="n">
        <v>0</v>
      </c>
      <c r="L508" t="n">
        <v>0</v>
      </c>
      <c r="M508" t="n">
        <v>0</v>
      </c>
      <c r="N508" t="n">
        <v>0</v>
      </c>
      <c r="O508" t="n">
        <v>0</v>
      </c>
      <c r="P508" t="n">
        <v>0</v>
      </c>
      <c r="Q508" t="n">
        <v>0</v>
      </c>
      <c r="R508" s="2" t="inlineStr"/>
    </row>
    <row r="509" ht="15" customHeight="1">
      <c r="A509" t="inlineStr">
        <is>
          <t>A 40937-2023</t>
        </is>
      </c>
      <c r="B509" s="1" t="n">
        <v>45173</v>
      </c>
      <c r="C509" s="1" t="n">
        <v>46089</v>
      </c>
      <c r="D509" t="inlineStr">
        <is>
          <t>NORRBOTTENS LÄN</t>
        </is>
      </c>
      <c r="E509" t="inlineStr">
        <is>
          <t>ARVIDSJAUR</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39845-2023</t>
        </is>
      </c>
      <c r="B510" s="1" t="n">
        <v>45166</v>
      </c>
      <c r="C510" s="1" t="n">
        <v>46089</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11535-2025</t>
        </is>
      </c>
      <c r="B511" s="1" t="n">
        <v>45726</v>
      </c>
      <c r="C511" s="1" t="n">
        <v>46089</v>
      </c>
      <c r="D511" t="inlineStr">
        <is>
          <t>NORRBOTTENS LÄN</t>
        </is>
      </c>
      <c r="E511" t="inlineStr">
        <is>
          <t>ARVIDSJAUR</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11539-2025</t>
        </is>
      </c>
      <c r="B512" s="1" t="n">
        <v>45726</v>
      </c>
      <c r="C512" s="1" t="n">
        <v>46089</v>
      </c>
      <c r="D512" t="inlineStr">
        <is>
          <t>NORRBOTTENS LÄN</t>
        </is>
      </c>
      <c r="E512" t="inlineStr">
        <is>
          <t>ARVIDSJAUR</t>
        </is>
      </c>
      <c r="F512" t="inlineStr">
        <is>
          <t>Allmännings- och besparingsskogar</t>
        </is>
      </c>
      <c r="G512" t="n">
        <v>14.3</v>
      </c>
      <c r="H512" t="n">
        <v>0</v>
      </c>
      <c r="I512" t="n">
        <v>0</v>
      </c>
      <c r="J512" t="n">
        <v>0</v>
      </c>
      <c r="K512" t="n">
        <v>0</v>
      </c>
      <c r="L512" t="n">
        <v>0</v>
      </c>
      <c r="M512" t="n">
        <v>0</v>
      </c>
      <c r="N512" t="n">
        <v>0</v>
      </c>
      <c r="O512" t="n">
        <v>0</v>
      </c>
      <c r="P512" t="n">
        <v>0</v>
      </c>
      <c r="Q512" t="n">
        <v>0</v>
      </c>
      <c r="R512" s="2" t="inlineStr"/>
    </row>
    <row r="513" ht="15" customHeight="1">
      <c r="A513" t="inlineStr">
        <is>
          <t>A 11620-2025</t>
        </is>
      </c>
      <c r="B513" s="1" t="n">
        <v>45726</v>
      </c>
      <c r="C513" s="1" t="n">
        <v>46089</v>
      </c>
      <c r="D513" t="inlineStr">
        <is>
          <t>NORRBOTTENS LÄN</t>
        </is>
      </c>
      <c r="E513" t="inlineStr">
        <is>
          <t>ARVIDSJAUR</t>
        </is>
      </c>
      <c r="F513" t="inlineStr">
        <is>
          <t>Allmännings- och besparingsskogar</t>
        </is>
      </c>
      <c r="G513" t="n">
        <v>14.1</v>
      </c>
      <c r="H513" t="n">
        <v>0</v>
      </c>
      <c r="I513" t="n">
        <v>0</v>
      </c>
      <c r="J513" t="n">
        <v>0</v>
      </c>
      <c r="K513" t="n">
        <v>0</v>
      </c>
      <c r="L513" t="n">
        <v>0</v>
      </c>
      <c r="M513" t="n">
        <v>0</v>
      </c>
      <c r="N513" t="n">
        <v>0</v>
      </c>
      <c r="O513" t="n">
        <v>0</v>
      </c>
      <c r="P513" t="n">
        <v>0</v>
      </c>
      <c r="Q513" t="n">
        <v>0</v>
      </c>
      <c r="R513" s="2" t="inlineStr"/>
    </row>
    <row r="514" ht="15" customHeight="1">
      <c r="A514" t="inlineStr">
        <is>
          <t>A 23592-2024</t>
        </is>
      </c>
      <c r="B514" s="1" t="n">
        <v>45454</v>
      </c>
      <c r="C514" s="1" t="n">
        <v>46089</v>
      </c>
      <c r="D514" t="inlineStr">
        <is>
          <t>NORRBOTTENS LÄN</t>
        </is>
      </c>
      <c r="E514" t="inlineStr">
        <is>
          <t>ARVIDSJAUR</t>
        </is>
      </c>
      <c r="G514" t="n">
        <v>2.4</v>
      </c>
      <c r="H514" t="n">
        <v>0</v>
      </c>
      <c r="I514" t="n">
        <v>0</v>
      </c>
      <c r="J514" t="n">
        <v>0</v>
      </c>
      <c r="K514" t="n">
        <v>0</v>
      </c>
      <c r="L514" t="n">
        <v>0</v>
      </c>
      <c r="M514" t="n">
        <v>0</v>
      </c>
      <c r="N514" t="n">
        <v>0</v>
      </c>
      <c r="O514" t="n">
        <v>0</v>
      </c>
      <c r="P514" t="n">
        <v>0</v>
      </c>
      <c r="Q514" t="n">
        <v>0</v>
      </c>
      <c r="R514" s="2" t="inlineStr"/>
    </row>
    <row r="515">
      <c r="A515" t="inlineStr">
        <is>
          <t>A 36400-2022</t>
        </is>
      </c>
      <c r="B515" s="1" t="n">
        <v>44804</v>
      </c>
      <c r="C515" s="1" t="n">
        <v>46089</v>
      </c>
      <c r="D515" t="inlineStr">
        <is>
          <t>NORRBOTTENS LÄN</t>
        </is>
      </c>
      <c r="E515" t="inlineStr">
        <is>
          <t>ARVIDSJAUR</t>
        </is>
      </c>
      <c r="G515" t="n">
        <v>0.8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2026-03-08T11:15:58Z</dcterms:created>
  <dcterms:modified xmlns:dcterms="http://purl.org/dc/terms/" xmlns:xsi="http://www.w3.org/2001/XMLSchema-instance" xsi:type="dcterms:W3CDTF">2026-03-08T11:15:59Z</dcterms:modified>
</cp:coreProperties>
</file>